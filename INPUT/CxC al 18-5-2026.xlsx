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drigom\Documents\"/>
    </mc:Choice>
  </mc:AlternateContent>
  <xr:revisionPtr revIDLastSave="0" documentId="13_ncr:1_{F6301488-7EE8-401E-AE32-DF255FE9BD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MEN" sheetId="3" r:id="rId1"/>
    <sheet name="Hoja3" sheetId="4" state="hidden" r:id="rId2"/>
    <sheet name="DÍAS" sheetId="6" state="hidden" r:id="rId3"/>
    <sheet name="Data" sheetId="1" r:id="rId4"/>
  </sheets>
  <definedNames>
    <definedName name="_xlnm._FilterDatabase" localSheetId="3" hidden="1">Data!$A$1:$R$167</definedName>
  </definedNames>
  <calcPr calcId="191029"/>
  <pivotCaches>
    <pivotCache cacheId="12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6" i="1" l="1"/>
  <c r="O54" i="1"/>
  <c r="O55" i="1"/>
  <c r="O57" i="1"/>
  <c r="O92" i="1"/>
  <c r="O93" i="1"/>
  <c r="O96" i="1"/>
  <c r="O97" i="1"/>
  <c r="O115" i="1"/>
  <c r="O116" i="1"/>
  <c r="O138" i="1"/>
  <c r="O148" i="1"/>
  <c r="O159" i="1"/>
  <c r="O160" i="1"/>
  <c r="O161" i="1"/>
  <c r="O167" i="1"/>
  <c r="N167" i="1" l="1"/>
  <c r="N166" i="1"/>
  <c r="N161" i="1"/>
  <c r="M161" i="1" s="1"/>
  <c r="N160" i="1"/>
  <c r="M160" i="1" s="1"/>
  <c r="N159" i="1"/>
  <c r="M159" i="1" s="1"/>
  <c r="N148" i="1"/>
  <c r="N138" i="1"/>
  <c r="M138" i="1" s="1"/>
  <c r="N116" i="1"/>
  <c r="M116" i="1" s="1"/>
  <c r="N115" i="1"/>
  <c r="M115" i="1" s="1"/>
  <c r="N97" i="1"/>
  <c r="M97" i="1" s="1"/>
  <c r="N96" i="1"/>
  <c r="M96" i="1" s="1"/>
  <c r="N93" i="1"/>
  <c r="M93" i="1" s="1"/>
  <c r="N92" i="1"/>
  <c r="N55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48" i="1"/>
  <c r="Q147" i="1"/>
  <c r="Q146" i="1"/>
  <c r="Q142" i="1"/>
  <c r="Q141" i="1"/>
  <c r="Q140" i="1"/>
  <c r="Q138" i="1"/>
  <c r="Q121" i="1"/>
  <c r="Q120" i="1"/>
  <c r="Q119" i="1"/>
  <c r="Q118" i="1"/>
  <c r="Q117" i="1"/>
  <c r="Q116" i="1"/>
  <c r="Q115" i="1"/>
  <c r="Q98" i="1"/>
  <c r="Q97" i="1"/>
  <c r="Q96" i="1"/>
  <c r="Q95" i="1"/>
  <c r="Q94" i="1"/>
  <c r="Q93" i="1"/>
  <c r="Q92" i="1"/>
  <c r="Q91" i="1"/>
  <c r="Q90" i="1"/>
  <c r="Q59" i="1"/>
  <c r="Q58" i="1"/>
  <c r="Q57" i="1"/>
  <c r="Q56" i="1"/>
  <c r="Q55" i="1"/>
  <c r="Q54" i="1"/>
  <c r="Q53" i="1"/>
  <c r="Q52" i="1"/>
  <c r="Q34" i="1"/>
  <c r="Q33" i="1"/>
  <c r="Q32" i="1"/>
  <c r="Q31" i="1"/>
  <c r="Q30" i="1"/>
  <c r="Q29" i="1"/>
  <c r="M167" i="1"/>
  <c r="M166" i="1"/>
  <c r="M165" i="1"/>
  <c r="M164" i="1"/>
  <c r="M163" i="1"/>
  <c r="M162" i="1"/>
  <c r="M158" i="1"/>
  <c r="M157" i="1"/>
  <c r="M156" i="1"/>
  <c r="M155" i="1"/>
  <c r="M154" i="1"/>
  <c r="M153" i="1"/>
  <c r="M152" i="1"/>
  <c r="M148" i="1"/>
  <c r="M147" i="1"/>
  <c r="M146" i="1"/>
  <c r="M142" i="1"/>
  <c r="M141" i="1"/>
  <c r="M140" i="1"/>
  <c r="M121" i="1"/>
  <c r="M120" i="1"/>
  <c r="M119" i="1"/>
  <c r="M118" i="1"/>
  <c r="M117" i="1"/>
  <c r="M98" i="1"/>
  <c r="M95" i="1"/>
  <c r="M94" i="1"/>
  <c r="M92" i="1"/>
  <c r="M91" i="1"/>
  <c r="M90" i="1"/>
  <c r="M59" i="1"/>
  <c r="M58" i="1"/>
  <c r="M57" i="1"/>
  <c r="M56" i="1"/>
  <c r="M55" i="1"/>
  <c r="M54" i="1"/>
  <c r="M53" i="1"/>
  <c r="M52" i="1"/>
  <c r="M34" i="1"/>
  <c r="M33" i="1"/>
  <c r="M32" i="1"/>
  <c r="M31" i="1"/>
  <c r="M30" i="1"/>
  <c r="M29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48" i="1"/>
  <c r="L147" i="1"/>
  <c r="L146" i="1"/>
  <c r="L142" i="1"/>
  <c r="L141" i="1"/>
  <c r="L140" i="1"/>
  <c r="L138" i="1"/>
  <c r="L121" i="1"/>
  <c r="L120" i="1"/>
  <c r="L119" i="1"/>
  <c r="L118" i="1"/>
  <c r="L117" i="1"/>
  <c r="L116" i="1"/>
  <c r="L115" i="1"/>
  <c r="L98" i="1"/>
  <c r="L97" i="1"/>
  <c r="L96" i="1"/>
  <c r="L95" i="1"/>
  <c r="L94" i="1"/>
  <c r="L93" i="1"/>
  <c r="L92" i="1"/>
  <c r="L91" i="1"/>
  <c r="L90" i="1"/>
  <c r="L59" i="1"/>
  <c r="L58" i="1"/>
  <c r="L57" i="1"/>
  <c r="L56" i="1"/>
  <c r="L55" i="1"/>
  <c r="L54" i="1"/>
  <c r="L53" i="1"/>
  <c r="L52" i="1"/>
  <c r="L34" i="1"/>
  <c r="L33" i="1"/>
  <c r="L32" i="1"/>
  <c r="L31" i="1"/>
  <c r="L30" i="1"/>
  <c r="L29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48" i="1"/>
  <c r="P147" i="1"/>
  <c r="P146" i="1"/>
  <c r="P142" i="1"/>
  <c r="P141" i="1"/>
  <c r="P140" i="1"/>
  <c r="P138" i="1"/>
  <c r="P121" i="1"/>
  <c r="P120" i="1"/>
  <c r="P119" i="1"/>
  <c r="P118" i="1"/>
  <c r="P117" i="1"/>
  <c r="P116" i="1"/>
  <c r="P115" i="1"/>
  <c r="P98" i="1"/>
  <c r="P97" i="1"/>
  <c r="P96" i="1"/>
  <c r="P95" i="1"/>
  <c r="P94" i="1"/>
  <c r="P93" i="1"/>
  <c r="P92" i="1"/>
  <c r="P91" i="1"/>
  <c r="P90" i="1"/>
  <c r="P59" i="1"/>
  <c r="P58" i="1"/>
  <c r="P57" i="1"/>
  <c r="P56" i="1"/>
  <c r="P55" i="1"/>
  <c r="P54" i="1"/>
  <c r="P53" i="1"/>
  <c r="P52" i="1"/>
  <c r="P34" i="1"/>
  <c r="P33" i="1"/>
  <c r="P32" i="1"/>
  <c r="P31" i="1"/>
  <c r="P30" i="1"/>
  <c r="P29" i="1"/>
  <c r="O165" i="1"/>
  <c r="O163" i="1"/>
  <c r="O162" i="1"/>
  <c r="O158" i="1"/>
  <c r="O157" i="1"/>
  <c r="O156" i="1"/>
  <c r="O155" i="1"/>
  <c r="O154" i="1"/>
  <c r="O153" i="1"/>
  <c r="O152" i="1"/>
  <c r="O121" i="1"/>
  <c r="O120" i="1"/>
  <c r="O119" i="1"/>
  <c r="O118" i="1"/>
  <c r="O98" i="1"/>
  <c r="O95" i="1"/>
  <c r="O94" i="1"/>
  <c r="O91" i="1"/>
  <c r="O56" i="1"/>
  <c r="O53" i="1"/>
  <c r="O52" i="1"/>
  <c r="P151" i="1"/>
  <c r="P150" i="1"/>
  <c r="P149" i="1"/>
  <c r="P145" i="1"/>
  <c r="P144" i="1"/>
  <c r="P143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14" i="1"/>
  <c r="P113" i="1"/>
  <c r="P112" i="1"/>
  <c r="P111" i="1"/>
  <c r="P110" i="1"/>
  <c r="P109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151" i="1"/>
  <c r="O150" i="1"/>
  <c r="O149" i="1"/>
  <c r="O145" i="1"/>
  <c r="O144" i="1"/>
  <c r="O143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14" i="1"/>
  <c r="O113" i="1"/>
  <c r="O112" i="1"/>
  <c r="O111" i="1"/>
  <c r="O110" i="1"/>
  <c r="O109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P100" i="1"/>
  <c r="P101" i="1"/>
  <c r="P102" i="1"/>
  <c r="P103" i="1"/>
  <c r="P104" i="1"/>
  <c r="P105" i="1"/>
  <c r="P106" i="1"/>
  <c r="P107" i="1"/>
  <c r="P108" i="1"/>
  <c r="P99" i="1"/>
  <c r="O100" i="1"/>
  <c r="O101" i="1"/>
  <c r="O102" i="1"/>
  <c r="O103" i="1"/>
  <c r="O104" i="1"/>
  <c r="O105" i="1"/>
  <c r="O106" i="1"/>
  <c r="O107" i="1"/>
  <c r="O108" i="1"/>
  <c r="O99" i="1"/>
  <c r="P139" i="1"/>
  <c r="O139" i="1"/>
  <c r="P123" i="1"/>
  <c r="P124" i="1"/>
  <c r="P125" i="1"/>
  <c r="P122" i="1"/>
  <c r="O123" i="1"/>
  <c r="O124" i="1"/>
  <c r="O125" i="1"/>
  <c r="O122" i="1"/>
</calcChain>
</file>

<file path=xl/sharedStrings.xml><?xml version="1.0" encoding="utf-8"?>
<sst xmlns="http://schemas.openxmlformats.org/spreadsheetml/2006/main" count="1444" uniqueCount="587">
  <si>
    <t>Cliente</t>
  </si>
  <si>
    <t>Nombre de cliente</t>
  </si>
  <si>
    <t>Nº documento</t>
  </si>
  <si>
    <t>Referencia</t>
  </si>
  <si>
    <t>Clase de documento</t>
  </si>
  <si>
    <t>Fecha de documento</t>
  </si>
  <si>
    <t>Demora tras vencimiento neto</t>
  </si>
  <si>
    <t>Fecha de pago</t>
  </si>
  <si>
    <t>Importe en moneda doc.</t>
  </si>
  <si>
    <t>Moneda del documento</t>
  </si>
  <si>
    <t>1000013966</t>
  </si>
  <si>
    <t>ARKANO TRADING SOCIEDAD ANONIMA CER</t>
  </si>
  <si>
    <t>1200005220</t>
  </si>
  <si>
    <t>01-0F101-0004694</t>
  </si>
  <si>
    <t>DF</t>
  </si>
  <si>
    <t>PEN</t>
  </si>
  <si>
    <t>ARKANO TRADING SOCIEDAD ANONIMA CER</t>
  </si>
  <si>
    <t>1200005228</t>
  </si>
  <si>
    <t>01-0F101-0004700</t>
  </si>
  <si>
    <t>ARKANO TRADING SOCIEDAD ANONIMA CER</t>
  </si>
  <si>
    <t>1200005242</t>
  </si>
  <si>
    <t>01-0F101-0004710</t>
  </si>
  <si>
    <t>ARKANO TRADING SOCIEDAD ANONIMA CER</t>
  </si>
  <si>
    <t>1200005264</t>
  </si>
  <si>
    <t>01-0F101-0004729</t>
  </si>
  <si>
    <t>ARKANO TRADING SOCIEDAD ANONIMA CER</t>
  </si>
  <si>
    <t>1200005271</t>
  </si>
  <si>
    <t>01-0F101-0004736</t>
  </si>
  <si>
    <t>ARKANO TRADING SOCIEDAD ANONIMA CER</t>
  </si>
  <si>
    <t>1200005296</t>
  </si>
  <si>
    <t>01-0F101-0004758</t>
  </si>
  <si>
    <t>ARKANO TRADING SOCIEDAD ANONIMA CER</t>
  </si>
  <si>
    <t>1200005302</t>
  </si>
  <si>
    <t>01-0F101-0004762</t>
  </si>
  <si>
    <t>ARKANO TRADING SOCIEDAD ANONIMA CER</t>
  </si>
  <si>
    <t>1200005304</t>
  </si>
  <si>
    <t>01-0F101-0004763</t>
  </si>
  <si>
    <t>ARKANO TRADING SOCIEDAD ANONIMA CER</t>
  </si>
  <si>
    <t>1200005313</t>
  </si>
  <si>
    <t>01-0F101-0004772</t>
  </si>
  <si>
    <t>ARKANO TRADING SOCIEDAD ANONIMA CER</t>
  </si>
  <si>
    <t>1200005346</t>
  </si>
  <si>
    <t>01-0F101-0004803</t>
  </si>
  <si>
    <t>ARKANO TRADING SOCIEDAD ANONIMA CER</t>
  </si>
  <si>
    <t>1200005422</t>
  </si>
  <si>
    <t>01-0F101-0004855</t>
  </si>
  <si>
    <t>ARKANO TRADING SOCIEDAD ANONIMA CER</t>
  </si>
  <si>
    <t>1200000045</t>
  </si>
  <si>
    <t>01-0F101-0005160</t>
  </si>
  <si>
    <t>ARKANO TRADING SOCIEDAD ANONIMA CER</t>
  </si>
  <si>
    <t>1200000090</t>
  </si>
  <si>
    <t>01-0F101-0005198</t>
  </si>
  <si>
    <t>ARKANO TRADING SOCIEDAD ANONIMA CER</t>
  </si>
  <si>
    <t>1200000113</t>
  </si>
  <si>
    <t>01-0F101-0005211</t>
  </si>
  <si>
    <t>ARKANO TRADING SOCIEDAD ANONIMA CER</t>
  </si>
  <si>
    <t>1200000132</t>
  </si>
  <si>
    <t>01-0F101-0005224</t>
  </si>
  <si>
    <t>ARKANO TRADING SOCIEDAD ANONIMA CER</t>
  </si>
  <si>
    <t>1200000133</t>
  </si>
  <si>
    <t>01-0F101-0005225</t>
  </si>
  <si>
    <t>ARKANO TRADING SOCIEDAD ANONIMA CER</t>
  </si>
  <si>
    <t>1200000141</t>
  </si>
  <si>
    <t>01-0F101-0005231</t>
  </si>
  <si>
    <t>DB</t>
  </si>
  <si>
    <t>USD</t>
  </si>
  <si>
    <t>1000013678</t>
  </si>
  <si>
    <t>CORPORACION NACIONAL PERU EXPORTACI</t>
  </si>
  <si>
    <t>1200000439</t>
  </si>
  <si>
    <t>01-0F101-0005458</t>
  </si>
  <si>
    <t>CORPORACION NACIONAL PERU EXPORTACI</t>
  </si>
  <si>
    <t>1200000453</t>
  </si>
  <si>
    <t>01-0F101-0005470</t>
  </si>
  <si>
    <t>CORPORACION NACIONAL PERU EXPORTACI</t>
  </si>
  <si>
    <t>1200000582</t>
  </si>
  <si>
    <t>01-0F101-0005569</t>
  </si>
  <si>
    <t>CORPORACION NACIONAL PERU EXPORTACI</t>
  </si>
  <si>
    <t>1200000812</t>
  </si>
  <si>
    <t>01-0F101-0005730</t>
  </si>
  <si>
    <t>CORPORACION NACIONAL PERU EXPORTACI</t>
  </si>
  <si>
    <t>1200000824</t>
  </si>
  <si>
    <t>01-0F101-0005740</t>
  </si>
  <si>
    <t>CORPORACION NACIONAL PERU EXPORTACI</t>
  </si>
  <si>
    <t>1200001211</t>
  </si>
  <si>
    <t>01-0F101-0006016</t>
  </si>
  <si>
    <t>1000002057</t>
  </si>
  <si>
    <t>CRISTO DE LA VICTORIA S.A.C.</t>
  </si>
  <si>
    <t>1200001689</t>
  </si>
  <si>
    <t>01-0F101-0006371</t>
  </si>
  <si>
    <t>CRISTO DE LA VICTORIA S.A.C.</t>
  </si>
  <si>
    <t>1200001690</t>
  </si>
  <si>
    <t>01-0F101-0006372</t>
  </si>
  <si>
    <t>CRISTO DE LA VICTORIA S.A.C.</t>
  </si>
  <si>
    <t>1200001731</t>
  </si>
  <si>
    <t>01-0F101-0006399</t>
  </si>
  <si>
    <t>CRISTO DE LA VICTORIA S.A.C.</t>
  </si>
  <si>
    <t>1200001732</t>
  </si>
  <si>
    <t>01-0F101-0006400</t>
  </si>
  <si>
    <t>2000001381</t>
  </si>
  <si>
    <t>DAIRECK SA</t>
  </si>
  <si>
    <t>1200000638</t>
  </si>
  <si>
    <t>01-0F002-0000282</t>
  </si>
  <si>
    <t>DE</t>
  </si>
  <si>
    <t>DAIRECK SA</t>
  </si>
  <si>
    <t>1200000639</t>
  </si>
  <si>
    <t>01-0F002-0000283</t>
  </si>
  <si>
    <t>DAIRECK SA</t>
  </si>
  <si>
    <t>1200000641</t>
  </si>
  <si>
    <t>01-0F002-0000284</t>
  </si>
  <si>
    <t>DAIRECK SA</t>
  </si>
  <si>
    <t>1200000642</t>
  </si>
  <si>
    <t>01-0F002-0000285</t>
  </si>
  <si>
    <t>DAIRECK SA</t>
  </si>
  <si>
    <t>1200000643</t>
  </si>
  <si>
    <t>01-0F002-0000286</t>
  </si>
  <si>
    <t>DAIRECK SA</t>
  </si>
  <si>
    <t>1300002658</t>
  </si>
  <si>
    <t>FT-0F002-0000281</t>
  </si>
  <si>
    <t>ZV</t>
  </si>
  <si>
    <t>1000013754</t>
  </si>
  <si>
    <t>ELMER SIXTO SOJO ACARO</t>
  </si>
  <si>
    <t>1200001352</t>
  </si>
  <si>
    <t>03-0B001-0004492</t>
  </si>
  <si>
    <t>ELMER SIXTO SOJO ACARO</t>
  </si>
  <si>
    <t>1200001353</t>
  </si>
  <si>
    <t>03-0B001-0004493</t>
  </si>
  <si>
    <t>ELMER SIXTO SOJO ACARO</t>
  </si>
  <si>
    <t>1200001400</t>
  </si>
  <si>
    <t>03-0B001-0004498</t>
  </si>
  <si>
    <t>ELMER SIXTO SOJO ACARO</t>
  </si>
  <si>
    <t>1200001401</t>
  </si>
  <si>
    <t>03-0B001-0004499</t>
  </si>
  <si>
    <t>ELMER SIXTO SOJO ACARO</t>
  </si>
  <si>
    <t>1200001417</t>
  </si>
  <si>
    <t>03-0B001-0004500</t>
  </si>
  <si>
    <t>ELMER SIXTO SOJO ACARO</t>
  </si>
  <si>
    <t>1200001418</t>
  </si>
  <si>
    <t>03-0B001-0004501</t>
  </si>
  <si>
    <t>ELMER SIXTO SOJO ACARO</t>
  </si>
  <si>
    <t>1200001452</t>
  </si>
  <si>
    <t>03-0B001-0004504</t>
  </si>
  <si>
    <t>ELMER SIXTO SOJO ACARO</t>
  </si>
  <si>
    <t>1200001453</t>
  </si>
  <si>
    <t>03-0B001-0004505</t>
  </si>
  <si>
    <t>ELMER SIXTO SOJO ACARO</t>
  </si>
  <si>
    <t>1200001456</t>
  </si>
  <si>
    <t>03-0B001-0004506</t>
  </si>
  <si>
    <t>ELMER SIXTO SOJO ACARO</t>
  </si>
  <si>
    <t>1200001494</t>
  </si>
  <si>
    <t>03-0B001-0004510</t>
  </si>
  <si>
    <t>ELMER SIXTO SOJO ACARO</t>
  </si>
  <si>
    <t>1200001495</t>
  </si>
  <si>
    <t>03-0B001-0004511</t>
  </si>
  <si>
    <t>ELMER SIXTO SOJO ACARO</t>
  </si>
  <si>
    <t>1200001511</t>
  </si>
  <si>
    <t>03-0B001-0004514</t>
  </si>
  <si>
    <t>ELMER SIXTO SOJO ACARO</t>
  </si>
  <si>
    <t>1200001512</t>
  </si>
  <si>
    <t>03-0B001-0004515</t>
  </si>
  <si>
    <t>ELMER SIXTO SOJO ACARO</t>
  </si>
  <si>
    <t>1200001646</t>
  </si>
  <si>
    <t>03-0B001-0004542</t>
  </si>
  <si>
    <t>ELMER SIXTO SOJO ACARO</t>
  </si>
  <si>
    <t>1200001647</t>
  </si>
  <si>
    <t>03-0B001-0004543</t>
  </si>
  <si>
    <t>ELMER SIXTO SOJO ACARO</t>
  </si>
  <si>
    <t>1200001687</t>
  </si>
  <si>
    <t>03-0B001-0004546</t>
  </si>
  <si>
    <t>ELMER SIXTO SOJO ACARO</t>
  </si>
  <si>
    <t>1200001688</t>
  </si>
  <si>
    <t>03-0B001-0004547</t>
  </si>
  <si>
    <t>2000001368</t>
  </si>
  <si>
    <t>FOOD &amp; BEVERAGES TRADERS, S.L.</t>
  </si>
  <si>
    <t>1200001322</t>
  </si>
  <si>
    <t>01-0F002-0000310</t>
  </si>
  <si>
    <t>FOOD &amp; BEVERAGES TRADERS, S.L.</t>
  </si>
  <si>
    <t>1200001323</t>
  </si>
  <si>
    <t>01-0F002-0000311</t>
  </si>
  <si>
    <t>FOOD &amp; BEVERAGES TRADERS, S.L.</t>
  </si>
  <si>
    <t>1300002697</t>
  </si>
  <si>
    <t>ANTICIPO FOOD&amp;BE</t>
  </si>
  <si>
    <t>DZ</t>
  </si>
  <si>
    <t>2000001441</t>
  </si>
  <si>
    <t>Giant Ocean Food Company Limited</t>
  </si>
  <si>
    <t>1300002663</t>
  </si>
  <si>
    <t>ANTICIPO GIANT</t>
  </si>
  <si>
    <t>2000001361</t>
  </si>
  <si>
    <t>GLOBAL OCEAN FLEXTRADING, S. L</t>
  </si>
  <si>
    <t>GLOBAL OCEAN FLEXTRADING, S. L</t>
  </si>
  <si>
    <t>1200000957</t>
  </si>
  <si>
    <t>01-0F002-0000295</t>
  </si>
  <si>
    <t>GLOBAL OCEAN FLEXTRADING, S. L</t>
  </si>
  <si>
    <t>1200001071</t>
  </si>
  <si>
    <t>07-0F002-0000043</t>
  </si>
  <si>
    <t>DC</t>
  </si>
  <si>
    <t>2000001398</t>
  </si>
  <si>
    <t>Hunan Jinyueyang Import and Export</t>
  </si>
  <si>
    <t>1300002661</t>
  </si>
  <si>
    <t>FT-0F002-0000315</t>
  </si>
  <si>
    <t>Hunan Jinyueyang Import and Export</t>
  </si>
  <si>
    <t>1300002662</t>
  </si>
  <si>
    <t>FT-0F002-0000323</t>
  </si>
  <si>
    <t>1000000875</t>
  </si>
  <si>
    <t>INVERSIONES JOCYMAS SOCIEDAD ANONIM</t>
  </si>
  <si>
    <t>1300002741</t>
  </si>
  <si>
    <t>FT-0F101-0005949</t>
  </si>
  <si>
    <t>INVERSIONES JOCYMAS SOCIEDAD ANONIM</t>
  </si>
  <si>
    <t>1200001733</t>
  </si>
  <si>
    <t>01-0F101-0006401</t>
  </si>
  <si>
    <t>1000006830</t>
  </si>
  <si>
    <t>JAHFISH E.I.R.L.</t>
  </si>
  <si>
    <t>1200001499</t>
  </si>
  <si>
    <t>01-0F101-0006222</t>
  </si>
  <si>
    <t>JAHFISH E.I.R.L.</t>
  </si>
  <si>
    <t>1200001500</t>
  </si>
  <si>
    <t>01-0F101-0006223</t>
  </si>
  <si>
    <t>JAHFISH E.I.R.L.</t>
  </si>
  <si>
    <t>1200001517</t>
  </si>
  <si>
    <t>01-0F101-0006236</t>
  </si>
  <si>
    <t>JAHFISH E.I.R.L.</t>
  </si>
  <si>
    <t>1200001518</t>
  </si>
  <si>
    <t>01-0F101-0006237</t>
  </si>
  <si>
    <t>JAHFISH E.I.R.L.</t>
  </si>
  <si>
    <t>1200001522</t>
  </si>
  <si>
    <t>01-0F101-0006241</t>
  </si>
  <si>
    <t>JAHFISH E.I.R.L.</t>
  </si>
  <si>
    <t>1200001523</t>
  </si>
  <si>
    <t>01-0F101-0006242</t>
  </si>
  <si>
    <t>JAHFISH E.I.R.L.</t>
  </si>
  <si>
    <t>1200001537</t>
  </si>
  <si>
    <t>01-0F101-0006253</t>
  </si>
  <si>
    <t>JAHFISH E.I.R.L.</t>
  </si>
  <si>
    <t>1200001538</t>
  </si>
  <si>
    <t>01-0F101-0006254</t>
  </si>
  <si>
    <t>JAHFISH E.I.R.L.</t>
  </si>
  <si>
    <t>1200001552</t>
  </si>
  <si>
    <t>01-0F101-0006266</t>
  </si>
  <si>
    <t>JAHFISH E.I.R.L.</t>
  </si>
  <si>
    <t>1200001553</t>
  </si>
  <si>
    <t>01-0F101-0006267</t>
  </si>
  <si>
    <t>JAHFISH E.I.R.L.</t>
  </si>
  <si>
    <t>1200001585</t>
  </si>
  <si>
    <t>01-0F101-0006293</t>
  </si>
  <si>
    <t>JAHFISH E.I.R.L.</t>
  </si>
  <si>
    <t>1200001586</t>
  </si>
  <si>
    <t>01-0F101-0006294</t>
  </si>
  <si>
    <t>JAHFISH E.I.R.L.</t>
  </si>
  <si>
    <t>1200001642</t>
  </si>
  <si>
    <t>01-0F101-0006332</t>
  </si>
  <si>
    <t>JAHFISH E.I.R.L.</t>
  </si>
  <si>
    <t>1200001643</t>
  </si>
  <si>
    <t>01-0F101-0006333</t>
  </si>
  <si>
    <t>JAHFISH E.I.R.L.</t>
  </si>
  <si>
    <t>1200001650</t>
  </si>
  <si>
    <t>01-0F101-0006338</t>
  </si>
  <si>
    <t>JAHFISH E.I.R.L.</t>
  </si>
  <si>
    <t>1200001651</t>
  </si>
  <si>
    <t>01-0F101-0006339</t>
  </si>
  <si>
    <t>JAHFISH E.I.R.L.</t>
  </si>
  <si>
    <t>1200001683</t>
  </si>
  <si>
    <t>01-0F101-0006367</t>
  </si>
  <si>
    <t>JAHFISH E.I.R.L.</t>
  </si>
  <si>
    <t>1200001684</t>
  </si>
  <si>
    <t>01-0F101-0006368</t>
  </si>
  <si>
    <t>JAHFISH E.I.R.L.</t>
  </si>
  <si>
    <t>1200001685</t>
  </si>
  <si>
    <t>01-0F101-0006369</t>
  </si>
  <si>
    <t>JAHFISH E.I.R.L.</t>
  </si>
  <si>
    <t>1200001686</t>
  </si>
  <si>
    <t>01-0F101-0006370</t>
  </si>
  <si>
    <t>JAHFISH E.I.R.L.</t>
  </si>
  <si>
    <t>1200001702</t>
  </si>
  <si>
    <t>01-0F101-0006378</t>
  </si>
  <si>
    <t>JAHFISH E.I.R.L.</t>
  </si>
  <si>
    <t>1200001703</t>
  </si>
  <si>
    <t>01-0F101-0006379</t>
  </si>
  <si>
    <t>JAHFISH E.I.R.L.</t>
  </si>
  <si>
    <t>1200001704</t>
  </si>
  <si>
    <t>01-0F101-0006380</t>
  </si>
  <si>
    <t>JAHFISH E.I.R.L.</t>
  </si>
  <si>
    <t>1200001705</t>
  </si>
  <si>
    <t>01-0F101-0006381</t>
  </si>
  <si>
    <t>JAHFISH E.I.R.L.</t>
  </si>
  <si>
    <t>1200001741</t>
  </si>
  <si>
    <t>01-0F101-0006407</t>
  </si>
  <si>
    <t>JAHFISH E.I.R.L.</t>
  </si>
  <si>
    <t>1200001742</t>
  </si>
  <si>
    <t>01-0F101-0006408</t>
  </si>
  <si>
    <t>JAHFISH E.I.R.L.</t>
  </si>
  <si>
    <t>1200001743</t>
  </si>
  <si>
    <t>01-0F101-0006409</t>
  </si>
  <si>
    <t>JAHFISH E.I.R.L.</t>
  </si>
  <si>
    <t>1200001744</t>
  </si>
  <si>
    <t>01-0F101-0006410</t>
  </si>
  <si>
    <t>2000001172</t>
  </si>
  <si>
    <t>KULALIA SL</t>
  </si>
  <si>
    <t>KULALIA SL</t>
  </si>
  <si>
    <t>1200000623</t>
  </si>
  <si>
    <t>KULALIA SL</t>
  </si>
  <si>
    <t>1200000754</t>
  </si>
  <si>
    <t>01-0F002-0000289</t>
  </si>
  <si>
    <t>KULALIA SL</t>
  </si>
  <si>
    <t>1300002695</t>
  </si>
  <si>
    <t>ANTICIPO KULALIA</t>
  </si>
  <si>
    <t>KULALIA SL</t>
  </si>
  <si>
    <t>1300004024</t>
  </si>
  <si>
    <t>ANTICIPO FP238</t>
  </si>
  <si>
    <t>2000000231</t>
  </si>
  <si>
    <t>LONGKOU JIABAO AQUATIC FOODSTUFFS</t>
  </si>
  <si>
    <t>1200001281</t>
  </si>
  <si>
    <t>01-0F002-0000307</t>
  </si>
  <si>
    <t>LONGKOU JIABAO AQUATIC FOODSTUFFS</t>
  </si>
  <si>
    <t>1200001730</t>
  </si>
  <si>
    <t>01-0F002-0000326</t>
  </si>
  <si>
    <t>2000000233</t>
  </si>
  <si>
    <t>LONGKOU SANMING AQUATIC</t>
  </si>
  <si>
    <t>1300004026</t>
  </si>
  <si>
    <t>ANTICIPO FP237</t>
  </si>
  <si>
    <t>2000001409</t>
  </si>
  <si>
    <t>Longkou Yunfeng Aquatic Food Co.,Lt</t>
  </si>
  <si>
    <t>1300002664</t>
  </si>
  <si>
    <t>SALDO A FAVOR</t>
  </si>
  <si>
    <t>Longkou Yunfeng Aquatic Food Co.,Lt</t>
  </si>
  <si>
    <t>1200001360</t>
  </si>
  <si>
    <t>01-0F002-0000319</t>
  </si>
  <si>
    <t>6002007</t>
  </si>
  <si>
    <t>NAVAPEZ E.I.R.L.</t>
  </si>
  <si>
    <t>1200005141</t>
  </si>
  <si>
    <t>01-0F101-0004638</t>
  </si>
  <si>
    <t>NAVAPEZ E.I.R.L.</t>
  </si>
  <si>
    <t>1200005142</t>
  </si>
  <si>
    <t>01-0F101-0004639</t>
  </si>
  <si>
    <t>NAVAPEZ E.I.R.L.</t>
  </si>
  <si>
    <t>1200005158</t>
  </si>
  <si>
    <t>01-0F101-0004653</t>
  </si>
  <si>
    <t>NAVAPEZ E.I.R.L.</t>
  </si>
  <si>
    <t>1200005159</t>
  </si>
  <si>
    <t>01-0F101-0004654</t>
  </si>
  <si>
    <t>NAVAPEZ E.I.R.L.</t>
  </si>
  <si>
    <t>1200001503</t>
  </si>
  <si>
    <t>01-0F101-0006226</t>
  </si>
  <si>
    <t>NAVAPEZ E.I.R.L.</t>
  </si>
  <si>
    <t>1200001504</t>
  </si>
  <si>
    <t>01-0F101-0006227</t>
  </si>
  <si>
    <t>NAVAPEZ E.I.R.L.</t>
  </si>
  <si>
    <t>1200001509</t>
  </si>
  <si>
    <t>01-0F101-0006232</t>
  </si>
  <si>
    <t>NAVAPEZ E.I.R.L.</t>
  </si>
  <si>
    <t>1200001510</t>
  </si>
  <si>
    <t>01-0F101-0006233</t>
  </si>
  <si>
    <t>NAVAPEZ E.I.R.L.</t>
  </si>
  <si>
    <t>1200001609</t>
  </si>
  <si>
    <t>01-0F101-0006311</t>
  </si>
  <si>
    <t>NAVAPEZ E.I.R.L.</t>
  </si>
  <si>
    <t>1200001610</t>
  </si>
  <si>
    <t>01-0F101-0006312</t>
  </si>
  <si>
    <t>6001105</t>
  </si>
  <si>
    <t>NEGOCIOS PESQUEROS AARON EIRL</t>
  </si>
  <si>
    <t>1200001300</t>
  </si>
  <si>
    <t>01-0F101-0006073</t>
  </si>
  <si>
    <t>NEGOCIOS PESQUEROS AARON EIRL</t>
  </si>
  <si>
    <t>1200001301</t>
  </si>
  <si>
    <t>01-0F101-0006074</t>
  </si>
  <si>
    <t>NEGOCIOS PESQUEROS AARON EIRL</t>
  </si>
  <si>
    <t>1200001302</t>
  </si>
  <si>
    <t>01-0F101-0006075</t>
  </si>
  <si>
    <t>NEGOCIOS PESQUEROS AARON EIRL</t>
  </si>
  <si>
    <t>1300004037</t>
  </si>
  <si>
    <t>FT-0F101-0006072</t>
  </si>
  <si>
    <t>NEGOCIOS PESQUEROS AARON EIRL</t>
  </si>
  <si>
    <t>1200001648</t>
  </si>
  <si>
    <t>01-0F101-0006336</t>
  </si>
  <si>
    <t>NEGOCIOS PESQUEROS AARON EIRL</t>
  </si>
  <si>
    <t>1200001649</t>
  </si>
  <si>
    <t>01-0F101-0006337</t>
  </si>
  <si>
    <t>2000001443</t>
  </si>
  <si>
    <t>NINGBO JUN TAO IMPORT AND</t>
  </si>
  <si>
    <t>1300002821</t>
  </si>
  <si>
    <t>ANTICIPO NINGBO</t>
  </si>
  <si>
    <t>NINGBO JUN TAO IMPORT AND</t>
  </si>
  <si>
    <t>1300002823</t>
  </si>
  <si>
    <t>ANTICIPO NINGBO</t>
  </si>
  <si>
    <t>2000001359</t>
  </si>
  <si>
    <t>OCEANUS FISH S.L.</t>
  </si>
  <si>
    <t>1200000644</t>
  </si>
  <si>
    <t>01-0F002-0000287</t>
  </si>
  <si>
    <t>OCEANUS FISH S.L.</t>
  </si>
  <si>
    <t>1200000958</t>
  </si>
  <si>
    <t>01-0F002-0000296</t>
  </si>
  <si>
    <t>OCEANUS FISH S.L.</t>
  </si>
  <si>
    <t>1200000959</t>
  </si>
  <si>
    <t>01-0F002-0000297</t>
  </si>
  <si>
    <t>OCEANUS FISH S.L.</t>
  </si>
  <si>
    <t>1200001191</t>
  </si>
  <si>
    <t>01-0F002-0000301</t>
  </si>
  <si>
    <t>OCEANUS FISH S.L.</t>
  </si>
  <si>
    <t>1200001321</t>
  </si>
  <si>
    <t>01-0F002-0000309</t>
  </si>
  <si>
    <t>1000013925</t>
  </si>
  <si>
    <t>PEGASUS ENTERPRISE S.A.C.</t>
  </si>
  <si>
    <t>1300006898</t>
  </si>
  <si>
    <t>FT-0F003-0000101</t>
  </si>
  <si>
    <t>PEGASUS ENTERPRISE S.A.C.</t>
  </si>
  <si>
    <t>1200005124</t>
  </si>
  <si>
    <t>01-0F003-0000129</t>
  </si>
  <si>
    <t>PEGASUS ENTERPRISE S.A.C.</t>
  </si>
  <si>
    <t>1200000182</t>
  </si>
  <si>
    <t>01-0F003-0000168</t>
  </si>
  <si>
    <t>PEGASUS ENTERPRISE S.A.C.</t>
  </si>
  <si>
    <t>1200000382</t>
  </si>
  <si>
    <t>01-0F003-0000174</t>
  </si>
  <si>
    <t>1000015185</t>
  </si>
  <si>
    <t>PESCACORD PERU SOCIEDAD ANONIMA CER</t>
  </si>
  <si>
    <t>1200001398</t>
  </si>
  <si>
    <t>01-0F101-0006138</t>
  </si>
  <si>
    <t>PESCACORD PERU SOCIEDAD ANONIMA CER</t>
  </si>
  <si>
    <t>1200001399</t>
  </si>
  <si>
    <t>01-0F101-0006139</t>
  </si>
  <si>
    <t>PESCACORD PERU SOCIEDAD ANONIMA CER</t>
  </si>
  <si>
    <t>1200001450</t>
  </si>
  <si>
    <t>01-0F101-0006183</t>
  </si>
  <si>
    <t>PESCACORD PERU SOCIEDAD ANONIMA CER</t>
  </si>
  <si>
    <t>1200001451</t>
  </si>
  <si>
    <t>01-0F101-0006184</t>
  </si>
  <si>
    <t>PESCACORD PERU SOCIEDAD ANONIMA CER</t>
  </si>
  <si>
    <t>1200001541</t>
  </si>
  <si>
    <t>01-0F101-0006257</t>
  </si>
  <si>
    <t>PESCACORD PERU SOCIEDAD ANONIMA CER</t>
  </si>
  <si>
    <t>1200001542</t>
  </si>
  <si>
    <t>01-0F101-0006258</t>
  </si>
  <si>
    <t>PESCACORD PERU SOCIEDAD ANONIMA CER</t>
  </si>
  <si>
    <t>1200001557</t>
  </si>
  <si>
    <t>01-0F101-0006271</t>
  </si>
  <si>
    <t>PESCACORD PERU SOCIEDAD ANONIMA CER</t>
  </si>
  <si>
    <t>1200001558</t>
  </si>
  <si>
    <t>01-0F101-0006272</t>
  </si>
  <si>
    <t>PESCACORD PERU SOCIEDAD ANONIMA CER</t>
  </si>
  <si>
    <t>1200001613</t>
  </si>
  <si>
    <t>01-0F101-0006313</t>
  </si>
  <si>
    <t>PESCACORD PERU SOCIEDAD ANONIMA CER</t>
  </si>
  <si>
    <t>1200001614</t>
  </si>
  <si>
    <t>01-0F101-0006314</t>
  </si>
  <si>
    <t>PESCACORD PERU SOCIEDAD ANONIMA CER</t>
  </si>
  <si>
    <t>1200001700</t>
  </si>
  <si>
    <t>01-0F101-0006376</t>
  </si>
  <si>
    <t>PESCACORD PERU SOCIEDAD ANONIMA CER</t>
  </si>
  <si>
    <t>1200001701</t>
  </si>
  <si>
    <t>01-0F101-0006377</t>
  </si>
  <si>
    <t>2000000267</t>
  </si>
  <si>
    <t>PESCIRO SLU</t>
  </si>
  <si>
    <t>1300002619</t>
  </si>
  <si>
    <t>SALDO A FAVOR</t>
  </si>
  <si>
    <t>6000434</t>
  </si>
  <si>
    <t>PESQUERA HAYDUK S.A.</t>
  </si>
  <si>
    <t>1200004540</t>
  </si>
  <si>
    <t>01-0F003-0000083</t>
  </si>
  <si>
    <t>2000001438</t>
  </si>
  <si>
    <t>Qingdao Haiyujia International Trad</t>
  </si>
  <si>
    <t>1300002730</t>
  </si>
  <si>
    <t>FT-0F002-0000320</t>
  </si>
  <si>
    <t>Qingdao Haiyujia International Trad</t>
  </si>
  <si>
    <t>1300002731</t>
  </si>
  <si>
    <t>FT-0F002-0000324</t>
  </si>
  <si>
    <t>Qingdao Haiyujia International Trad</t>
  </si>
  <si>
    <t>1300002729</t>
  </si>
  <si>
    <t>FT-0F002-0000313</t>
  </si>
  <si>
    <t>1000001965</t>
  </si>
  <si>
    <t>SERVICIOS DIESEL EXPRESS E.I.R.L.</t>
  </si>
  <si>
    <t>1200001682</t>
  </si>
  <si>
    <t>01-0F101-0006366</t>
  </si>
  <si>
    <t>SERVICIOS DIESEL EXPRESS E.I.R.L.</t>
  </si>
  <si>
    <t>1200001693</t>
  </si>
  <si>
    <t>01-0F101-0006373</t>
  </si>
  <si>
    <t>SERVICIOS DIESEL EXPRESS E.I.R.L.</t>
  </si>
  <si>
    <t>1200001738</t>
  </si>
  <si>
    <t>01-0F101-0006404</t>
  </si>
  <si>
    <t>2000001418</t>
  </si>
  <si>
    <t>Shandong Sheenier Food Co., Ltd.</t>
  </si>
  <si>
    <t>1300002670</t>
  </si>
  <si>
    <t>FT-0F002-0000314</t>
  </si>
  <si>
    <t>2000001440</t>
  </si>
  <si>
    <t>Shenzhen Yueshi Supply Chain</t>
  </si>
  <si>
    <t>1300002671</t>
  </si>
  <si>
    <t>FT-0F002-0000321</t>
  </si>
  <si>
    <t>Shenzhen Yueshi Supply Chain</t>
  </si>
  <si>
    <t>1300004013</t>
  </si>
  <si>
    <t>ANTICIPO FP231</t>
  </si>
  <si>
    <t>1000013801</t>
  </si>
  <si>
    <t>STL 5.0 S.A.C.</t>
  </si>
  <si>
    <t>1200001655</t>
  </si>
  <si>
    <t>01-0F101-0006343</t>
  </si>
  <si>
    <t>STL 5.0 S.A.C.</t>
  </si>
  <si>
    <t>1200001656</t>
  </si>
  <si>
    <t>01-0F101-0006344</t>
  </si>
  <si>
    <t>1000013686</t>
  </si>
  <si>
    <t>TRANSPORTES O Y G S.A.C.</t>
  </si>
  <si>
    <t>1200001547</t>
  </si>
  <si>
    <t>01-0F101-0006263</t>
  </si>
  <si>
    <t>2000000786</t>
  </si>
  <si>
    <t>TSUJINO &amp; CO., LTD</t>
  </si>
  <si>
    <t>TSUJINO &amp; CO., LTD</t>
  </si>
  <si>
    <t>1200000803</t>
  </si>
  <si>
    <t>01-0F002-0000291</t>
  </si>
  <si>
    <t>TSUJINO &amp; CO., LTD</t>
  </si>
  <si>
    <t>1200001270</t>
  </si>
  <si>
    <t>01-0F002-0000304</t>
  </si>
  <si>
    <t>TSUJINO &amp; CO., LTD</t>
  </si>
  <si>
    <t>1200001277</t>
  </si>
  <si>
    <t>01-0F002-0000305</t>
  </si>
  <si>
    <t>TSUJINO &amp; CO., LTD</t>
  </si>
  <si>
    <t>1200001344</t>
  </si>
  <si>
    <t>01-0F002-0000316</t>
  </si>
  <si>
    <t>TSUJINO &amp; CO., LTD</t>
  </si>
  <si>
    <t>1200001345</t>
  </si>
  <si>
    <t>01-0F002-0000317</t>
  </si>
  <si>
    <t>TSUJINO &amp; CO., LTD</t>
  </si>
  <si>
    <t>1200001346</t>
  </si>
  <si>
    <t>01-0F002-0000318</t>
  </si>
  <si>
    <t>TSUJINO &amp; CO., LTD</t>
  </si>
  <si>
    <t>1200001364</t>
  </si>
  <si>
    <t>01-0F002-0000322</t>
  </si>
  <si>
    <t>2000000590</t>
  </si>
  <si>
    <t>TT Interbiz Company Limited</t>
  </si>
  <si>
    <t>1300002699</t>
  </si>
  <si>
    <t>ANTICIPO TT INTE</t>
  </si>
  <si>
    <t>2000001442</t>
  </si>
  <si>
    <t>YANTAI HIZEN INTERNATIONAL TRADE CO</t>
  </si>
  <si>
    <t>1300002822</t>
  </si>
  <si>
    <t>ANTICIPO YANTAHI</t>
  </si>
  <si>
    <t>2000001444</t>
  </si>
  <si>
    <t>YANTAI HONGCHANG IMPORT AND EXPORT</t>
  </si>
  <si>
    <t>1300002732</t>
  </si>
  <si>
    <t>ANTICIPO YANTAHO</t>
  </si>
  <si>
    <t>2000001348</t>
  </si>
  <si>
    <t>YANTAI JIAHONG IMP &amp; EXP CO., LTD.</t>
  </si>
  <si>
    <t>1200001241</t>
  </si>
  <si>
    <t>01-0F002-0000302</t>
  </si>
  <si>
    <t>2000001069</t>
  </si>
  <si>
    <t>YANTAI TAIXI FOODSTUFF CO., LTD</t>
  </si>
  <si>
    <t>1200000936</t>
  </si>
  <si>
    <t>01-0F002-0000294</t>
  </si>
  <si>
    <t>YANTAI TAIXI FOODSTUFF CO., LTD</t>
  </si>
  <si>
    <t>1300002672</t>
  </si>
  <si>
    <t>FT-0F002-0000293</t>
  </si>
  <si>
    <t>YANTAI TAIXI FOODSTUFF CO., LTD</t>
  </si>
  <si>
    <t>1200001190</t>
  </si>
  <si>
    <t>01-0F002-0000300</t>
  </si>
  <si>
    <t>2000001446</t>
  </si>
  <si>
    <t>ZHEJIANG ZHOUFU FOOD CO.,LTD</t>
  </si>
  <si>
    <t>1300004017</t>
  </si>
  <si>
    <t>ANTICIPO FP234</t>
  </si>
  <si>
    <t>2000001449</t>
  </si>
  <si>
    <t>ZHOUSHAN EAST CHINA SEA RURAL FOOD</t>
  </si>
  <si>
    <t>1300004016</t>
  </si>
  <si>
    <t>ANTICIPO FP234</t>
  </si>
  <si>
    <t>UNIDAD DE NEGOCIO</t>
  </si>
  <si>
    <t>NACIONAL</t>
  </si>
  <si>
    <t>RODRIGO</t>
  </si>
  <si>
    <t>CISTERNA</t>
  </si>
  <si>
    <t>OTROS</t>
  </si>
  <si>
    <t>EXPORTACIÓN</t>
  </si>
  <si>
    <t>Etiquetas de fila</t>
  </si>
  <si>
    <t>Suma de Importe en moneda doc.</t>
  </si>
  <si>
    <t>Total general</t>
  </si>
  <si>
    <t>Etiquetas de columna</t>
  </si>
  <si>
    <t>Abr</t>
  </si>
  <si>
    <t>May</t>
  </si>
  <si>
    <t>FECHA IDEAL DE PAGO</t>
  </si>
  <si>
    <t>DÍAS VENCIDOS</t>
  </si>
  <si>
    <t>Vcto finanzas SEMANA PASADA</t>
  </si>
  <si>
    <t>Vcto finanzas</t>
  </si>
  <si>
    <t>USD HOMOL</t>
  </si>
  <si>
    <t>DÍAS ATRASADOS</t>
  </si>
  <si>
    <t>ANTIGÜEDAD</t>
  </si>
  <si>
    <t>46-60</t>
  </si>
  <si>
    <t>0-45</t>
  </si>
  <si>
    <t>Jun</t>
  </si>
  <si>
    <t>Suma de USD HOMOL</t>
  </si>
  <si>
    <t>Suma de DÍAS ATRASADOS</t>
  </si>
  <si>
    <t>Cuenta de DÍAS VENCIDOS</t>
  </si>
  <si>
    <t>FT-0F002-0000275</t>
  </si>
  <si>
    <t>(Todas)</t>
  </si>
  <si>
    <t>Total Abr</t>
  </si>
  <si>
    <t>Total May</t>
  </si>
  <si>
    <t>Total Jun</t>
  </si>
  <si>
    <t>2026</t>
  </si>
  <si>
    <t>Total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</si>
</sst>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/>
  </cellStyleXfs>
  <cellXfs count="21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quotePrefix="1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0" fontId="0" fillId="0" borderId="0" xfId="0" applyAlignment="1">
      <alignment horizontal="left" vertical="top" indent="1"/>
    </xf>
    <xf numFmtId="0" fontId="4" fillId="3" borderId="0" xfId="2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14" fontId="0" fillId="0" borderId="0" xfId="0" applyNumberFormat="1" applyAlignment="1">
      <alignment vertical="top"/>
    </xf>
    <xf numFmtId="43" fontId="0" fillId="0" borderId="0" xfId="1" applyFont="1" applyAlignment="1">
      <alignment vertical="top"/>
    </xf>
    <xf numFmtId="2" fontId="0" fillId="0" borderId="0" xfId="0" applyNumberFormat="1" applyAlignment="1">
      <alignment vertical="top"/>
    </xf>
    <xf numFmtId="43" fontId="0" fillId="0" borderId="0" xfId="0" applyNumberFormat="1" applyAlignment="1">
      <alignment vertical="top"/>
    </xf>
    <xf numFmtId="0" fontId="4" fillId="0" borderId="0" xfId="2" applyFont="1" applyAlignment="1">
      <alignment vertical="top" wrapText="1"/>
    </xf>
    <xf numFmtId="0" fontId="0" fillId="0" borderId="0" xfId="0" applyAlignment="1">
      <alignment vertical="top" wrapText="1"/>
    </xf>
  </cellXfs>
  <cellStyles count="3">
    <cellStyle name="Millares" xfId="1" builtinId="3"/>
    <cellStyle name="Normal" xfId="0" builtinId="0"/>
    <cellStyle name="Normal 2" xfId="2" xr:uid="{3B412322-46A4-418F-9CB6-37ABA54B9585}"/>
  </cellStyles>
  <dxfs count="33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Sebastian Martinez Montalvo (PFRO)" refreshedDate="46160.93092013889" createdVersion="8" refreshedVersion="8" minRefreshableVersion="3" recordCount="168" xr:uid="{D8945D46-FB82-44EE-BD38-091E8E016443}">
  <cacheSource type="worksheet">
    <worksheetSource ref="A1:R1048576" sheet="Data"/>
  </cacheSource>
  <cacheFields count="21">
    <cacheField name="Cliente" numFmtId="0">
      <sharedItems containsBlank="1"/>
    </cacheField>
    <cacheField name="Nombre de cliente" numFmtId="0">
      <sharedItems containsBlank="1" count="39">
        <s v="ARKANO TRADING SOCIEDAD ANONIMA CER"/>
        <s v="CORPORACION NACIONAL PERU EXPORTACI"/>
        <s v="CRISTO DE LA VICTORIA S.A.C."/>
        <s v="DAIRECK SA"/>
        <s v="ELMER SIXTO SOJO ACARO"/>
        <s v="FOOD &amp; BEVERAGES TRADERS, S.L."/>
        <s v="Giant Ocean Food Company Limited"/>
        <s v="GLOBAL OCEAN FLEXTRADING, S. L"/>
        <s v="Hunan Jinyueyang Import and Export"/>
        <s v="INVERSIONES JOCYMAS SOCIEDAD ANONIM"/>
        <s v="JAHFISH E.I.R.L."/>
        <s v="KULALIA SL"/>
        <s v="LONGKOU JIABAO AQUATIC FOODSTUFFS"/>
        <s v="LONGKOU SANMING AQUATIC"/>
        <s v="Longkou Yunfeng Aquatic Food Co.,Lt"/>
        <s v="NAVAPEZ E.I.R.L."/>
        <s v="NEGOCIOS PESQUEROS AARON EIRL"/>
        <s v="NINGBO JUN TAO IMPORT AND"/>
        <s v="OCEANUS FISH S.L."/>
        <s v="PEGASUS ENTERPRISE S.A.C."/>
        <s v="PESCACORD PERU SOCIEDAD ANONIMA CER"/>
        <s v="PESCIRO SLU"/>
        <s v="PESQUERA HAYDUK S.A."/>
        <s v="Qingdao Haiyujia International Trad"/>
        <s v="SERVICIOS DIESEL EXPRESS E.I.R.L."/>
        <s v="Shandong Sheenier Food Co., Ltd."/>
        <s v="Shenzhen Yueshi Supply Chain"/>
        <s v="STL 5.0 S.A.C."/>
        <s v="TRANSPORTES O Y G S.A.C."/>
        <s v="TSUJINO &amp; CO., LTD"/>
        <s v="TT Interbiz Company Limited"/>
        <s v="YANTAI HIZEN INTERNATIONAL TRADE CO"/>
        <s v="YANTAI HONGCHANG IMPORT AND EXPORT"/>
        <s v="YANTAI JIAHONG IMP &amp; EXP CO., LTD."/>
        <s v="YANTAI TAIXI FOODSTUFF CO., LTD"/>
        <s v="ZHEJIANG ZHOUFU FOOD CO.,LTD"/>
        <s v="ZHOUSHAN EAST CHINA SEA RURAL FOOD"/>
        <m/>
        <s v="OVERSEA ATLANTIC FISH S.L." u="1"/>
      </sharedItems>
    </cacheField>
    <cacheField name="Nº documento" numFmtId="0">
      <sharedItems containsBlank="1"/>
    </cacheField>
    <cacheField name="Referencia" numFmtId="0">
      <sharedItems containsBlank="1" count="167">
        <s v="01-0F101-0004694"/>
        <s v="01-0F101-0004700"/>
        <s v="01-0F101-0004710"/>
        <s v="01-0F101-0004729"/>
        <s v="01-0F101-0004736"/>
        <s v="01-0F101-0004758"/>
        <s v="01-0F101-0004762"/>
        <s v="01-0F101-0004763"/>
        <s v="01-0F101-0004772"/>
        <s v="01-0F101-0004803"/>
        <s v="01-0F101-0004855"/>
        <s v="01-0F101-0005160"/>
        <s v="01-0F101-0005198"/>
        <s v="01-0F101-0005211"/>
        <s v="01-0F101-0005224"/>
        <s v="01-0F101-0005225"/>
        <s v="01-0F101-0005231"/>
        <s v="01-0F101-0005458"/>
        <s v="01-0F101-0005470"/>
        <s v="01-0F101-0005569"/>
        <s v="01-0F101-0005730"/>
        <s v="01-0F101-0005740"/>
        <s v="01-0F101-0006016"/>
        <s v="01-0F101-0006371"/>
        <s v="01-0F101-0006372"/>
        <s v="01-0F101-0006399"/>
        <s v="01-0F101-0006400"/>
        <s v="01-0F002-0000282"/>
        <s v="01-0F002-0000283"/>
        <s v="01-0F002-0000284"/>
        <s v="01-0F002-0000285"/>
        <s v="01-0F002-0000286"/>
        <s v="FT-0F002-0000281"/>
        <s v="03-0B001-0004492"/>
        <s v="03-0B001-0004493"/>
        <s v="03-0B001-0004498"/>
        <s v="03-0B001-0004499"/>
        <s v="03-0B001-0004500"/>
        <s v="03-0B001-0004501"/>
        <s v="03-0B001-0004504"/>
        <s v="03-0B001-0004505"/>
        <s v="03-0B001-0004506"/>
        <s v="03-0B001-0004510"/>
        <s v="03-0B001-0004511"/>
        <s v="03-0B001-0004514"/>
        <s v="03-0B001-0004515"/>
        <s v="03-0B001-0004542"/>
        <s v="03-0B001-0004543"/>
        <s v="03-0B001-0004546"/>
        <s v="03-0B001-0004547"/>
        <s v="01-0F002-0000310"/>
        <s v="01-0F002-0000311"/>
        <s v="ANTICIPO FOOD&amp;BE"/>
        <s v="ANTICIPO GIANT"/>
        <s v="01-0F002-0000295"/>
        <s v="07-0F002-0000043"/>
        <s v="FT-0F002-0000315"/>
        <s v="FT-0F002-0000323"/>
        <s v="FT-0F101-0005949"/>
        <s v="01-0F101-0006401"/>
        <s v="01-0F101-0006222"/>
        <s v="01-0F101-0006223"/>
        <s v="01-0F101-0006236"/>
        <s v="01-0F101-0006237"/>
        <s v="01-0F101-0006241"/>
        <s v="01-0F101-0006242"/>
        <s v="01-0F101-0006253"/>
        <s v="01-0F101-0006254"/>
        <s v="01-0F101-0006266"/>
        <s v="01-0F101-0006267"/>
        <s v="01-0F101-0006293"/>
        <s v="01-0F101-0006294"/>
        <s v="01-0F101-0006332"/>
        <s v="01-0F101-0006333"/>
        <s v="01-0F101-0006338"/>
        <s v="01-0F101-0006339"/>
        <s v="01-0F101-0006367"/>
        <s v="01-0F101-0006368"/>
        <s v="01-0F101-0006369"/>
        <s v="01-0F101-0006370"/>
        <s v="01-0F101-0006378"/>
        <s v="01-0F101-0006379"/>
        <s v="01-0F101-0006380"/>
        <s v="01-0F101-0006381"/>
        <s v="01-0F101-0006407"/>
        <s v="01-0F101-0006408"/>
        <s v="01-0F101-0006409"/>
        <s v="01-0F101-0006410"/>
        <s v="FT-0F002-0000275"/>
        <s v="01-0F002-0000289"/>
        <s v="ANTICIPO KULALIA"/>
        <s v="ANTICIPO FP238"/>
        <s v="01-0F002-0000307"/>
        <s v="01-0F002-0000326"/>
        <s v="ANTICIPO FP237"/>
        <s v="SALDO A FAVOR"/>
        <s v="01-0F002-0000319"/>
        <s v="01-0F101-0004638"/>
        <s v="01-0F101-0004639"/>
        <s v="01-0F101-0004653"/>
        <s v="01-0F101-0004654"/>
        <s v="01-0F101-0006226"/>
        <s v="01-0F101-0006227"/>
        <s v="01-0F101-0006232"/>
        <s v="01-0F101-0006233"/>
        <s v="01-0F101-0006311"/>
        <s v="01-0F101-0006312"/>
        <s v="01-0F101-0006073"/>
        <s v="01-0F101-0006074"/>
        <s v="01-0F101-0006075"/>
        <s v="FT-0F101-0006072"/>
        <s v="01-0F101-0006336"/>
        <s v="01-0F101-0006337"/>
        <s v="ANTICIPO NINGBO"/>
        <s v="01-0F002-0000287"/>
        <s v="01-0F002-0000296"/>
        <s v="01-0F002-0000297"/>
        <s v="01-0F002-0000301"/>
        <s v="01-0F002-0000309"/>
        <s v="FT-0F003-0000101"/>
        <s v="01-0F003-0000129"/>
        <s v="01-0F003-0000168"/>
        <s v="01-0F003-0000174"/>
        <s v="01-0F101-0006138"/>
        <s v="01-0F101-0006139"/>
        <s v="01-0F101-0006183"/>
        <s v="01-0F101-0006184"/>
        <s v="01-0F101-0006257"/>
        <s v="01-0F101-0006258"/>
        <s v="01-0F101-0006271"/>
        <s v="01-0F101-0006272"/>
        <s v="01-0F101-0006313"/>
        <s v="01-0F101-0006314"/>
        <s v="01-0F101-0006376"/>
        <s v="01-0F101-0006377"/>
        <s v="01-0F003-0000083"/>
        <s v="FT-0F002-0000320"/>
        <s v="FT-0F002-0000324"/>
        <s v="FT-0F002-0000313"/>
        <s v="01-0F101-0006366"/>
        <s v="01-0F101-0006373"/>
        <s v="01-0F101-0006404"/>
        <s v="FT-0F002-0000314"/>
        <s v="FT-0F002-0000321"/>
        <s v="ANTICIPO FP231"/>
        <s v="01-0F101-0006343"/>
        <s v="01-0F101-0006344"/>
        <s v="01-0F101-0006263"/>
        <s v="01-0F002-0000291"/>
        <s v="01-0F002-0000304"/>
        <s v="01-0F002-0000305"/>
        <s v="01-0F002-0000316"/>
        <s v="01-0F002-0000317"/>
        <s v="01-0F002-0000318"/>
        <s v="01-0F002-0000322"/>
        <s v="ANTICIPO TT INTE"/>
        <s v="ANTICIPO YANTAHI"/>
        <s v="ANTICIPO YANTAHO"/>
        <s v="01-0F002-0000302"/>
        <s v="01-0F002-0000294"/>
        <s v="FT-0F002-0000293"/>
        <s v="01-0F002-0000300"/>
        <s v="ANTICIPO FP234"/>
        <m/>
        <s v="01-0F002-0000275" u="1"/>
        <s v="FT-0F002-0000298" u="1"/>
        <s v="FT-0F002-0000264" u="1"/>
      </sharedItems>
    </cacheField>
    <cacheField name="Clase de documento" numFmtId="0">
      <sharedItems containsBlank="1" count="7">
        <s v="DF"/>
        <s v="DE"/>
        <s v="ZV"/>
        <s v="DB"/>
        <s v="DZ"/>
        <s v="DC"/>
        <m/>
      </sharedItems>
    </cacheField>
    <cacheField name="Fecha de documento" numFmtId="0">
      <sharedItems containsNonDate="0" containsDate="1" containsString="0" containsBlank="1" minDate="2025-10-07T00:00:00" maxDate="2026-05-16T00:00:00"/>
    </cacheField>
    <cacheField name="Demora tras vencimiento neto" numFmtId="0">
      <sharedItems containsString="0" containsBlank="1" containsNumber="1" containsInteger="1" minValue="-42" maxValue="213"/>
    </cacheField>
    <cacheField name="Fecha de pago" numFmtId="0">
      <sharedItems containsNonDate="0" containsDate="1" containsString="0" containsBlank="1" minDate="2025-10-14T00:00:00" maxDate="2026-06-27T00:00:00"/>
    </cacheField>
    <cacheField name="Importe en moneda doc." numFmtId="0">
      <sharedItems containsString="0" containsBlank="1" containsNumber="1" minValue="-223726" maxValue="420417"/>
    </cacheField>
    <cacheField name="Moneda del documento" numFmtId="0">
      <sharedItems containsBlank="1"/>
    </cacheField>
    <cacheField name="UNIDAD DE NEGOCIO" numFmtId="0">
      <sharedItems containsBlank="1" count="6">
        <s v="NACIONAL"/>
        <s v="EXPORTACIÓN"/>
        <s v="RODRIGO"/>
        <s v="CISTERNA"/>
        <s v="OTROS"/>
        <m/>
      </sharedItems>
    </cacheField>
    <cacheField name="FECHA IDEAL DE PAGO" numFmtId="0">
      <sharedItems containsNonDate="0" containsDate="1" containsString="0" containsBlank="1" minDate="2026-05-12T00:00:00" maxDate="2026-06-28T00:00:00"/>
    </cacheField>
    <cacheField name="DÍAS VENCIDOS" numFmtId="0">
      <sharedItems containsString="0" containsBlank="1" containsNumber="1" containsInteger="1" minValue="-39" maxValue="33"/>
    </cacheField>
    <cacheField name="Vcto finanzas SEMANA PASADA" numFmtId="0">
      <sharedItems containsNonDate="0" containsDate="1" containsString="0" containsBlank="1" minDate="2026-04-15T00:00:00" maxDate="2026-06-27T00:00:00"/>
    </cacheField>
    <cacheField name="Vcto finanzas" numFmtId="0">
      <sharedItems containsNonDate="0" containsDate="1" containsString="0" containsBlank="1" minDate="2025-10-14T00:00:00" maxDate="2026-06-27T00:00:00" count="59">
        <d v="2025-11-26T00:00:00"/>
        <d v="2025-11-27T00:00:00"/>
        <d v="2025-11-28T00:00:00"/>
        <d v="2025-11-29T00:00:00"/>
        <d v="2025-12-04T00:00:00"/>
        <d v="2026-01-13T00:00:00"/>
        <d v="2026-01-15T00:00:00"/>
        <d v="2026-01-17T00:00:00"/>
        <d v="2026-01-23T00:00:00"/>
        <d v="2026-01-26T00:00:00"/>
        <d v="2026-03-24T00:00:00"/>
        <d v="2026-03-26T00:00:00"/>
        <d v="2026-04-06T00:00:00"/>
        <d v="2026-04-16T00:00:00"/>
        <d v="2026-04-17T00:00:00"/>
        <d v="2026-05-02T00:00:00"/>
        <d v="2026-05-20T00:00:00"/>
        <d v="2026-05-22T00:00:00"/>
        <d v="2026-05-23T00:00:00"/>
        <d v="2026-05-07T00:00:00"/>
        <d v="2026-05-09T00:00:00"/>
        <d v="2026-05-10T00:00:00"/>
        <d v="2026-05-11T00:00:00"/>
        <d v="2026-05-05T00:00:00"/>
        <d v="2026-05-12T00:00:00"/>
        <d v="2026-05-13T00:00:00"/>
        <d v="2026-05-19T00:00:00"/>
        <d v="2026-06-11T00:00:00"/>
        <d v="2026-04-29T00:00:00"/>
        <d v="2026-04-15T00:00:00"/>
        <d v="2026-05-27T00:00:00"/>
        <d v="2026-04-20T00:00:00"/>
        <d v="2026-06-13T00:00:00"/>
        <d v="2026-04-22T00:00:00"/>
        <d v="2026-05-15T00:00:00"/>
        <d v="2026-05-14T00:00:00"/>
        <d v="2026-05-18T00:00:00"/>
        <d v="2026-05-21T00:00:00"/>
        <d v="2026-04-28T00:00:00"/>
        <d v="2026-06-10T00:00:00"/>
        <d v="2026-06-26T00:00:00"/>
        <d v="2026-04-26T00:00:00"/>
        <d v="2025-11-10T00:00:00"/>
        <d v="2025-11-13T00:00:00"/>
        <d v="2026-05-06T00:00:00"/>
        <d v="2026-06-06T00:00:00"/>
        <d v="2025-10-21T00:00:00"/>
        <d v="2025-11-11T00:00:00"/>
        <d v="2026-02-07T00:00:00"/>
        <d v="2026-03-10T00:00:00"/>
        <d v="2025-10-14T00:00:00"/>
        <d v="2026-05-08T00:00:00"/>
        <d v="2026-06-09T00:00:00"/>
        <d v="2026-04-30T00:00:00"/>
        <d v="2026-06-08T00:00:00"/>
        <m/>
        <d v="2026-06-04T00:00:00" u="1"/>
        <d v="2026-05-31T00:00:00" u="1"/>
        <d v="2026-05-28T00:00:00" u="1"/>
      </sharedItems>
      <fieldGroup par="20"/>
    </cacheField>
    <cacheField name="USD HOMOL" numFmtId="0">
      <sharedItems containsString="0" containsBlank="1" containsNumber="1" minValue="-223726" maxValue="420417"/>
    </cacheField>
    <cacheField name="DÍAS ATRASADOS" numFmtId="0">
      <sharedItems containsString="0" containsBlank="1" containsNumber="1" containsInteger="1" minValue="5" maxValue="51"/>
    </cacheField>
    <cacheField name="ANTIGÜEDAD" numFmtId="0">
      <sharedItems containsBlank="1" count="4">
        <m/>
        <s v="46-60"/>
        <s v="0-45"/>
        <s v="61-90" u="1"/>
      </sharedItems>
    </cacheField>
    <cacheField name="Meses (Vcto finanzas)" numFmtId="0" databaseField="0">
      <fieldGroup base="14">
        <rangePr groupBy="months" startDate="2025-10-14T00:00:00" endDate="2026-06-27T00:00:00"/>
        <groupItems count="14">
          <s v="&lt;14/10/2025"/>
          <s v="Ene"/>
          <s v="Feb"/>
          <s v="Mar"/>
          <s v="Abr"/>
          <s v="May"/>
          <s v="Jun"/>
          <s v="Jul"/>
          <s v="Ago"/>
          <s v="Set"/>
          <s v="Oct"/>
          <s v="Nov"/>
          <s v="Dic"/>
          <s v="&gt;27/06/2026"/>
        </groupItems>
      </fieldGroup>
    </cacheField>
    <cacheField name="Trimestres (Vcto finanzas)" numFmtId="0" databaseField="0">
      <fieldGroup base="14">
        <rangePr groupBy="quarters" startDate="2025-10-14T00:00:00" endDate="2026-06-27T00:00:00"/>
        <groupItems count="6">
          <s v="&lt;14/10/2025"/>
          <s v="Trim.1"/>
          <s v="Trim.2"/>
          <s v="Trim.3"/>
          <s v="Trim.4"/>
          <s v="&gt;27/06/2026"/>
        </groupItems>
      </fieldGroup>
    </cacheField>
    <cacheField name="Años (Vcto finanzas)" numFmtId="0" databaseField="0">
      <fieldGroup base="14">
        <rangePr groupBy="years" startDate="2025-10-14T00:00:00" endDate="2026-06-27T00:00:00"/>
        <groupItems count="4">
          <s v="&lt;14/10/2025"/>
          <s v="2025"/>
          <s v="2026"/>
          <s v="&gt;27/06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s v="1000013966"/>
    <x v="0"/>
    <s v="1200005220"/>
    <x v="0"/>
    <x v="0"/>
    <d v="2025-11-19T00:00:00"/>
    <n v="170"/>
    <d v="2025-11-26T00:00:00"/>
    <n v="42.48"/>
    <s v="PEN"/>
    <x v="0"/>
    <m/>
    <m/>
    <m/>
    <x v="0"/>
    <n v="12.366812227074234"/>
    <m/>
    <x v="0"/>
  </r>
  <r>
    <s v="1000013966"/>
    <x v="0"/>
    <s v="1200005228"/>
    <x v="1"/>
    <x v="0"/>
    <d v="2025-11-19T00:00:00"/>
    <n v="170"/>
    <d v="2025-11-26T00:00:00"/>
    <n v="14.16"/>
    <s v="PEN"/>
    <x v="0"/>
    <m/>
    <m/>
    <m/>
    <x v="0"/>
    <n v="4.1222707423580784"/>
    <m/>
    <x v="0"/>
  </r>
  <r>
    <s v="1000013966"/>
    <x v="0"/>
    <s v="1200005242"/>
    <x v="2"/>
    <x v="0"/>
    <d v="2025-11-19T00:00:00"/>
    <n v="170"/>
    <d v="2025-11-26T00:00:00"/>
    <n v="14.16"/>
    <s v="PEN"/>
    <x v="0"/>
    <m/>
    <m/>
    <m/>
    <x v="0"/>
    <n v="4.1222707423580784"/>
    <m/>
    <x v="0"/>
  </r>
  <r>
    <s v="1000013966"/>
    <x v="0"/>
    <s v="1200005264"/>
    <x v="3"/>
    <x v="0"/>
    <d v="2025-11-20T00:00:00"/>
    <n v="169"/>
    <d v="2025-11-27T00:00:00"/>
    <n v="28.32"/>
    <s v="PEN"/>
    <x v="0"/>
    <m/>
    <m/>
    <m/>
    <x v="1"/>
    <n v="8.2445414847161569"/>
    <m/>
    <x v="0"/>
  </r>
  <r>
    <s v="1000013966"/>
    <x v="0"/>
    <s v="1200005271"/>
    <x v="4"/>
    <x v="0"/>
    <d v="2025-11-20T00:00:00"/>
    <n v="169"/>
    <d v="2025-11-27T00:00:00"/>
    <n v="14.16"/>
    <s v="PEN"/>
    <x v="0"/>
    <m/>
    <m/>
    <m/>
    <x v="1"/>
    <n v="4.1222707423580784"/>
    <m/>
    <x v="0"/>
  </r>
  <r>
    <s v="1000013966"/>
    <x v="0"/>
    <s v="1200005296"/>
    <x v="5"/>
    <x v="0"/>
    <d v="2025-11-21T00:00:00"/>
    <n v="168"/>
    <d v="2025-11-28T00:00:00"/>
    <n v="28.32"/>
    <s v="PEN"/>
    <x v="0"/>
    <m/>
    <m/>
    <m/>
    <x v="2"/>
    <n v="8.2445414847161569"/>
    <m/>
    <x v="0"/>
  </r>
  <r>
    <s v="1000013966"/>
    <x v="0"/>
    <s v="1200005302"/>
    <x v="6"/>
    <x v="0"/>
    <d v="2025-11-21T00:00:00"/>
    <n v="168"/>
    <d v="2025-11-28T00:00:00"/>
    <n v="42.48"/>
    <s v="PEN"/>
    <x v="0"/>
    <m/>
    <m/>
    <m/>
    <x v="2"/>
    <n v="12.366812227074234"/>
    <m/>
    <x v="0"/>
  </r>
  <r>
    <s v="1000013966"/>
    <x v="0"/>
    <s v="1200005304"/>
    <x v="7"/>
    <x v="0"/>
    <d v="2025-11-21T00:00:00"/>
    <n v="168"/>
    <d v="2025-11-28T00:00:00"/>
    <n v="42.48"/>
    <s v="PEN"/>
    <x v="0"/>
    <m/>
    <m/>
    <m/>
    <x v="2"/>
    <n v="12.366812227074234"/>
    <m/>
    <x v="0"/>
  </r>
  <r>
    <s v="1000013966"/>
    <x v="0"/>
    <s v="1200005313"/>
    <x v="8"/>
    <x v="0"/>
    <d v="2025-11-21T00:00:00"/>
    <n v="168"/>
    <d v="2025-11-28T00:00:00"/>
    <n v="14.16"/>
    <s v="PEN"/>
    <x v="0"/>
    <m/>
    <m/>
    <m/>
    <x v="2"/>
    <n v="4.1222707423580784"/>
    <m/>
    <x v="0"/>
  </r>
  <r>
    <s v="1000013966"/>
    <x v="0"/>
    <s v="1200005346"/>
    <x v="9"/>
    <x v="0"/>
    <d v="2025-11-22T00:00:00"/>
    <n v="167"/>
    <d v="2025-11-29T00:00:00"/>
    <n v="28.32"/>
    <s v="PEN"/>
    <x v="0"/>
    <m/>
    <m/>
    <m/>
    <x v="3"/>
    <n v="8.2445414847161569"/>
    <m/>
    <x v="0"/>
  </r>
  <r>
    <s v="1000013966"/>
    <x v="0"/>
    <s v="1200005422"/>
    <x v="10"/>
    <x v="0"/>
    <d v="2025-11-27T00:00:00"/>
    <n v="162"/>
    <d v="2025-12-04T00:00:00"/>
    <n v="14.16"/>
    <s v="PEN"/>
    <x v="0"/>
    <m/>
    <m/>
    <m/>
    <x v="4"/>
    <n v="4.1222707423580784"/>
    <m/>
    <x v="0"/>
  </r>
  <r>
    <s v="1000013966"/>
    <x v="0"/>
    <s v="1200000045"/>
    <x v="11"/>
    <x v="0"/>
    <d v="2026-01-06T00:00:00"/>
    <n v="122"/>
    <d v="2026-01-13T00:00:00"/>
    <n v="14.16"/>
    <s v="PEN"/>
    <x v="0"/>
    <m/>
    <m/>
    <m/>
    <x v="5"/>
    <n v="4.1222707423580784"/>
    <m/>
    <x v="0"/>
  </r>
  <r>
    <s v="1000013966"/>
    <x v="0"/>
    <s v="1200000090"/>
    <x v="12"/>
    <x v="0"/>
    <d v="2026-01-08T00:00:00"/>
    <n v="120"/>
    <d v="2026-01-15T00:00:00"/>
    <n v="14.16"/>
    <s v="PEN"/>
    <x v="0"/>
    <m/>
    <m/>
    <m/>
    <x v="6"/>
    <n v="4.1222707423580784"/>
    <m/>
    <x v="0"/>
  </r>
  <r>
    <s v="1000013966"/>
    <x v="0"/>
    <s v="1200000113"/>
    <x v="13"/>
    <x v="0"/>
    <d v="2026-01-10T00:00:00"/>
    <n v="118"/>
    <d v="2026-01-17T00:00:00"/>
    <n v="14.16"/>
    <s v="PEN"/>
    <x v="0"/>
    <m/>
    <m/>
    <m/>
    <x v="7"/>
    <n v="4.1222707423580784"/>
    <m/>
    <x v="0"/>
  </r>
  <r>
    <s v="1000013966"/>
    <x v="0"/>
    <s v="1200000132"/>
    <x v="14"/>
    <x v="0"/>
    <d v="2026-01-16T00:00:00"/>
    <n v="112"/>
    <d v="2026-01-23T00:00:00"/>
    <n v="14.16"/>
    <s v="PEN"/>
    <x v="0"/>
    <m/>
    <m/>
    <m/>
    <x v="8"/>
    <n v="4.1222707423580784"/>
    <m/>
    <x v="0"/>
  </r>
  <r>
    <s v="1000013966"/>
    <x v="0"/>
    <s v="1200000133"/>
    <x v="15"/>
    <x v="0"/>
    <d v="2026-01-16T00:00:00"/>
    <n v="112"/>
    <d v="2026-01-23T00:00:00"/>
    <n v="14.16"/>
    <s v="PEN"/>
    <x v="0"/>
    <m/>
    <m/>
    <m/>
    <x v="8"/>
    <n v="4.1222707423580784"/>
    <m/>
    <x v="0"/>
  </r>
  <r>
    <s v="1000013966"/>
    <x v="0"/>
    <s v="1200000141"/>
    <x v="16"/>
    <x v="0"/>
    <d v="2026-01-19T00:00:00"/>
    <n v="109"/>
    <d v="2026-01-26T00:00:00"/>
    <n v="14.16"/>
    <s v="PEN"/>
    <x v="0"/>
    <m/>
    <m/>
    <m/>
    <x v="9"/>
    <n v="4.1222707423580784"/>
    <m/>
    <x v="0"/>
  </r>
  <r>
    <s v="1000013678"/>
    <x v="1"/>
    <s v="1200000439"/>
    <x v="17"/>
    <x v="0"/>
    <d v="2026-03-17T00:00:00"/>
    <n v="52"/>
    <d v="2026-03-24T00:00:00"/>
    <n v="424.8"/>
    <s v="PEN"/>
    <x v="0"/>
    <m/>
    <m/>
    <m/>
    <x v="10"/>
    <n v="123.66812227074236"/>
    <m/>
    <x v="0"/>
  </r>
  <r>
    <s v="1000013678"/>
    <x v="1"/>
    <s v="1200000453"/>
    <x v="18"/>
    <x v="0"/>
    <d v="2026-03-19T00:00:00"/>
    <n v="50"/>
    <d v="2026-03-26T00:00:00"/>
    <n v="283.2"/>
    <s v="PEN"/>
    <x v="0"/>
    <m/>
    <m/>
    <m/>
    <x v="11"/>
    <n v="82.445414847161572"/>
    <m/>
    <x v="0"/>
  </r>
  <r>
    <s v="1000013678"/>
    <x v="1"/>
    <s v="1200000582"/>
    <x v="19"/>
    <x v="0"/>
    <d v="2026-03-30T00:00:00"/>
    <n v="39"/>
    <d v="2026-04-06T00:00:00"/>
    <n v="283.2"/>
    <s v="PEN"/>
    <x v="0"/>
    <m/>
    <m/>
    <m/>
    <x v="12"/>
    <n v="82.445414847161572"/>
    <m/>
    <x v="0"/>
  </r>
  <r>
    <s v="1000013678"/>
    <x v="1"/>
    <s v="1200000812"/>
    <x v="20"/>
    <x v="0"/>
    <d v="2026-04-09T00:00:00"/>
    <n v="29"/>
    <d v="2026-04-16T00:00:00"/>
    <n v="354"/>
    <s v="PEN"/>
    <x v="0"/>
    <m/>
    <m/>
    <m/>
    <x v="13"/>
    <n v="103.05676855895196"/>
    <m/>
    <x v="0"/>
  </r>
  <r>
    <s v="1000013678"/>
    <x v="1"/>
    <s v="1200000824"/>
    <x v="21"/>
    <x v="0"/>
    <d v="2026-04-10T00:00:00"/>
    <n v="28"/>
    <d v="2026-04-17T00:00:00"/>
    <n v="236"/>
    <s v="PEN"/>
    <x v="0"/>
    <m/>
    <m/>
    <m/>
    <x v="14"/>
    <n v="68.704512372634639"/>
    <m/>
    <x v="0"/>
  </r>
  <r>
    <s v="1000013678"/>
    <x v="1"/>
    <s v="1200001211"/>
    <x v="22"/>
    <x v="0"/>
    <d v="2026-04-25T00:00:00"/>
    <n v="13"/>
    <d v="2026-05-02T00:00:00"/>
    <n v="354"/>
    <s v="PEN"/>
    <x v="0"/>
    <m/>
    <m/>
    <m/>
    <x v="15"/>
    <n v="103.05676855895196"/>
    <m/>
    <x v="0"/>
  </r>
  <r>
    <s v="1000002057"/>
    <x v="2"/>
    <s v="1200001689"/>
    <x v="23"/>
    <x v="0"/>
    <d v="2026-05-13T00:00:00"/>
    <n v="-5"/>
    <d v="2026-05-20T00:00:00"/>
    <n v="349.23"/>
    <s v="PEN"/>
    <x v="0"/>
    <m/>
    <m/>
    <m/>
    <x v="16"/>
    <n v="101.66812227074236"/>
    <m/>
    <x v="0"/>
  </r>
  <r>
    <s v="1000002057"/>
    <x v="2"/>
    <s v="1200001690"/>
    <x v="24"/>
    <x v="0"/>
    <d v="2026-05-13T00:00:00"/>
    <n v="-5"/>
    <d v="2026-05-20T00:00:00"/>
    <n v="141.6"/>
    <s v="PEN"/>
    <x v="0"/>
    <m/>
    <m/>
    <m/>
    <x v="16"/>
    <n v="41.222707423580786"/>
    <m/>
    <x v="0"/>
  </r>
  <r>
    <s v="1000002057"/>
    <x v="2"/>
    <s v="1200001731"/>
    <x v="25"/>
    <x v="0"/>
    <d v="2026-05-15T00:00:00"/>
    <n v="-7"/>
    <d v="2026-05-22T00:00:00"/>
    <n v="274.56"/>
    <s v="PEN"/>
    <x v="0"/>
    <m/>
    <m/>
    <m/>
    <x v="17"/>
    <n v="79.930131004366814"/>
    <m/>
    <x v="0"/>
  </r>
  <r>
    <s v="1000002057"/>
    <x v="2"/>
    <s v="1200001732"/>
    <x v="26"/>
    <x v="0"/>
    <d v="2026-05-15T00:00:00"/>
    <n v="-7"/>
    <d v="2026-05-22T00:00:00"/>
    <n v="141.6"/>
    <s v="PEN"/>
    <x v="0"/>
    <m/>
    <m/>
    <m/>
    <x v="17"/>
    <n v="41.222707423580786"/>
    <m/>
    <x v="0"/>
  </r>
  <r>
    <s v="2000001381"/>
    <x v="3"/>
    <s v="1200000638"/>
    <x v="27"/>
    <x v="1"/>
    <d v="2026-03-29T00:00:00"/>
    <n v="2"/>
    <d v="2026-05-13T00:00:00"/>
    <n v="24860"/>
    <s v="USD"/>
    <x v="1"/>
    <d v="2026-05-13T00:00:00"/>
    <n v="5"/>
    <d v="2026-05-13T00:00:00"/>
    <x v="18"/>
    <n v="24860"/>
    <n v="50"/>
    <x v="1"/>
  </r>
  <r>
    <s v="2000001381"/>
    <x v="3"/>
    <s v="1200000639"/>
    <x v="28"/>
    <x v="1"/>
    <d v="2026-03-29T00:00:00"/>
    <n v="2"/>
    <d v="2026-05-13T00:00:00"/>
    <n v="24860"/>
    <s v="USD"/>
    <x v="1"/>
    <d v="2026-05-13T00:00:00"/>
    <n v="5"/>
    <d v="2026-05-13T00:00:00"/>
    <x v="18"/>
    <n v="24860"/>
    <n v="50"/>
    <x v="1"/>
  </r>
  <r>
    <s v="2000001381"/>
    <x v="3"/>
    <s v="1200000641"/>
    <x v="29"/>
    <x v="1"/>
    <d v="2026-03-29T00:00:00"/>
    <n v="2"/>
    <d v="2026-05-13T00:00:00"/>
    <n v="28800"/>
    <s v="USD"/>
    <x v="1"/>
    <d v="2026-05-13T00:00:00"/>
    <n v="5"/>
    <d v="2026-05-13T00:00:00"/>
    <x v="18"/>
    <n v="28800"/>
    <n v="50"/>
    <x v="1"/>
  </r>
  <r>
    <s v="2000001381"/>
    <x v="3"/>
    <s v="1200000642"/>
    <x v="30"/>
    <x v="1"/>
    <d v="2026-03-29T00:00:00"/>
    <n v="2"/>
    <d v="2026-05-13T00:00:00"/>
    <n v="28800"/>
    <s v="USD"/>
    <x v="1"/>
    <d v="2026-05-13T00:00:00"/>
    <n v="5"/>
    <d v="2026-05-13T00:00:00"/>
    <x v="18"/>
    <n v="28800"/>
    <n v="50"/>
    <x v="1"/>
  </r>
  <r>
    <s v="2000001381"/>
    <x v="3"/>
    <s v="1200000643"/>
    <x v="31"/>
    <x v="1"/>
    <d v="2026-03-29T00:00:00"/>
    <n v="2"/>
    <d v="2026-05-13T00:00:00"/>
    <n v="29300"/>
    <s v="USD"/>
    <x v="1"/>
    <d v="2026-05-13T00:00:00"/>
    <n v="5"/>
    <d v="2026-05-13T00:00:00"/>
    <x v="18"/>
    <n v="29300"/>
    <n v="50"/>
    <x v="1"/>
  </r>
  <r>
    <s v="2000001381"/>
    <x v="3"/>
    <s v="1300002658"/>
    <x v="32"/>
    <x v="2"/>
    <d v="2026-03-29T00:00:00"/>
    <n v="47"/>
    <d v="2026-03-29T00:00:00"/>
    <n v="8136.99"/>
    <s v="USD"/>
    <x v="1"/>
    <d v="2026-05-13T00:00:00"/>
    <n v="5"/>
    <d v="2026-05-13T00:00:00"/>
    <x v="18"/>
    <n v="8136.99"/>
    <n v="50"/>
    <x v="1"/>
  </r>
  <r>
    <s v="1000013754"/>
    <x v="4"/>
    <s v="1200001352"/>
    <x v="33"/>
    <x v="3"/>
    <d v="2026-04-30T00:00:00"/>
    <n v="8"/>
    <d v="2026-05-07T00:00:00"/>
    <n v="488.28"/>
    <s v="PEN"/>
    <x v="0"/>
    <m/>
    <m/>
    <m/>
    <x v="19"/>
    <n v="142.14847161572052"/>
    <m/>
    <x v="0"/>
  </r>
  <r>
    <s v="1000013754"/>
    <x v="4"/>
    <s v="1200001353"/>
    <x v="34"/>
    <x v="3"/>
    <d v="2026-04-30T00:00:00"/>
    <n v="8"/>
    <d v="2026-05-07T00:00:00"/>
    <n v="47.2"/>
    <s v="PEN"/>
    <x v="0"/>
    <m/>
    <m/>
    <m/>
    <x v="19"/>
    <n v="13.74090247452693"/>
    <m/>
    <x v="0"/>
  </r>
  <r>
    <s v="1000013754"/>
    <x v="4"/>
    <s v="1200001400"/>
    <x v="35"/>
    <x v="3"/>
    <d v="2026-05-02T00:00:00"/>
    <n v="6"/>
    <d v="2026-05-09T00:00:00"/>
    <n v="787.3"/>
    <s v="PEN"/>
    <x v="0"/>
    <m/>
    <m/>
    <m/>
    <x v="20"/>
    <n v="229.19941775836972"/>
    <m/>
    <x v="0"/>
  </r>
  <r>
    <s v="1000013754"/>
    <x v="4"/>
    <s v="1200001401"/>
    <x v="36"/>
    <x v="3"/>
    <d v="2026-05-02T00:00:00"/>
    <n v="6"/>
    <d v="2026-05-09T00:00:00"/>
    <n v="70.8"/>
    <s v="PEN"/>
    <x v="0"/>
    <m/>
    <m/>
    <m/>
    <x v="20"/>
    <n v="20.611353711790393"/>
    <m/>
    <x v="0"/>
  </r>
  <r>
    <s v="1000013754"/>
    <x v="4"/>
    <s v="1200001417"/>
    <x v="37"/>
    <x v="3"/>
    <d v="2026-05-03T00:00:00"/>
    <n v="5"/>
    <d v="2026-05-10T00:00:00"/>
    <n v="1235.7"/>
    <s v="PEN"/>
    <x v="0"/>
    <m/>
    <m/>
    <m/>
    <x v="21"/>
    <n v="359.73799126637556"/>
    <m/>
    <x v="0"/>
  </r>
  <r>
    <s v="1000013754"/>
    <x v="4"/>
    <s v="1200001418"/>
    <x v="38"/>
    <x v="3"/>
    <d v="2026-05-03T00:00:00"/>
    <n v="5"/>
    <d v="2026-05-10T00:00:00"/>
    <n v="118"/>
    <s v="PEN"/>
    <x v="0"/>
    <m/>
    <m/>
    <m/>
    <x v="21"/>
    <n v="34.352256186317319"/>
    <m/>
    <x v="0"/>
  </r>
  <r>
    <s v="1000013754"/>
    <x v="4"/>
    <s v="1200001452"/>
    <x v="39"/>
    <x v="3"/>
    <d v="2026-05-04T00:00:00"/>
    <n v="4"/>
    <d v="2026-05-11T00:00:00"/>
    <n v="258.18"/>
    <s v="PEN"/>
    <x v="0"/>
    <m/>
    <m/>
    <m/>
    <x v="22"/>
    <n v="75.161572052401752"/>
    <m/>
    <x v="0"/>
  </r>
  <r>
    <s v="1000013754"/>
    <x v="4"/>
    <s v="1200001453"/>
    <x v="40"/>
    <x v="3"/>
    <d v="2026-05-04T00:00:00"/>
    <n v="4"/>
    <d v="2026-05-11T00:00:00"/>
    <n v="70.8"/>
    <s v="PEN"/>
    <x v="0"/>
    <m/>
    <m/>
    <m/>
    <x v="22"/>
    <n v="20.611353711790393"/>
    <m/>
    <x v="0"/>
  </r>
  <r>
    <s v="1000013754"/>
    <x v="4"/>
    <s v="1200001456"/>
    <x v="41"/>
    <x v="3"/>
    <d v="2026-05-05T00:00:00"/>
    <n v="10"/>
    <d v="2026-05-05T00:00:00"/>
    <n v="23.6"/>
    <s v="PEN"/>
    <x v="0"/>
    <m/>
    <m/>
    <m/>
    <x v="23"/>
    <n v="6.870451237263465"/>
    <m/>
    <x v="0"/>
  </r>
  <r>
    <s v="1000013754"/>
    <x v="4"/>
    <s v="1200001494"/>
    <x v="42"/>
    <x v="3"/>
    <d v="2026-05-05T00:00:00"/>
    <n v="3"/>
    <d v="2026-05-12T00:00:00"/>
    <n v="70.8"/>
    <s v="PEN"/>
    <x v="0"/>
    <m/>
    <m/>
    <m/>
    <x v="24"/>
    <n v="20.611353711790393"/>
    <m/>
    <x v="0"/>
  </r>
  <r>
    <s v="1000013754"/>
    <x v="4"/>
    <s v="1200001495"/>
    <x v="43"/>
    <x v="3"/>
    <d v="2026-05-05T00:00:00"/>
    <n v="3"/>
    <d v="2026-05-12T00:00:00"/>
    <n v="369.58"/>
    <s v="PEN"/>
    <x v="0"/>
    <m/>
    <m/>
    <m/>
    <x v="24"/>
    <n v="107.5924308588064"/>
    <m/>
    <x v="0"/>
  </r>
  <r>
    <s v="1000013754"/>
    <x v="4"/>
    <s v="1200001511"/>
    <x v="44"/>
    <x v="3"/>
    <d v="2026-05-06T00:00:00"/>
    <n v="2"/>
    <d v="2026-05-13T00:00:00"/>
    <n v="458.55"/>
    <s v="PEN"/>
    <x v="0"/>
    <m/>
    <m/>
    <m/>
    <x v="25"/>
    <n v="133.49344978165939"/>
    <m/>
    <x v="0"/>
  </r>
  <r>
    <s v="1000013754"/>
    <x v="4"/>
    <s v="1200001512"/>
    <x v="45"/>
    <x v="3"/>
    <d v="2026-05-06T00:00:00"/>
    <n v="2"/>
    <d v="2026-05-13T00:00:00"/>
    <n v="70.8"/>
    <s v="PEN"/>
    <x v="0"/>
    <m/>
    <m/>
    <m/>
    <x v="25"/>
    <n v="20.611353711790393"/>
    <m/>
    <x v="0"/>
  </r>
  <r>
    <s v="1000013754"/>
    <x v="4"/>
    <s v="1200001646"/>
    <x v="46"/>
    <x v="3"/>
    <d v="2026-05-12T00:00:00"/>
    <n v="-4"/>
    <d v="2026-05-19T00:00:00"/>
    <n v="384.44"/>
    <s v="PEN"/>
    <x v="0"/>
    <m/>
    <m/>
    <m/>
    <x v="26"/>
    <n v="111.91848617176127"/>
    <m/>
    <x v="0"/>
  </r>
  <r>
    <s v="1000013754"/>
    <x v="4"/>
    <s v="1200001647"/>
    <x v="47"/>
    <x v="3"/>
    <d v="2026-05-12T00:00:00"/>
    <n v="-4"/>
    <d v="2026-05-19T00:00:00"/>
    <n v="47.2"/>
    <s v="PEN"/>
    <x v="0"/>
    <m/>
    <m/>
    <m/>
    <x v="26"/>
    <n v="13.74090247452693"/>
    <m/>
    <x v="0"/>
  </r>
  <r>
    <s v="1000013754"/>
    <x v="4"/>
    <s v="1200001687"/>
    <x v="48"/>
    <x v="3"/>
    <d v="2026-05-13T00:00:00"/>
    <n v="-5"/>
    <d v="2026-05-20T00:00:00"/>
    <n v="1143.8900000000001"/>
    <s v="PEN"/>
    <x v="0"/>
    <m/>
    <m/>
    <m/>
    <x v="16"/>
    <n v="333.01018922852984"/>
    <m/>
    <x v="0"/>
  </r>
  <r>
    <s v="1000013754"/>
    <x v="4"/>
    <s v="1200001688"/>
    <x v="49"/>
    <x v="3"/>
    <d v="2026-05-13T00:00:00"/>
    <n v="-5"/>
    <d v="2026-05-20T00:00:00"/>
    <n v="118"/>
    <s v="PEN"/>
    <x v="0"/>
    <m/>
    <m/>
    <m/>
    <x v="16"/>
    <n v="34.352256186317319"/>
    <m/>
    <x v="0"/>
  </r>
  <r>
    <s v="2000001368"/>
    <x v="5"/>
    <s v="1200001322"/>
    <x v="50"/>
    <x v="1"/>
    <d v="2026-04-27T00:00:00"/>
    <n v="-27"/>
    <d v="2026-06-11T00:00:00"/>
    <n v="323856"/>
    <s v="USD"/>
    <x v="1"/>
    <d v="2026-06-11T00:00:00"/>
    <n v="-24"/>
    <d v="2026-06-11T00:00:00"/>
    <x v="27"/>
    <n v="323856"/>
    <n v="21"/>
    <x v="2"/>
  </r>
  <r>
    <s v="2000001368"/>
    <x v="5"/>
    <s v="1200001323"/>
    <x v="51"/>
    <x v="1"/>
    <d v="2026-04-27T00:00:00"/>
    <n v="-27"/>
    <d v="2026-06-11T00:00:00"/>
    <n v="388800"/>
    <s v="USD"/>
    <x v="1"/>
    <d v="2026-06-11T00:00:00"/>
    <n v="-24"/>
    <d v="2026-06-11T00:00:00"/>
    <x v="27"/>
    <n v="388800"/>
    <n v="21"/>
    <x v="2"/>
  </r>
  <r>
    <s v="2000001368"/>
    <x v="5"/>
    <s v="1300002697"/>
    <x v="52"/>
    <x v="4"/>
    <d v="2026-04-29T00:00:00"/>
    <n v="0"/>
    <d v="2026-04-30T00:00:00"/>
    <n v="-64701"/>
    <s v="USD"/>
    <x v="1"/>
    <d v="2026-06-13T00:00:00"/>
    <n v="18"/>
    <d v="2026-04-30T00:00:00"/>
    <x v="28"/>
    <n v="-64701"/>
    <n v="19"/>
    <x v="2"/>
  </r>
  <r>
    <s v="2000001441"/>
    <x v="6"/>
    <s v="1300002663"/>
    <x v="53"/>
    <x v="4"/>
    <d v="2026-04-15T00:00:00"/>
    <n v="0"/>
    <d v="2026-04-30T00:00:00"/>
    <n v="-16145"/>
    <s v="USD"/>
    <x v="1"/>
    <d v="2026-05-30T00:00:00"/>
    <n v="33"/>
    <d v="2026-04-15T00:00:00"/>
    <x v="29"/>
    <n v="-16145"/>
    <n v="33"/>
    <x v="2"/>
  </r>
  <r>
    <s v="2000001361"/>
    <x v="7"/>
    <s v="1200000957"/>
    <x v="54"/>
    <x v="1"/>
    <d v="2026-04-12T00:00:00"/>
    <n v="-12"/>
    <d v="2026-05-27T00:00:00"/>
    <n v="67550"/>
    <s v="USD"/>
    <x v="1"/>
    <d v="2026-05-27T00:00:00"/>
    <n v="-9"/>
    <d v="2026-05-27T00:00:00"/>
    <x v="30"/>
    <n v="67550"/>
    <n v="36"/>
    <x v="2"/>
  </r>
  <r>
    <s v="2000001361"/>
    <x v="7"/>
    <s v="1200001071"/>
    <x v="55"/>
    <x v="5"/>
    <d v="2026-04-20T00:00:00"/>
    <n v="-12"/>
    <d v="2026-05-27T00:00:00"/>
    <n v="-0.02"/>
    <s v="USD"/>
    <x v="1"/>
    <d v="2026-06-04T00:00:00"/>
    <n v="-17"/>
    <d v="2026-06-04T00:00:00"/>
    <x v="31"/>
    <n v="-0.02"/>
    <n v="28"/>
    <x v="2"/>
  </r>
  <r>
    <s v="2000001398"/>
    <x v="8"/>
    <s v="1300002661"/>
    <x v="56"/>
    <x v="2"/>
    <d v="2026-04-27T00:00:00"/>
    <n v="18"/>
    <d v="2026-04-27T00:00:00"/>
    <n v="19830"/>
    <s v="USD"/>
    <x v="1"/>
    <d v="2026-06-11T00:00:00"/>
    <n v="-24"/>
    <d v="2026-06-11T00:00:00"/>
    <x v="27"/>
    <n v="19830"/>
    <n v="21"/>
    <x v="2"/>
  </r>
  <r>
    <s v="2000001398"/>
    <x v="8"/>
    <s v="1300002662"/>
    <x v="57"/>
    <x v="2"/>
    <d v="2026-04-29T00:00:00"/>
    <n v="16"/>
    <d v="2026-04-29T00:00:00"/>
    <n v="36040"/>
    <s v="USD"/>
    <x v="1"/>
    <d v="2026-06-13T00:00:00"/>
    <n v="-26"/>
    <d v="2026-06-13T00:00:00"/>
    <x v="32"/>
    <n v="36040"/>
    <n v="19"/>
    <x v="2"/>
  </r>
  <r>
    <s v="1000000875"/>
    <x v="9"/>
    <s v="1300002741"/>
    <x v="58"/>
    <x v="2"/>
    <d v="2026-04-22T00:00:00"/>
    <n v="23"/>
    <d v="2026-04-22T00:00:00"/>
    <n v="89.55"/>
    <s v="PEN"/>
    <x v="0"/>
    <m/>
    <m/>
    <m/>
    <x v="33"/>
    <n v="26.069868995633186"/>
    <m/>
    <x v="0"/>
  </r>
  <r>
    <s v="1000000875"/>
    <x v="9"/>
    <s v="1200001733"/>
    <x v="59"/>
    <x v="0"/>
    <d v="2026-05-15T00:00:00"/>
    <n v="0"/>
    <d v="2026-05-15T00:00:00"/>
    <n v="118"/>
    <s v="PEN"/>
    <x v="0"/>
    <m/>
    <m/>
    <m/>
    <x v="34"/>
    <n v="34.352256186317319"/>
    <m/>
    <x v="0"/>
  </r>
  <r>
    <s v="1000006830"/>
    <x v="10"/>
    <s v="1200001499"/>
    <x v="60"/>
    <x v="0"/>
    <d v="2026-05-06T00:00:00"/>
    <n v="2"/>
    <d v="2026-05-13T00:00:00"/>
    <n v="301.37"/>
    <s v="PEN"/>
    <x v="0"/>
    <m/>
    <m/>
    <m/>
    <x v="25"/>
    <n v="87.735080058224156"/>
    <m/>
    <x v="0"/>
  </r>
  <r>
    <s v="1000006830"/>
    <x v="10"/>
    <s v="1200001500"/>
    <x v="61"/>
    <x v="0"/>
    <d v="2026-05-06T00:00:00"/>
    <n v="2"/>
    <d v="2026-05-13T00:00:00"/>
    <n v="47.2"/>
    <s v="PEN"/>
    <x v="0"/>
    <m/>
    <m/>
    <m/>
    <x v="25"/>
    <n v="13.74090247452693"/>
    <m/>
    <x v="0"/>
  </r>
  <r>
    <s v="1000006830"/>
    <x v="10"/>
    <s v="1200001517"/>
    <x v="62"/>
    <x v="0"/>
    <d v="2026-05-06T00:00:00"/>
    <n v="2"/>
    <d v="2026-05-13T00:00:00"/>
    <n v="70.8"/>
    <s v="PEN"/>
    <x v="0"/>
    <m/>
    <m/>
    <m/>
    <x v="25"/>
    <n v="20.611353711790393"/>
    <m/>
    <x v="0"/>
  </r>
  <r>
    <s v="1000006830"/>
    <x v="10"/>
    <s v="1200001518"/>
    <x v="63"/>
    <x v="0"/>
    <d v="2026-05-06T00:00:00"/>
    <n v="2"/>
    <d v="2026-05-13T00:00:00"/>
    <n v="318.83999999999997"/>
    <s v="PEN"/>
    <x v="0"/>
    <m/>
    <m/>
    <m/>
    <x v="25"/>
    <n v="92.820960698689944"/>
    <m/>
    <x v="0"/>
  </r>
  <r>
    <s v="1000006830"/>
    <x v="10"/>
    <s v="1200001522"/>
    <x v="64"/>
    <x v="0"/>
    <d v="2026-05-06T00:00:00"/>
    <n v="2"/>
    <d v="2026-05-13T00:00:00"/>
    <n v="321.14999999999998"/>
    <s v="PEN"/>
    <x v="0"/>
    <m/>
    <m/>
    <m/>
    <x v="25"/>
    <n v="93.493449781659379"/>
    <m/>
    <x v="0"/>
  </r>
  <r>
    <s v="1000006830"/>
    <x v="10"/>
    <s v="1200001523"/>
    <x v="65"/>
    <x v="0"/>
    <d v="2026-05-06T00:00:00"/>
    <n v="2"/>
    <d v="2026-05-13T00:00:00"/>
    <n v="135.69999999999999"/>
    <s v="PEN"/>
    <x v="0"/>
    <m/>
    <m/>
    <m/>
    <x v="25"/>
    <n v="39.50509461426492"/>
    <m/>
    <x v="0"/>
  </r>
  <r>
    <s v="1000006830"/>
    <x v="10"/>
    <s v="1200001537"/>
    <x v="66"/>
    <x v="0"/>
    <d v="2026-05-07T00:00:00"/>
    <n v="1"/>
    <d v="2026-05-14T00:00:00"/>
    <n v="70.8"/>
    <s v="PEN"/>
    <x v="0"/>
    <m/>
    <m/>
    <m/>
    <x v="35"/>
    <n v="20.611353711790393"/>
    <m/>
    <x v="0"/>
  </r>
  <r>
    <s v="1000006830"/>
    <x v="10"/>
    <s v="1200001538"/>
    <x v="67"/>
    <x v="0"/>
    <d v="2026-05-07T00:00:00"/>
    <n v="1"/>
    <d v="2026-05-14T00:00:00"/>
    <n v="256.52999999999997"/>
    <s v="PEN"/>
    <x v="0"/>
    <m/>
    <m/>
    <m/>
    <x v="35"/>
    <n v="74.681222707423572"/>
    <m/>
    <x v="0"/>
  </r>
  <r>
    <s v="1000006830"/>
    <x v="10"/>
    <s v="1200001552"/>
    <x v="68"/>
    <x v="0"/>
    <d v="2026-05-08T00:00:00"/>
    <n v="0"/>
    <d v="2026-05-15T00:00:00"/>
    <n v="258.37"/>
    <s v="PEN"/>
    <x v="0"/>
    <m/>
    <m/>
    <m/>
    <x v="34"/>
    <n v="75.216885007278023"/>
    <m/>
    <x v="0"/>
  </r>
  <r>
    <s v="1000006830"/>
    <x v="10"/>
    <s v="1200001553"/>
    <x v="69"/>
    <x v="0"/>
    <d v="2026-05-08T00:00:00"/>
    <n v="0"/>
    <d v="2026-05-15T00:00:00"/>
    <n v="135.69999999999999"/>
    <s v="PEN"/>
    <x v="0"/>
    <m/>
    <m/>
    <m/>
    <x v="34"/>
    <n v="39.50509461426492"/>
    <m/>
    <x v="0"/>
  </r>
  <r>
    <s v="1000006830"/>
    <x v="10"/>
    <s v="1200001585"/>
    <x v="70"/>
    <x v="0"/>
    <d v="2026-05-11T00:00:00"/>
    <n v="-3"/>
    <d v="2026-05-18T00:00:00"/>
    <n v="185.5"/>
    <s v="PEN"/>
    <x v="0"/>
    <m/>
    <m/>
    <m/>
    <x v="36"/>
    <n v="54.002911208151382"/>
    <m/>
    <x v="0"/>
  </r>
  <r>
    <s v="1000006830"/>
    <x v="10"/>
    <s v="1200001586"/>
    <x v="71"/>
    <x v="0"/>
    <d v="2026-05-11T00:00:00"/>
    <n v="-3"/>
    <d v="2026-05-18T00:00:00"/>
    <n v="47.2"/>
    <s v="PEN"/>
    <x v="0"/>
    <m/>
    <m/>
    <m/>
    <x v="36"/>
    <n v="13.74090247452693"/>
    <m/>
    <x v="0"/>
  </r>
  <r>
    <s v="1000006830"/>
    <x v="10"/>
    <s v="1200001642"/>
    <x v="72"/>
    <x v="0"/>
    <d v="2026-05-12T00:00:00"/>
    <n v="-4"/>
    <d v="2026-05-19T00:00:00"/>
    <n v="1310.74"/>
    <s v="PEN"/>
    <x v="0"/>
    <m/>
    <m/>
    <m/>
    <x v="26"/>
    <n v="381.58369723435226"/>
    <m/>
    <x v="0"/>
  </r>
  <r>
    <s v="1000006830"/>
    <x v="10"/>
    <s v="1200001643"/>
    <x v="73"/>
    <x v="0"/>
    <d v="2026-05-12T00:00:00"/>
    <n v="-4"/>
    <d v="2026-05-19T00:00:00"/>
    <n v="188.8"/>
    <s v="PEN"/>
    <x v="0"/>
    <m/>
    <m/>
    <m/>
    <x v="26"/>
    <n v="54.96360989810772"/>
    <m/>
    <x v="0"/>
  </r>
  <r>
    <s v="1000006830"/>
    <x v="10"/>
    <s v="1200001650"/>
    <x v="74"/>
    <x v="0"/>
    <d v="2026-05-13T00:00:00"/>
    <n v="-5"/>
    <d v="2026-05-20T00:00:00"/>
    <n v="550.78"/>
    <s v="PEN"/>
    <x v="0"/>
    <m/>
    <m/>
    <m/>
    <x v="16"/>
    <n v="160.34352256186315"/>
    <m/>
    <x v="0"/>
  </r>
  <r>
    <s v="1000006830"/>
    <x v="10"/>
    <s v="1200001651"/>
    <x v="75"/>
    <x v="0"/>
    <d v="2026-05-13T00:00:00"/>
    <n v="-5"/>
    <d v="2026-05-20T00:00:00"/>
    <n v="188.8"/>
    <s v="PEN"/>
    <x v="0"/>
    <m/>
    <m/>
    <m/>
    <x v="16"/>
    <n v="54.96360989810772"/>
    <m/>
    <x v="0"/>
  </r>
  <r>
    <s v="1000006830"/>
    <x v="10"/>
    <s v="1200001683"/>
    <x v="76"/>
    <x v="0"/>
    <d v="2026-05-13T00:00:00"/>
    <n v="-5"/>
    <d v="2026-05-20T00:00:00"/>
    <n v="730.66"/>
    <s v="PEN"/>
    <x v="0"/>
    <m/>
    <m/>
    <m/>
    <x v="16"/>
    <n v="212.71033478893739"/>
    <m/>
    <x v="0"/>
  </r>
  <r>
    <s v="1000006830"/>
    <x v="10"/>
    <s v="1200001684"/>
    <x v="77"/>
    <x v="0"/>
    <d v="2026-05-13T00:00:00"/>
    <n v="-5"/>
    <d v="2026-05-20T00:00:00"/>
    <n v="94.4"/>
    <s v="PEN"/>
    <x v="0"/>
    <m/>
    <m/>
    <m/>
    <x v="16"/>
    <n v="27.48180494905386"/>
    <m/>
    <x v="0"/>
  </r>
  <r>
    <s v="1000006830"/>
    <x v="10"/>
    <s v="1200001685"/>
    <x v="78"/>
    <x v="0"/>
    <d v="2026-05-13T00:00:00"/>
    <n v="-5"/>
    <d v="2026-05-20T00:00:00"/>
    <n v="635.36"/>
    <s v="PEN"/>
    <x v="0"/>
    <m/>
    <m/>
    <m/>
    <x v="16"/>
    <n v="184.96652110625911"/>
    <m/>
    <x v="0"/>
  </r>
  <r>
    <s v="1000006830"/>
    <x v="10"/>
    <s v="1200001686"/>
    <x v="79"/>
    <x v="0"/>
    <d v="2026-05-13T00:00:00"/>
    <n v="-5"/>
    <d v="2026-05-20T00:00:00"/>
    <n v="212.4"/>
    <s v="PEN"/>
    <x v="0"/>
    <m/>
    <m/>
    <m/>
    <x v="16"/>
    <n v="61.834061135371179"/>
    <m/>
    <x v="0"/>
  </r>
  <r>
    <s v="1000006830"/>
    <x v="10"/>
    <s v="1200001702"/>
    <x v="80"/>
    <x v="0"/>
    <d v="2026-05-14T00:00:00"/>
    <n v="-6"/>
    <d v="2026-05-21T00:00:00"/>
    <n v="318.36"/>
    <s v="PEN"/>
    <x v="0"/>
    <m/>
    <m/>
    <m/>
    <x v="37"/>
    <n v="92.681222707423586"/>
    <m/>
    <x v="0"/>
  </r>
  <r>
    <s v="1000006830"/>
    <x v="10"/>
    <s v="1200001703"/>
    <x v="81"/>
    <x v="0"/>
    <d v="2026-05-14T00:00:00"/>
    <n v="-6"/>
    <d v="2026-05-21T00:00:00"/>
    <n v="47.2"/>
    <s v="PEN"/>
    <x v="0"/>
    <m/>
    <m/>
    <m/>
    <x v="37"/>
    <n v="13.74090247452693"/>
    <m/>
    <x v="0"/>
  </r>
  <r>
    <s v="1000006830"/>
    <x v="10"/>
    <s v="1200001704"/>
    <x v="82"/>
    <x v="0"/>
    <d v="2026-05-14T00:00:00"/>
    <n v="-6"/>
    <d v="2026-05-21T00:00:00"/>
    <n v="657.5"/>
    <s v="PEN"/>
    <x v="0"/>
    <m/>
    <m/>
    <m/>
    <x v="37"/>
    <n v="191.41193595342068"/>
    <m/>
    <x v="0"/>
  </r>
  <r>
    <s v="1000006830"/>
    <x v="10"/>
    <s v="1200001705"/>
    <x v="83"/>
    <x v="0"/>
    <d v="2026-05-14T00:00:00"/>
    <n v="-6"/>
    <d v="2026-05-21T00:00:00"/>
    <n v="194.7"/>
    <s v="PEN"/>
    <x v="0"/>
    <m/>
    <m/>
    <m/>
    <x v="37"/>
    <n v="56.681222707423579"/>
    <m/>
    <x v="0"/>
  </r>
  <r>
    <s v="1000006830"/>
    <x v="10"/>
    <s v="1200001741"/>
    <x v="84"/>
    <x v="0"/>
    <d v="2026-05-15T00:00:00"/>
    <n v="-7"/>
    <d v="2026-05-22T00:00:00"/>
    <n v="1100.47"/>
    <s v="PEN"/>
    <x v="0"/>
    <m/>
    <m/>
    <m/>
    <x v="17"/>
    <n v="320.36972343522564"/>
    <m/>
    <x v="0"/>
  </r>
  <r>
    <s v="1000006830"/>
    <x v="10"/>
    <s v="1200001742"/>
    <x v="85"/>
    <x v="0"/>
    <d v="2026-05-15T00:00:00"/>
    <n v="-7"/>
    <d v="2026-05-22T00:00:00"/>
    <n v="118"/>
    <s v="PEN"/>
    <x v="0"/>
    <m/>
    <m/>
    <m/>
    <x v="17"/>
    <n v="34.352256186317319"/>
    <m/>
    <x v="0"/>
  </r>
  <r>
    <s v="1000006830"/>
    <x v="10"/>
    <s v="1200001743"/>
    <x v="86"/>
    <x v="0"/>
    <d v="2026-05-15T00:00:00"/>
    <n v="-7"/>
    <d v="2026-05-22T00:00:00"/>
    <n v="577.87"/>
    <s v="PEN"/>
    <x v="0"/>
    <m/>
    <m/>
    <m/>
    <x v="17"/>
    <n v="168.22998544395924"/>
    <m/>
    <x v="0"/>
  </r>
  <r>
    <s v="1000006830"/>
    <x v="10"/>
    <s v="1200001744"/>
    <x v="87"/>
    <x v="0"/>
    <d v="2026-05-15T00:00:00"/>
    <n v="-7"/>
    <d v="2026-05-22T00:00:00"/>
    <n v="159.30000000000001"/>
    <s v="PEN"/>
    <x v="0"/>
    <m/>
    <m/>
    <m/>
    <x v="17"/>
    <n v="46.375545851528386"/>
    <m/>
    <x v="0"/>
  </r>
  <r>
    <s v="2000001172"/>
    <x v="11"/>
    <s v="1200000623"/>
    <x v="88"/>
    <x v="1"/>
    <d v="2026-03-28T00:00:00"/>
    <n v="3"/>
    <d v="2026-05-12T00:00:00"/>
    <n v="70913.070000000007"/>
    <s v="USD"/>
    <x v="1"/>
    <d v="2026-05-12T00:00:00"/>
    <n v="6"/>
    <d v="2026-05-12T00:00:00"/>
    <x v="17"/>
    <n v="70913.070000000007"/>
    <n v="51"/>
    <x v="1"/>
  </r>
  <r>
    <s v="2000001172"/>
    <x v="11"/>
    <s v="1200000754"/>
    <x v="89"/>
    <x v="1"/>
    <d v="2026-04-08T00:00:00"/>
    <n v="-8"/>
    <d v="2026-05-23T00:00:00"/>
    <n v="175000"/>
    <s v="USD"/>
    <x v="1"/>
    <d v="2026-05-23T00:00:00"/>
    <n v="-5"/>
    <d v="2026-05-23T00:00:00"/>
    <x v="18"/>
    <n v="175000"/>
    <n v="40"/>
    <x v="2"/>
  </r>
  <r>
    <s v="2000001172"/>
    <x v="11"/>
    <s v="1300002695"/>
    <x v="90"/>
    <x v="4"/>
    <d v="2026-04-28T00:00:00"/>
    <n v="0"/>
    <d v="2026-04-30T00:00:00"/>
    <n v="-36224"/>
    <s v="USD"/>
    <x v="1"/>
    <d v="2026-06-12T00:00:00"/>
    <n v="20"/>
    <d v="2026-04-28T00:00:00"/>
    <x v="38"/>
    <n v="-36224"/>
    <n v="20"/>
    <x v="2"/>
  </r>
  <r>
    <s v="2000001172"/>
    <x v="11"/>
    <s v="1300004024"/>
    <x v="91"/>
    <x v="4"/>
    <d v="2026-05-13T00:00:00"/>
    <n v="0"/>
    <d v="2026-05-31T00:00:00"/>
    <n v="-36370"/>
    <s v="USD"/>
    <x v="1"/>
    <d v="2026-06-27T00:00:00"/>
    <n v="5"/>
    <d v="2026-05-13T00:00:00"/>
    <x v="25"/>
    <n v="-36370"/>
    <n v="5"/>
    <x v="2"/>
  </r>
  <r>
    <s v="2000000231"/>
    <x v="12"/>
    <s v="1200001281"/>
    <x v="92"/>
    <x v="1"/>
    <d v="2026-04-26T00:00:00"/>
    <n v="-26"/>
    <d v="2026-06-10T00:00:00"/>
    <n v="105300"/>
    <s v="USD"/>
    <x v="1"/>
    <d v="2026-06-10T00:00:00"/>
    <n v="-23"/>
    <d v="2026-06-10T00:00:00"/>
    <x v="39"/>
    <n v="105300"/>
    <n v="22"/>
    <x v="2"/>
  </r>
  <r>
    <s v="2000000231"/>
    <x v="12"/>
    <s v="1200001730"/>
    <x v="93"/>
    <x v="1"/>
    <d v="2026-05-12T00:00:00"/>
    <n v="-42"/>
    <d v="2026-06-26T00:00:00"/>
    <n v="420417"/>
    <s v="USD"/>
    <x v="1"/>
    <d v="2026-06-26T00:00:00"/>
    <n v="-39"/>
    <d v="2026-06-26T00:00:00"/>
    <x v="40"/>
    <n v="420417"/>
    <n v="6"/>
    <x v="2"/>
  </r>
  <r>
    <s v="2000000233"/>
    <x v="13"/>
    <s v="1300004026"/>
    <x v="94"/>
    <x v="4"/>
    <d v="2026-05-13T00:00:00"/>
    <n v="0"/>
    <d v="2026-05-31T00:00:00"/>
    <n v="-223726"/>
    <s v="USD"/>
    <x v="1"/>
    <d v="2026-06-27T00:00:00"/>
    <n v="5"/>
    <d v="2026-05-13T00:00:00"/>
    <x v="25"/>
    <n v="-223726"/>
    <n v="5"/>
    <x v="2"/>
  </r>
  <r>
    <s v="2000001409"/>
    <x v="14"/>
    <s v="1300002664"/>
    <x v="95"/>
    <x v="2"/>
    <d v="2026-04-26T00:00:00"/>
    <n v="0"/>
    <d v="2026-04-26T00:00:00"/>
    <n v="-4560"/>
    <s v="USD"/>
    <x v="1"/>
    <d v="2026-06-10T00:00:00"/>
    <n v="22"/>
    <d v="2026-04-26T00:00:00"/>
    <x v="41"/>
    <n v="-4560"/>
    <n v="22"/>
    <x v="2"/>
  </r>
  <r>
    <s v="2000001409"/>
    <x v="14"/>
    <s v="1200001360"/>
    <x v="96"/>
    <x v="1"/>
    <d v="2026-04-29T00:00:00"/>
    <n v="-29"/>
    <d v="2026-06-13T00:00:00"/>
    <n v="396900"/>
    <s v="USD"/>
    <x v="1"/>
    <d v="2026-06-13T00:00:00"/>
    <n v="-26"/>
    <d v="2026-06-13T00:00:00"/>
    <x v="32"/>
    <n v="396900"/>
    <n v="19"/>
    <x v="2"/>
  </r>
  <r>
    <s v="6002007"/>
    <x v="15"/>
    <s v="1200005141"/>
    <x v="97"/>
    <x v="0"/>
    <d v="2025-11-03T00:00:00"/>
    <n v="186"/>
    <d v="2025-11-10T00:00:00"/>
    <n v="1403.26"/>
    <s v="PEN"/>
    <x v="2"/>
    <m/>
    <m/>
    <m/>
    <x v="42"/>
    <n v="408.51819505094613"/>
    <m/>
    <x v="0"/>
  </r>
  <r>
    <s v="6002007"/>
    <x v="15"/>
    <s v="1200005142"/>
    <x v="98"/>
    <x v="0"/>
    <d v="2025-11-03T00:00:00"/>
    <n v="186"/>
    <d v="2025-11-10T00:00:00"/>
    <n v="141.6"/>
    <s v="PEN"/>
    <x v="2"/>
    <m/>
    <m/>
    <m/>
    <x v="42"/>
    <n v="41.222707423580786"/>
    <m/>
    <x v="0"/>
  </r>
  <r>
    <s v="6002007"/>
    <x v="15"/>
    <s v="1200005158"/>
    <x v="99"/>
    <x v="0"/>
    <d v="2025-11-06T00:00:00"/>
    <n v="183"/>
    <d v="2025-11-13T00:00:00"/>
    <n v="1193.22"/>
    <s v="PEN"/>
    <x v="2"/>
    <m/>
    <m/>
    <m/>
    <x v="43"/>
    <n v="347.3711790393013"/>
    <m/>
    <x v="0"/>
  </r>
  <r>
    <s v="6002007"/>
    <x v="15"/>
    <s v="1200005159"/>
    <x v="100"/>
    <x v="0"/>
    <d v="2025-11-06T00:00:00"/>
    <n v="183"/>
    <d v="2025-11-13T00:00:00"/>
    <n v="106.2"/>
    <s v="PEN"/>
    <x v="2"/>
    <m/>
    <m/>
    <m/>
    <x v="43"/>
    <n v="30.91703056768559"/>
    <m/>
    <x v="0"/>
  </r>
  <r>
    <s v="6002007"/>
    <x v="15"/>
    <s v="1200001503"/>
    <x v="101"/>
    <x v="0"/>
    <d v="2026-05-06T00:00:00"/>
    <n v="2"/>
    <d v="2026-05-13T00:00:00"/>
    <n v="23.6"/>
    <s v="PEN"/>
    <x v="2"/>
    <m/>
    <m/>
    <m/>
    <x v="25"/>
    <n v="6.870451237263465"/>
    <m/>
    <x v="0"/>
  </r>
  <r>
    <s v="6002007"/>
    <x v="15"/>
    <s v="1200001504"/>
    <x v="102"/>
    <x v="0"/>
    <d v="2026-05-06T00:00:00"/>
    <n v="2"/>
    <d v="2026-05-13T00:00:00"/>
    <n v="261.49"/>
    <s v="PEN"/>
    <x v="2"/>
    <m/>
    <m/>
    <m/>
    <x v="25"/>
    <n v="76.125181950509457"/>
    <m/>
    <x v="0"/>
  </r>
  <r>
    <s v="6002007"/>
    <x v="15"/>
    <s v="1200001509"/>
    <x v="103"/>
    <x v="0"/>
    <d v="2026-05-06T00:00:00"/>
    <n v="2"/>
    <d v="2026-05-13T00:00:00"/>
    <n v="387.51"/>
    <s v="PEN"/>
    <x v="2"/>
    <m/>
    <m/>
    <m/>
    <x v="25"/>
    <n v="112.81222707423581"/>
    <m/>
    <x v="0"/>
  </r>
  <r>
    <s v="6002007"/>
    <x v="15"/>
    <s v="1200001510"/>
    <x v="104"/>
    <x v="0"/>
    <d v="2026-05-06T00:00:00"/>
    <n v="2"/>
    <d v="2026-05-13T00:00:00"/>
    <n v="35.4"/>
    <s v="PEN"/>
    <x v="2"/>
    <m/>
    <m/>
    <m/>
    <x v="25"/>
    <n v="10.305676855895197"/>
    <m/>
    <x v="0"/>
  </r>
  <r>
    <s v="6002007"/>
    <x v="15"/>
    <s v="1200001609"/>
    <x v="105"/>
    <x v="0"/>
    <d v="2026-05-12T00:00:00"/>
    <n v="-4"/>
    <d v="2026-05-19T00:00:00"/>
    <n v="482.86"/>
    <s v="PEN"/>
    <x v="2"/>
    <m/>
    <m/>
    <m/>
    <x v="26"/>
    <n v="140.57059679767104"/>
    <m/>
    <x v="0"/>
  </r>
  <r>
    <s v="6002007"/>
    <x v="15"/>
    <s v="1200001610"/>
    <x v="106"/>
    <x v="0"/>
    <d v="2026-05-12T00:00:00"/>
    <n v="-4"/>
    <d v="2026-05-19T00:00:00"/>
    <n v="47.2"/>
    <s v="PEN"/>
    <x v="2"/>
    <m/>
    <m/>
    <m/>
    <x v="26"/>
    <n v="13.74090247452693"/>
    <m/>
    <x v="0"/>
  </r>
  <r>
    <s v="6001105"/>
    <x v="16"/>
    <s v="1200001300"/>
    <x v="107"/>
    <x v="0"/>
    <d v="2026-04-28T00:00:00"/>
    <n v="17"/>
    <d v="2026-04-28T00:00:00"/>
    <n v="59"/>
    <s v="PEN"/>
    <x v="0"/>
    <m/>
    <m/>
    <m/>
    <x v="38"/>
    <n v="17.17612809315866"/>
    <m/>
    <x v="0"/>
  </r>
  <r>
    <s v="6001105"/>
    <x v="16"/>
    <s v="1200001301"/>
    <x v="108"/>
    <x v="0"/>
    <d v="2026-04-28T00:00:00"/>
    <n v="17"/>
    <d v="2026-04-28T00:00:00"/>
    <n v="716.71"/>
    <s v="PEN"/>
    <x v="0"/>
    <m/>
    <m/>
    <m/>
    <x v="38"/>
    <n v="208.64919941775838"/>
    <m/>
    <x v="0"/>
  </r>
  <r>
    <s v="6001105"/>
    <x v="16"/>
    <s v="1200001302"/>
    <x v="109"/>
    <x v="0"/>
    <d v="2026-04-28T00:00:00"/>
    <n v="17"/>
    <d v="2026-04-28T00:00:00"/>
    <n v="129.80000000000001"/>
    <s v="PEN"/>
    <x v="0"/>
    <m/>
    <m/>
    <m/>
    <x v="38"/>
    <n v="37.78748180494906"/>
    <m/>
    <x v="0"/>
  </r>
  <r>
    <s v="6001105"/>
    <x v="16"/>
    <s v="1300004037"/>
    <x v="110"/>
    <x v="2"/>
    <d v="2026-04-28T00:00:00"/>
    <n v="17"/>
    <d v="2026-04-28T00:00:00"/>
    <n v="422.56"/>
    <s v="PEN"/>
    <x v="0"/>
    <m/>
    <m/>
    <m/>
    <x v="38"/>
    <n v="123.0160116448326"/>
    <m/>
    <x v="0"/>
  </r>
  <r>
    <s v="6001105"/>
    <x v="16"/>
    <s v="1200001648"/>
    <x v="111"/>
    <x v="0"/>
    <d v="2026-05-12T00:00:00"/>
    <n v="3"/>
    <d v="2026-05-12T00:00:00"/>
    <n v="404.98"/>
    <s v="PEN"/>
    <x v="0"/>
    <m/>
    <m/>
    <m/>
    <x v="24"/>
    <n v="117.89810771470161"/>
    <m/>
    <x v="0"/>
  </r>
  <r>
    <s v="6001105"/>
    <x v="16"/>
    <s v="1200001649"/>
    <x v="112"/>
    <x v="0"/>
    <d v="2026-05-12T00:00:00"/>
    <n v="3"/>
    <d v="2026-05-12T00:00:00"/>
    <n v="59"/>
    <s v="PEN"/>
    <x v="0"/>
    <m/>
    <m/>
    <m/>
    <x v="24"/>
    <n v="17.17612809315866"/>
    <m/>
    <x v="0"/>
  </r>
  <r>
    <s v="2000001443"/>
    <x v="17"/>
    <s v="1300002821"/>
    <x v="113"/>
    <x v="4"/>
    <d v="2026-05-06T00:00:00"/>
    <n v="0"/>
    <d v="2026-05-31T00:00:00"/>
    <n v="-33334"/>
    <s v="USD"/>
    <x v="1"/>
    <d v="2026-06-20T00:00:00"/>
    <n v="12"/>
    <d v="2026-05-06T00:00:00"/>
    <x v="44"/>
    <n v="-33334"/>
    <n v="12"/>
    <x v="2"/>
  </r>
  <r>
    <s v="2000001443"/>
    <x v="17"/>
    <s v="1300002823"/>
    <x v="113"/>
    <x v="4"/>
    <d v="2026-05-06T00:00:00"/>
    <n v="0"/>
    <d v="2026-05-31T00:00:00"/>
    <n v="-16692"/>
    <s v="USD"/>
    <x v="1"/>
    <d v="2026-06-20T00:00:00"/>
    <n v="12"/>
    <d v="2026-05-06T00:00:00"/>
    <x v="44"/>
    <n v="-16692"/>
    <n v="12"/>
    <x v="2"/>
  </r>
  <r>
    <s v="2000001359"/>
    <x v="18"/>
    <s v="1200000644"/>
    <x v="114"/>
    <x v="1"/>
    <d v="2026-03-29T00:00:00"/>
    <n v="2"/>
    <d v="2026-05-13T00:00:00"/>
    <n v="76700"/>
    <s v="USD"/>
    <x v="1"/>
    <d v="2026-05-13T00:00:00"/>
    <n v="5"/>
    <d v="2026-05-13T00:00:00"/>
    <x v="37"/>
    <n v="76700"/>
    <n v="50"/>
    <x v="1"/>
  </r>
  <r>
    <s v="2000001359"/>
    <x v="18"/>
    <s v="1200000958"/>
    <x v="115"/>
    <x v="1"/>
    <d v="2026-04-12T00:00:00"/>
    <n v="-12"/>
    <d v="2026-05-27T00:00:00"/>
    <n v="36400"/>
    <s v="USD"/>
    <x v="1"/>
    <d v="2026-05-27T00:00:00"/>
    <n v="-9"/>
    <d v="2026-05-27T00:00:00"/>
    <x v="30"/>
    <n v="36400"/>
    <n v="36"/>
    <x v="2"/>
  </r>
  <r>
    <s v="2000001359"/>
    <x v="18"/>
    <s v="1200000959"/>
    <x v="116"/>
    <x v="1"/>
    <d v="2026-04-12T00:00:00"/>
    <n v="-27"/>
    <d v="2026-06-11T00:00:00"/>
    <n v="80600"/>
    <s v="USD"/>
    <x v="1"/>
    <d v="2026-05-27T00:00:00"/>
    <n v="-24"/>
    <d v="2026-06-11T00:00:00"/>
    <x v="27"/>
    <n v="80600"/>
    <n v="36"/>
    <x v="2"/>
  </r>
  <r>
    <s v="2000001359"/>
    <x v="18"/>
    <s v="1200001191"/>
    <x v="117"/>
    <x v="1"/>
    <d v="2026-04-22T00:00:00"/>
    <n v="-22"/>
    <d v="2026-06-06T00:00:00"/>
    <n v="36400"/>
    <s v="USD"/>
    <x v="1"/>
    <d v="2026-06-06T00:00:00"/>
    <n v="-19"/>
    <d v="2026-06-06T00:00:00"/>
    <x v="45"/>
    <n v="36400"/>
    <n v="26"/>
    <x v="2"/>
  </r>
  <r>
    <s v="2000001359"/>
    <x v="18"/>
    <s v="1200001321"/>
    <x v="118"/>
    <x v="1"/>
    <d v="2026-04-27T00:00:00"/>
    <n v="-27"/>
    <d v="2026-06-11T00:00:00"/>
    <n v="36400"/>
    <s v="USD"/>
    <x v="1"/>
    <d v="2026-06-11T00:00:00"/>
    <n v="-24"/>
    <d v="2026-06-11T00:00:00"/>
    <x v="27"/>
    <n v="36400"/>
    <n v="21"/>
    <x v="2"/>
  </r>
  <r>
    <s v="1000013925"/>
    <x v="19"/>
    <s v="1300006898"/>
    <x v="119"/>
    <x v="2"/>
    <d v="2025-10-21T00:00:00"/>
    <n v="206"/>
    <d v="2025-10-21T00:00:00"/>
    <n v="4460"/>
    <s v="PEN"/>
    <x v="3"/>
    <m/>
    <m/>
    <m/>
    <x v="46"/>
    <n v="1298.3988355167394"/>
    <m/>
    <x v="0"/>
  </r>
  <r>
    <s v="1000013925"/>
    <x v="19"/>
    <s v="1200005124"/>
    <x v="120"/>
    <x v="0"/>
    <d v="2025-11-04T00:00:00"/>
    <n v="185"/>
    <d v="2025-11-11T00:00:00"/>
    <n v="7097.98"/>
    <s v="PEN"/>
    <x v="3"/>
    <m/>
    <m/>
    <m/>
    <x v="47"/>
    <n v="2066.3697234352253"/>
    <m/>
    <x v="0"/>
  </r>
  <r>
    <s v="1000013925"/>
    <x v="19"/>
    <s v="1200000182"/>
    <x v="121"/>
    <x v="0"/>
    <d v="2026-01-31T00:00:00"/>
    <n v="97"/>
    <d v="2026-02-07T00:00:00"/>
    <n v="4003.46"/>
    <s v="PEN"/>
    <x v="3"/>
    <m/>
    <m/>
    <m/>
    <x v="48"/>
    <n v="1165.490538573508"/>
    <m/>
    <x v="0"/>
  </r>
  <r>
    <s v="1000013925"/>
    <x v="19"/>
    <s v="1200000382"/>
    <x v="122"/>
    <x v="0"/>
    <d v="2026-03-03T00:00:00"/>
    <n v="66"/>
    <d v="2026-03-10T00:00:00"/>
    <n v="4956"/>
    <s v="PEN"/>
    <x v="3"/>
    <m/>
    <m/>
    <m/>
    <x v="49"/>
    <n v="1442.7947598253274"/>
    <m/>
    <x v="0"/>
  </r>
  <r>
    <s v="1000015185"/>
    <x v="20"/>
    <s v="1200001398"/>
    <x v="123"/>
    <x v="0"/>
    <d v="2026-05-02T00:00:00"/>
    <n v="6"/>
    <d v="2026-05-09T00:00:00"/>
    <n v="427.21"/>
    <s v="PEN"/>
    <x v="0"/>
    <m/>
    <m/>
    <m/>
    <x v="20"/>
    <n v="124.36972343522561"/>
    <m/>
    <x v="0"/>
  </r>
  <r>
    <s v="1000015185"/>
    <x v="20"/>
    <s v="1200001399"/>
    <x v="124"/>
    <x v="0"/>
    <d v="2026-05-02T00:00:00"/>
    <n v="6"/>
    <d v="2026-05-09T00:00:00"/>
    <n v="153.4"/>
    <s v="PEN"/>
    <x v="0"/>
    <m/>
    <m/>
    <m/>
    <x v="20"/>
    <n v="44.65793304221252"/>
    <m/>
    <x v="0"/>
  </r>
  <r>
    <s v="1000015185"/>
    <x v="20"/>
    <s v="1200001450"/>
    <x v="125"/>
    <x v="0"/>
    <d v="2026-05-04T00:00:00"/>
    <n v="4"/>
    <d v="2026-05-11T00:00:00"/>
    <n v="903.31"/>
    <s v="PEN"/>
    <x v="0"/>
    <m/>
    <m/>
    <m/>
    <x v="22"/>
    <n v="262.97234352256186"/>
    <m/>
    <x v="0"/>
  </r>
  <r>
    <s v="1000015185"/>
    <x v="20"/>
    <s v="1200001451"/>
    <x v="126"/>
    <x v="0"/>
    <d v="2026-05-04T00:00:00"/>
    <n v="4"/>
    <d v="2026-05-11T00:00:00"/>
    <n v="247.8"/>
    <s v="PEN"/>
    <x v="0"/>
    <m/>
    <m/>
    <m/>
    <x v="22"/>
    <n v="72.139737991266372"/>
    <m/>
    <x v="0"/>
  </r>
  <r>
    <s v="1000015185"/>
    <x v="20"/>
    <s v="1200001541"/>
    <x v="127"/>
    <x v="0"/>
    <d v="2026-05-07T00:00:00"/>
    <n v="1"/>
    <d v="2026-05-14T00:00:00"/>
    <n v="330.4"/>
    <s v="PEN"/>
    <x v="0"/>
    <m/>
    <m/>
    <m/>
    <x v="35"/>
    <n v="96.186317321688492"/>
    <m/>
    <x v="0"/>
  </r>
  <r>
    <s v="1000015185"/>
    <x v="20"/>
    <s v="1200001542"/>
    <x v="128"/>
    <x v="0"/>
    <d v="2026-05-07T00:00:00"/>
    <n v="1"/>
    <d v="2026-05-14T00:00:00"/>
    <n v="1130.96"/>
    <s v="PEN"/>
    <x v="0"/>
    <m/>
    <m/>
    <m/>
    <x v="35"/>
    <n v="329.24599708879185"/>
    <m/>
    <x v="0"/>
  </r>
  <r>
    <s v="1000015185"/>
    <x v="20"/>
    <s v="1200001557"/>
    <x v="129"/>
    <x v="0"/>
    <d v="2026-05-08T00:00:00"/>
    <n v="0"/>
    <d v="2026-05-15T00:00:00"/>
    <n v="194.7"/>
    <s v="PEN"/>
    <x v="0"/>
    <m/>
    <m/>
    <m/>
    <x v="34"/>
    <n v="56.681222707423579"/>
    <m/>
    <x v="0"/>
  </r>
  <r>
    <s v="1000015185"/>
    <x v="20"/>
    <s v="1200001558"/>
    <x v="130"/>
    <x v="0"/>
    <d v="2026-05-08T00:00:00"/>
    <n v="0"/>
    <d v="2026-05-15T00:00:00"/>
    <n v="807.5"/>
    <s v="PEN"/>
    <x v="0"/>
    <m/>
    <m/>
    <m/>
    <x v="34"/>
    <n v="235.08005822416303"/>
    <m/>
    <x v="0"/>
  </r>
  <r>
    <s v="1000015185"/>
    <x v="20"/>
    <s v="1200001613"/>
    <x v="131"/>
    <x v="0"/>
    <d v="2026-05-12T00:00:00"/>
    <n v="-4"/>
    <d v="2026-05-19T00:00:00"/>
    <n v="666.42"/>
    <s v="PEN"/>
    <x v="0"/>
    <m/>
    <m/>
    <m/>
    <x v="26"/>
    <n v="194.00873362445412"/>
    <m/>
    <x v="0"/>
  </r>
  <r>
    <s v="1000015185"/>
    <x v="20"/>
    <s v="1200001614"/>
    <x v="132"/>
    <x v="0"/>
    <d v="2026-05-12T00:00:00"/>
    <n v="-4"/>
    <d v="2026-05-19T00:00:00"/>
    <n v="194.7"/>
    <s v="PEN"/>
    <x v="0"/>
    <m/>
    <m/>
    <m/>
    <x v="26"/>
    <n v="56.681222707423579"/>
    <m/>
    <x v="0"/>
  </r>
  <r>
    <s v="1000015185"/>
    <x v="20"/>
    <s v="1200001700"/>
    <x v="133"/>
    <x v="0"/>
    <d v="2026-05-14T00:00:00"/>
    <n v="-6"/>
    <d v="2026-05-21T00:00:00"/>
    <n v="1906.41"/>
    <s v="PEN"/>
    <x v="0"/>
    <m/>
    <m/>
    <m/>
    <x v="37"/>
    <n v="554.99563318777291"/>
    <m/>
    <x v="0"/>
  </r>
  <r>
    <s v="1000015185"/>
    <x v="20"/>
    <s v="1200001701"/>
    <x v="134"/>
    <x v="0"/>
    <d v="2026-05-14T00:00:00"/>
    <n v="-6"/>
    <d v="2026-05-21T00:00:00"/>
    <n v="566.4"/>
    <s v="PEN"/>
    <x v="0"/>
    <m/>
    <m/>
    <m/>
    <x v="37"/>
    <n v="164.89082969432314"/>
    <m/>
    <x v="0"/>
  </r>
  <r>
    <s v="2000000267"/>
    <x v="21"/>
    <s v="1300002619"/>
    <x v="95"/>
    <x v="2"/>
    <d v="2026-04-22T00:00:00"/>
    <n v="0"/>
    <d v="2026-04-22T00:00:00"/>
    <n v="-7645"/>
    <s v="USD"/>
    <x v="1"/>
    <d v="2026-06-06T00:00:00"/>
    <n v="26"/>
    <d v="2026-04-22T00:00:00"/>
    <x v="33"/>
    <n v="-7645"/>
    <n v="26"/>
    <x v="2"/>
  </r>
  <r>
    <s v="6000434"/>
    <x v="22"/>
    <s v="1200004540"/>
    <x v="135"/>
    <x v="0"/>
    <d v="2025-10-07T00:00:00"/>
    <n v="213"/>
    <d v="2025-10-14T00:00:00"/>
    <n v="790"/>
    <s v="PEN"/>
    <x v="4"/>
    <m/>
    <m/>
    <m/>
    <x v="50"/>
    <n v="229.98544395924307"/>
    <m/>
    <x v="0"/>
  </r>
  <r>
    <s v="2000001438"/>
    <x v="23"/>
    <s v="1300002730"/>
    <x v="136"/>
    <x v="2"/>
    <d v="2026-04-29T00:00:00"/>
    <n v="16"/>
    <d v="2026-04-29T00:00:00"/>
    <n v="123265"/>
    <s v="USD"/>
    <x v="1"/>
    <d v="2026-06-13T00:00:00"/>
    <n v="-26"/>
    <d v="2026-06-13T00:00:00"/>
    <x v="32"/>
    <n v="123265"/>
    <n v="19"/>
    <x v="2"/>
  </r>
  <r>
    <s v="2000001438"/>
    <x v="23"/>
    <s v="1300002731"/>
    <x v="137"/>
    <x v="2"/>
    <d v="2026-04-29T00:00:00"/>
    <n v="16"/>
    <d v="2026-04-29T00:00:00"/>
    <n v="162355"/>
    <s v="USD"/>
    <x v="1"/>
    <d v="2026-06-13T00:00:00"/>
    <n v="-26"/>
    <d v="2026-06-13T00:00:00"/>
    <x v="32"/>
    <n v="162355"/>
    <n v="19"/>
    <x v="2"/>
  </r>
  <r>
    <s v="2000001438"/>
    <x v="23"/>
    <s v="1300002729"/>
    <x v="138"/>
    <x v="2"/>
    <d v="2026-04-30T00:00:00"/>
    <n v="15"/>
    <d v="2026-04-30T00:00:00"/>
    <n v="77257"/>
    <s v="USD"/>
    <x v="1"/>
    <d v="2026-06-14T00:00:00"/>
    <n v="-24"/>
    <d v="2026-06-11T00:00:00"/>
    <x v="32"/>
    <n v="77257"/>
    <n v="18"/>
    <x v="2"/>
  </r>
  <r>
    <s v="1000001965"/>
    <x v="24"/>
    <s v="1200001682"/>
    <x v="139"/>
    <x v="0"/>
    <d v="2026-05-12T00:00:00"/>
    <n v="-4"/>
    <d v="2026-05-19T00:00:00"/>
    <n v="590"/>
    <s v="PEN"/>
    <x v="0"/>
    <m/>
    <m/>
    <m/>
    <x v="26"/>
    <n v="171.76128093158661"/>
    <m/>
    <x v="0"/>
  </r>
  <r>
    <s v="1000001965"/>
    <x v="24"/>
    <s v="1200001693"/>
    <x v="140"/>
    <x v="0"/>
    <d v="2026-05-13T00:00:00"/>
    <n v="-5"/>
    <d v="2026-05-20T00:00:00"/>
    <n v="590"/>
    <s v="PEN"/>
    <x v="0"/>
    <m/>
    <m/>
    <m/>
    <x v="16"/>
    <n v="171.76128093158661"/>
    <m/>
    <x v="0"/>
  </r>
  <r>
    <s v="1000001965"/>
    <x v="24"/>
    <s v="1200001738"/>
    <x v="141"/>
    <x v="0"/>
    <d v="2026-05-15T00:00:00"/>
    <n v="-7"/>
    <d v="2026-05-22T00:00:00"/>
    <n v="590"/>
    <s v="PEN"/>
    <x v="0"/>
    <m/>
    <m/>
    <m/>
    <x v="17"/>
    <n v="171.76128093158661"/>
    <m/>
    <x v="0"/>
  </r>
  <r>
    <s v="2000001418"/>
    <x v="25"/>
    <s v="1300002670"/>
    <x v="142"/>
    <x v="2"/>
    <d v="2026-04-27T00:00:00"/>
    <n v="18"/>
    <d v="2026-04-27T00:00:00"/>
    <n v="116670"/>
    <s v="USD"/>
    <x v="1"/>
    <d v="2026-06-11T00:00:00"/>
    <n v="-24"/>
    <d v="2026-06-11T00:00:00"/>
    <x v="27"/>
    <n v="116670"/>
    <n v="21"/>
    <x v="2"/>
  </r>
  <r>
    <s v="2000001440"/>
    <x v="26"/>
    <s v="1300002671"/>
    <x v="143"/>
    <x v="2"/>
    <d v="2026-04-29T00:00:00"/>
    <n v="16"/>
    <d v="2026-04-29T00:00:00"/>
    <n v="56785"/>
    <s v="USD"/>
    <x v="1"/>
    <d v="2026-06-13T00:00:00"/>
    <n v="-26"/>
    <d v="2026-06-13T00:00:00"/>
    <x v="32"/>
    <n v="56785"/>
    <n v="19"/>
    <x v="2"/>
  </r>
  <r>
    <s v="2000001440"/>
    <x v="26"/>
    <s v="1300004013"/>
    <x v="144"/>
    <x v="4"/>
    <d v="2026-05-08T00:00:00"/>
    <n v="0"/>
    <d v="2026-05-31T00:00:00"/>
    <n v="-23675"/>
    <s v="USD"/>
    <x v="1"/>
    <d v="2026-06-22T00:00:00"/>
    <n v="10"/>
    <d v="2026-05-08T00:00:00"/>
    <x v="51"/>
    <n v="-23675"/>
    <n v="10"/>
    <x v="2"/>
  </r>
  <r>
    <s v="1000013801"/>
    <x v="27"/>
    <s v="1200001655"/>
    <x v="145"/>
    <x v="0"/>
    <d v="2026-05-13T00:00:00"/>
    <n v="-5"/>
    <d v="2026-05-20T00:00:00"/>
    <n v="665.76"/>
    <s v="PEN"/>
    <x v="0"/>
    <m/>
    <m/>
    <m/>
    <x v="16"/>
    <n v="193.81659388646287"/>
    <m/>
    <x v="0"/>
  </r>
  <r>
    <s v="1000013801"/>
    <x v="27"/>
    <s v="1200001656"/>
    <x v="146"/>
    <x v="0"/>
    <d v="2026-05-13T00:00:00"/>
    <n v="-5"/>
    <d v="2026-05-20T00:00:00"/>
    <n v="123.9"/>
    <s v="PEN"/>
    <x v="0"/>
    <m/>
    <m/>
    <m/>
    <x v="16"/>
    <n v="36.069868995633186"/>
    <m/>
    <x v="0"/>
  </r>
  <r>
    <s v="1000013686"/>
    <x v="28"/>
    <s v="1200001547"/>
    <x v="147"/>
    <x v="0"/>
    <d v="2026-05-07T00:00:00"/>
    <n v="1"/>
    <d v="2026-05-14T00:00:00"/>
    <n v="1189.44"/>
    <s v="PEN"/>
    <x v="0"/>
    <m/>
    <m/>
    <m/>
    <x v="35"/>
    <n v="346.27074235807862"/>
    <m/>
    <x v="0"/>
  </r>
  <r>
    <s v="2000000786"/>
    <x v="29"/>
    <s v="1200000803"/>
    <x v="148"/>
    <x v="1"/>
    <d v="2026-04-08T00:00:00"/>
    <n v="-8"/>
    <d v="2026-05-23T00:00:00"/>
    <n v="180000"/>
    <s v="USD"/>
    <x v="1"/>
    <d v="2026-05-23T00:00:00"/>
    <n v="-5"/>
    <d v="2026-05-23T00:00:00"/>
    <x v="18"/>
    <n v="180000"/>
    <n v="40"/>
    <x v="2"/>
  </r>
  <r>
    <s v="2000000786"/>
    <x v="29"/>
    <s v="1200001270"/>
    <x v="149"/>
    <x v="1"/>
    <d v="2026-04-25T00:00:00"/>
    <n v="-25"/>
    <d v="2026-06-09T00:00:00"/>
    <n v="35520"/>
    <s v="USD"/>
    <x v="1"/>
    <d v="2026-06-09T00:00:00"/>
    <n v="-22"/>
    <d v="2026-06-09T00:00:00"/>
    <x v="52"/>
    <n v="35520"/>
    <n v="23"/>
    <x v="2"/>
  </r>
  <r>
    <s v="2000000786"/>
    <x v="29"/>
    <s v="1200001277"/>
    <x v="150"/>
    <x v="1"/>
    <d v="2026-04-25T00:00:00"/>
    <n v="-25"/>
    <d v="2026-06-09T00:00:00"/>
    <n v="41760"/>
    <s v="USD"/>
    <x v="1"/>
    <d v="2026-06-09T00:00:00"/>
    <n v="-22"/>
    <d v="2026-06-09T00:00:00"/>
    <x v="52"/>
    <n v="41760"/>
    <n v="23"/>
    <x v="2"/>
  </r>
  <r>
    <s v="2000000786"/>
    <x v="29"/>
    <s v="1200001344"/>
    <x v="151"/>
    <x v="1"/>
    <d v="2026-04-29T00:00:00"/>
    <n v="-29"/>
    <d v="2026-06-13T00:00:00"/>
    <n v="53360"/>
    <s v="USD"/>
    <x v="1"/>
    <d v="2026-06-13T00:00:00"/>
    <n v="-26"/>
    <d v="2026-06-13T00:00:00"/>
    <x v="32"/>
    <n v="53360"/>
    <n v="19"/>
    <x v="2"/>
  </r>
  <r>
    <s v="2000000786"/>
    <x v="29"/>
    <s v="1200001345"/>
    <x v="152"/>
    <x v="1"/>
    <d v="2026-04-29T00:00:00"/>
    <n v="-29"/>
    <d v="2026-06-13T00:00:00"/>
    <n v="163070"/>
    <s v="USD"/>
    <x v="1"/>
    <d v="2026-06-13T00:00:00"/>
    <n v="-26"/>
    <d v="2026-06-13T00:00:00"/>
    <x v="32"/>
    <n v="163070"/>
    <n v="19"/>
    <x v="2"/>
  </r>
  <r>
    <s v="2000000786"/>
    <x v="29"/>
    <s v="1200001346"/>
    <x v="153"/>
    <x v="1"/>
    <d v="2026-04-29T00:00:00"/>
    <n v="-29"/>
    <d v="2026-06-13T00:00:00"/>
    <n v="52800"/>
    <s v="USD"/>
    <x v="1"/>
    <d v="2026-06-13T00:00:00"/>
    <n v="-26"/>
    <d v="2026-06-13T00:00:00"/>
    <x v="32"/>
    <n v="52800"/>
    <n v="19"/>
    <x v="2"/>
  </r>
  <r>
    <s v="2000000786"/>
    <x v="29"/>
    <s v="1200001364"/>
    <x v="154"/>
    <x v="1"/>
    <d v="2026-04-29T00:00:00"/>
    <n v="-29"/>
    <d v="2026-06-13T00:00:00"/>
    <n v="55680"/>
    <s v="USD"/>
    <x v="1"/>
    <d v="2026-06-13T00:00:00"/>
    <n v="-26"/>
    <d v="2026-06-13T00:00:00"/>
    <x v="32"/>
    <n v="55680"/>
    <n v="19"/>
    <x v="2"/>
  </r>
  <r>
    <s v="2000000590"/>
    <x v="30"/>
    <s v="1300002699"/>
    <x v="155"/>
    <x v="4"/>
    <d v="2026-04-30T00:00:00"/>
    <n v="0"/>
    <d v="2026-04-30T00:00:00"/>
    <n v="-6675"/>
    <s v="USD"/>
    <x v="1"/>
    <d v="2026-06-14T00:00:00"/>
    <n v="18"/>
    <d v="2026-04-30T00:00:00"/>
    <x v="53"/>
    <n v="-6675"/>
    <n v="18"/>
    <x v="2"/>
  </r>
  <r>
    <s v="2000001442"/>
    <x v="31"/>
    <s v="1300002822"/>
    <x v="156"/>
    <x v="4"/>
    <d v="2026-05-06T00:00:00"/>
    <n v="0"/>
    <d v="2026-05-31T00:00:00"/>
    <n v="-13316.5"/>
    <s v="USD"/>
    <x v="1"/>
    <d v="2026-06-20T00:00:00"/>
    <n v="12"/>
    <d v="2026-05-06T00:00:00"/>
    <x v="44"/>
    <n v="-13316.5"/>
    <n v="12"/>
    <x v="2"/>
  </r>
  <r>
    <s v="2000001444"/>
    <x v="32"/>
    <s v="1300002732"/>
    <x v="157"/>
    <x v="4"/>
    <d v="2026-04-30T00:00:00"/>
    <n v="0"/>
    <d v="2026-04-30T00:00:00"/>
    <n v="-74009"/>
    <s v="USD"/>
    <x v="1"/>
    <d v="2026-06-14T00:00:00"/>
    <n v="18"/>
    <d v="2026-04-30T00:00:00"/>
    <x v="53"/>
    <n v="-74009"/>
    <n v="18"/>
    <x v="2"/>
  </r>
  <r>
    <s v="2000001348"/>
    <x v="33"/>
    <s v="1200001241"/>
    <x v="158"/>
    <x v="1"/>
    <d v="2026-04-24T00:00:00"/>
    <n v="-24"/>
    <d v="2026-06-08T00:00:00"/>
    <n v="30250"/>
    <s v="USD"/>
    <x v="1"/>
    <d v="2026-06-08T00:00:00"/>
    <n v="-21"/>
    <d v="2026-06-08T00:00:00"/>
    <x v="54"/>
    <n v="30250"/>
    <n v="24"/>
    <x v="2"/>
  </r>
  <r>
    <s v="2000001069"/>
    <x v="34"/>
    <s v="1200000936"/>
    <x v="159"/>
    <x v="1"/>
    <d v="2026-04-12T00:00:00"/>
    <n v="-12"/>
    <d v="2026-05-27T00:00:00"/>
    <n v="94500"/>
    <s v="USD"/>
    <x v="1"/>
    <d v="2026-05-27T00:00:00"/>
    <n v="-9"/>
    <d v="2026-05-27T00:00:00"/>
    <x v="30"/>
    <n v="94500"/>
    <n v="36"/>
    <x v="2"/>
  </r>
  <r>
    <s v="2000001069"/>
    <x v="34"/>
    <s v="1300002672"/>
    <x v="160"/>
    <x v="2"/>
    <d v="2026-04-12T00:00:00"/>
    <n v="33"/>
    <d v="2026-04-12T00:00:00"/>
    <n v="5000"/>
    <s v="USD"/>
    <x v="1"/>
    <d v="2026-05-27T00:00:00"/>
    <n v="-9"/>
    <d v="2026-05-27T00:00:00"/>
    <x v="30"/>
    <n v="5000"/>
    <n v="36"/>
    <x v="2"/>
  </r>
  <r>
    <s v="2000001069"/>
    <x v="34"/>
    <s v="1200001190"/>
    <x v="161"/>
    <x v="1"/>
    <d v="2026-04-22T00:00:00"/>
    <n v="-22"/>
    <d v="2026-06-06T00:00:00"/>
    <n v="95904"/>
    <s v="USD"/>
    <x v="1"/>
    <d v="2026-06-06T00:00:00"/>
    <n v="-19"/>
    <d v="2026-06-06T00:00:00"/>
    <x v="45"/>
    <n v="95904"/>
    <n v="26"/>
    <x v="2"/>
  </r>
  <r>
    <s v="2000001446"/>
    <x v="35"/>
    <s v="1300004017"/>
    <x v="162"/>
    <x v="4"/>
    <d v="2026-05-12T00:00:00"/>
    <n v="0"/>
    <d v="2026-05-31T00:00:00"/>
    <n v="-32801"/>
    <s v="USD"/>
    <x v="1"/>
    <d v="2026-06-26T00:00:00"/>
    <n v="6"/>
    <d v="2026-05-12T00:00:00"/>
    <x v="24"/>
    <n v="-32801"/>
    <n v="6"/>
    <x v="2"/>
  </r>
  <r>
    <s v="2000001449"/>
    <x v="36"/>
    <s v="1300004016"/>
    <x v="162"/>
    <x v="4"/>
    <d v="2026-05-12T00:00:00"/>
    <n v="0"/>
    <d v="2026-05-31T00:00:00"/>
    <n v="-52139"/>
    <s v="USD"/>
    <x v="1"/>
    <d v="2026-06-26T00:00:00"/>
    <n v="6"/>
    <d v="2026-05-12T00:00:00"/>
    <x v="24"/>
    <n v="-52139"/>
    <n v="6"/>
    <x v="2"/>
  </r>
  <r>
    <m/>
    <x v="37"/>
    <m/>
    <x v="163"/>
    <x v="6"/>
    <m/>
    <m/>
    <m/>
    <m/>
    <m/>
    <x v="5"/>
    <m/>
    <m/>
    <m/>
    <x v="55"/>
    <m/>
    <m/>
    <x v="0"/>
  </r>
  <r>
    <m/>
    <x v="37"/>
    <m/>
    <x v="163"/>
    <x v="6"/>
    <m/>
    <m/>
    <m/>
    <m/>
    <m/>
    <x v="5"/>
    <m/>
    <m/>
    <m/>
    <x v="55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A4CC6-24AE-495D-84AC-96DD4C516208}" name="TablaDinámica1" cacheId="1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AB31" firstHeaderRow="1" firstDataRow="4" firstDataCol="1" rowPageCount="2" colPageCount="1"/>
  <pivotFields count="21">
    <pivotField showAll="0"/>
    <pivotField axis="axisRow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3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showAll="0"/>
    <pivotField axis="axisPage" multipleItemSelectionAllowed="1" showAll="0">
      <items count="8">
        <item x="3"/>
        <item x="5"/>
        <item x="1"/>
        <item x="0"/>
        <item x="4"/>
        <item x="2"/>
        <item x="6"/>
        <item t="default"/>
      </items>
    </pivotField>
    <pivotField showAll="0"/>
    <pivotField showAll="0"/>
    <pivotField showAll="0"/>
    <pivotField dataField="1" showAll="0"/>
    <pivotField showAll="0"/>
    <pivotField axis="axisPage" multipleItemSelectionAllowed="1" showAll="0">
      <items count="7">
        <item h="1" x="3"/>
        <item x="1"/>
        <item h="1" x="0"/>
        <item h="1" x="4"/>
        <item h="1" x="2"/>
        <item h="1" x="5"/>
        <item t="default"/>
      </items>
    </pivotField>
    <pivotField showAll="0"/>
    <pivotField showAll="0"/>
    <pivotField showAll="0"/>
    <pivotField axis="axisCol" showAll="0">
      <items count="60">
        <item x="50"/>
        <item x="46"/>
        <item x="42"/>
        <item x="47"/>
        <item x="43"/>
        <item x="0"/>
        <item x="1"/>
        <item x="2"/>
        <item x="3"/>
        <item x="4"/>
        <item x="5"/>
        <item x="6"/>
        <item x="7"/>
        <item x="8"/>
        <item x="9"/>
        <item x="48"/>
        <item x="49"/>
        <item x="10"/>
        <item x="11"/>
        <item x="12"/>
        <item x="13"/>
        <item x="14"/>
        <item x="29"/>
        <item x="31"/>
        <item x="33"/>
        <item x="41"/>
        <item x="38"/>
        <item x="28"/>
        <item x="53"/>
        <item x="15"/>
        <item x="23"/>
        <item x="19"/>
        <item x="20"/>
        <item x="21"/>
        <item x="22"/>
        <item x="44"/>
        <item x="51"/>
        <item x="24"/>
        <item x="25"/>
        <item x="35"/>
        <item x="34"/>
        <item x="36"/>
        <item x="26"/>
        <item x="16"/>
        <item x="37"/>
        <item x="17"/>
        <item x="18"/>
        <item x="30"/>
        <item m="1" x="58"/>
        <item m="1" x="57"/>
        <item m="1" x="56"/>
        <item x="45"/>
        <item x="54"/>
        <item x="52"/>
        <item x="39"/>
        <item x="27"/>
        <item x="32"/>
        <item x="40"/>
        <item x="55"/>
        <item t="default"/>
      </items>
    </pivotField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x="4"/>
        <item x="5"/>
        <item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x="2"/>
        <item sd="0" x="3"/>
        <item sd="0" x="4"/>
        <item sd="0" x="5"/>
        <item t="default"/>
      </items>
    </pivotField>
    <pivotField axis="axisCol" showAll="0">
      <items count="5">
        <item sd="0" x="0"/>
        <item sd="0" x="1"/>
        <item x="2"/>
        <item sd="0" x="3"/>
        <item t="default"/>
      </items>
    </pivotField>
  </pivotFields>
  <rowFields count="1">
    <field x="1"/>
  </rowFields>
  <rowItems count="24">
    <i>
      <x v="3"/>
    </i>
    <i>
      <x v="5"/>
    </i>
    <i>
      <x v="6"/>
    </i>
    <i>
      <x v="7"/>
    </i>
    <i>
      <x v="8"/>
    </i>
    <i>
      <x v="11"/>
    </i>
    <i>
      <x v="12"/>
    </i>
    <i>
      <x v="13"/>
    </i>
    <i>
      <x v="14"/>
    </i>
    <i>
      <x v="17"/>
    </i>
    <i>
      <x v="18"/>
    </i>
    <i>
      <x v="22"/>
    </i>
    <i>
      <x v="24"/>
    </i>
    <i>
      <x v="26"/>
    </i>
    <i>
      <x v="27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3">
    <field x="20"/>
    <field x="18"/>
    <field x="14"/>
  </colFields>
  <colItems count="27">
    <i>
      <x v="2"/>
      <x v="4"/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t="default" r="1">
      <x v="4"/>
    </i>
    <i r="1">
      <x v="5"/>
      <x v="35"/>
    </i>
    <i r="2">
      <x v="36"/>
    </i>
    <i r="2">
      <x v="37"/>
    </i>
    <i r="2">
      <x v="38"/>
    </i>
    <i r="2">
      <x v="44"/>
    </i>
    <i r="2">
      <x v="45"/>
    </i>
    <i r="2">
      <x v="46"/>
    </i>
    <i r="2">
      <x v="47"/>
    </i>
    <i t="default" r="1">
      <x v="5"/>
    </i>
    <i r="1">
      <x v="6"/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t="default" r="1">
      <x v="6"/>
    </i>
    <i t="default">
      <x v="2"/>
    </i>
    <i t="grand">
      <x/>
    </i>
  </colItems>
  <pageFields count="2">
    <pageField fld="4" hier="-1"/>
    <pageField fld="10" hier="-1"/>
  </pageFields>
  <dataFields count="1">
    <dataField name="Suma de Importe en moneda doc." fld="8" baseField="0" baseItem="0" numFmtId="43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35807E-DF0A-444A-B083-8A959D503F76}" name="TablaDinámica2" cacheId="1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B81" firstHeaderRow="1" firstDataRow="1" firstDataCol="1" rowPageCount="1" colPageCount="1"/>
  <pivotFields count="21">
    <pivotField showAll="0"/>
    <pivotField axis="axisRow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3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axis="axisRow" showAll="0">
      <items count="168">
        <item m="1" x="164"/>
        <item x="27"/>
        <item x="28"/>
        <item x="29"/>
        <item x="30"/>
        <item x="31"/>
        <item x="114"/>
        <item x="89"/>
        <item x="148"/>
        <item x="159"/>
        <item x="54"/>
        <item x="115"/>
        <item x="116"/>
        <item x="161"/>
        <item x="117"/>
        <item x="158"/>
        <item x="149"/>
        <item x="150"/>
        <item x="92"/>
        <item x="118"/>
        <item x="50"/>
        <item x="51"/>
        <item x="151"/>
        <item x="152"/>
        <item x="153"/>
        <item x="96"/>
        <item x="154"/>
        <item x="93"/>
        <item x="135"/>
        <item x="120"/>
        <item x="121"/>
        <item x="122"/>
        <item x="97"/>
        <item x="98"/>
        <item x="99"/>
        <item x="10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107"/>
        <item x="108"/>
        <item x="109"/>
        <item x="123"/>
        <item x="124"/>
        <item x="125"/>
        <item x="126"/>
        <item x="60"/>
        <item x="61"/>
        <item x="101"/>
        <item x="102"/>
        <item x="103"/>
        <item x="104"/>
        <item x="62"/>
        <item x="63"/>
        <item x="64"/>
        <item x="65"/>
        <item x="66"/>
        <item x="67"/>
        <item x="127"/>
        <item x="128"/>
        <item x="147"/>
        <item x="68"/>
        <item x="69"/>
        <item x="129"/>
        <item x="130"/>
        <item x="70"/>
        <item x="71"/>
        <item x="105"/>
        <item x="106"/>
        <item x="131"/>
        <item x="132"/>
        <item x="72"/>
        <item x="73"/>
        <item x="111"/>
        <item x="112"/>
        <item x="74"/>
        <item x="75"/>
        <item x="145"/>
        <item x="146"/>
        <item x="139"/>
        <item x="76"/>
        <item x="77"/>
        <item x="78"/>
        <item x="79"/>
        <item x="23"/>
        <item x="24"/>
        <item x="140"/>
        <item x="133"/>
        <item x="134"/>
        <item x="80"/>
        <item x="81"/>
        <item x="82"/>
        <item x="83"/>
        <item x="25"/>
        <item x="26"/>
        <item x="59"/>
        <item x="141"/>
        <item x="84"/>
        <item x="85"/>
        <item x="86"/>
        <item x="87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5"/>
        <item x="52"/>
        <item x="144"/>
        <item x="162"/>
        <item x="94"/>
        <item x="91"/>
        <item x="53"/>
        <item x="90"/>
        <item x="113"/>
        <item x="155"/>
        <item x="156"/>
        <item x="157"/>
        <item m="1" x="166"/>
        <item x="32"/>
        <item x="160"/>
        <item m="1" x="165"/>
        <item x="138"/>
        <item x="142"/>
        <item x="56"/>
        <item x="136"/>
        <item x="143"/>
        <item x="57"/>
        <item x="137"/>
        <item x="119"/>
        <item x="58"/>
        <item x="110"/>
        <item x="95"/>
        <item x="163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0"/>
        <item h="1" x="4"/>
        <item h="1" x="2"/>
        <item h="1" x="5"/>
        <item t="default"/>
      </items>
    </pivotField>
    <pivotField showAll="0"/>
    <pivotField showAll="0"/>
    <pivotField showAll="0"/>
    <pivotField showAll="0">
      <items count="60">
        <item x="50"/>
        <item x="46"/>
        <item x="42"/>
        <item x="47"/>
        <item x="43"/>
        <item x="0"/>
        <item x="1"/>
        <item x="2"/>
        <item x="3"/>
        <item x="4"/>
        <item x="5"/>
        <item x="6"/>
        <item x="7"/>
        <item x="8"/>
        <item x="9"/>
        <item x="48"/>
        <item x="49"/>
        <item x="10"/>
        <item x="11"/>
        <item x="12"/>
        <item x="13"/>
        <item x="14"/>
        <item x="33"/>
        <item x="41"/>
        <item x="38"/>
        <item x="53"/>
        <item x="15"/>
        <item x="23"/>
        <item x="19"/>
        <item x="20"/>
        <item x="21"/>
        <item x="22"/>
        <item x="24"/>
        <item x="25"/>
        <item x="35"/>
        <item x="34"/>
        <item x="36"/>
        <item x="26"/>
        <item x="16"/>
        <item x="37"/>
        <item x="17"/>
        <item x="18"/>
        <item x="30"/>
        <item m="1" x="58"/>
        <item m="1" x="57"/>
        <item m="1" x="56"/>
        <item x="45"/>
        <item x="54"/>
        <item x="52"/>
        <item x="39"/>
        <item x="27"/>
        <item x="32"/>
        <item x="40"/>
        <item x="55"/>
        <item x="28"/>
        <item x="29"/>
        <item x="31"/>
        <item x="44"/>
        <item x="51"/>
        <item t="default"/>
      </items>
    </pivotField>
    <pivotField dataField="1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"/>
    <field x="3"/>
  </rowFields>
  <rowItems count="76">
    <i>
      <x v="3"/>
    </i>
    <i r="1">
      <x v="1"/>
    </i>
    <i r="1">
      <x v="2"/>
    </i>
    <i r="1">
      <x v="3"/>
    </i>
    <i r="1">
      <x v="4"/>
    </i>
    <i r="1">
      <x v="5"/>
    </i>
    <i r="1">
      <x v="151"/>
    </i>
    <i>
      <x v="5"/>
    </i>
    <i r="1">
      <x v="20"/>
    </i>
    <i r="1">
      <x v="21"/>
    </i>
    <i r="1">
      <x v="139"/>
    </i>
    <i>
      <x v="6"/>
    </i>
    <i r="1">
      <x v="144"/>
    </i>
    <i>
      <x v="7"/>
    </i>
    <i r="1">
      <x v="10"/>
    </i>
    <i r="1">
      <x v="138"/>
    </i>
    <i>
      <x v="8"/>
    </i>
    <i r="1">
      <x v="156"/>
    </i>
    <i r="1">
      <x v="159"/>
    </i>
    <i>
      <x v="11"/>
    </i>
    <i r="1">
      <x v="7"/>
    </i>
    <i r="1">
      <x v="143"/>
    </i>
    <i r="1">
      <x v="145"/>
    </i>
    <i r="1">
      <x v="166"/>
    </i>
    <i>
      <x v="12"/>
    </i>
    <i r="1">
      <x v="18"/>
    </i>
    <i r="1">
      <x v="27"/>
    </i>
    <i>
      <x v="13"/>
    </i>
    <i r="1">
      <x v="142"/>
    </i>
    <i>
      <x v="14"/>
    </i>
    <i r="1">
      <x v="25"/>
    </i>
    <i r="1">
      <x v="164"/>
    </i>
    <i>
      <x v="17"/>
    </i>
    <i r="1">
      <x v="146"/>
    </i>
    <i>
      <x v="18"/>
    </i>
    <i r="1">
      <x v="6"/>
    </i>
    <i r="1">
      <x v="11"/>
    </i>
    <i r="1">
      <x v="12"/>
    </i>
    <i r="1">
      <x v="14"/>
    </i>
    <i r="1">
      <x v="19"/>
    </i>
    <i>
      <x v="22"/>
    </i>
    <i r="1">
      <x v="164"/>
    </i>
    <i>
      <x v="24"/>
    </i>
    <i r="1">
      <x v="154"/>
    </i>
    <i r="1">
      <x v="157"/>
    </i>
    <i r="1">
      <x v="160"/>
    </i>
    <i>
      <x v="26"/>
    </i>
    <i r="1">
      <x v="155"/>
    </i>
    <i>
      <x v="27"/>
    </i>
    <i r="1">
      <x v="140"/>
    </i>
    <i r="1">
      <x v="158"/>
    </i>
    <i>
      <x v="30"/>
    </i>
    <i r="1">
      <x v="8"/>
    </i>
    <i r="1">
      <x v="16"/>
    </i>
    <i r="1">
      <x v="17"/>
    </i>
    <i r="1">
      <x v="22"/>
    </i>
    <i r="1">
      <x v="23"/>
    </i>
    <i r="1">
      <x v="24"/>
    </i>
    <i r="1">
      <x v="26"/>
    </i>
    <i>
      <x v="31"/>
    </i>
    <i r="1">
      <x v="147"/>
    </i>
    <i>
      <x v="32"/>
    </i>
    <i r="1">
      <x v="148"/>
    </i>
    <i>
      <x v="33"/>
    </i>
    <i r="1">
      <x v="149"/>
    </i>
    <i>
      <x v="34"/>
    </i>
    <i r="1">
      <x v="15"/>
    </i>
    <i>
      <x v="35"/>
    </i>
    <i r="1">
      <x v="9"/>
    </i>
    <i r="1">
      <x v="13"/>
    </i>
    <i r="1">
      <x v="152"/>
    </i>
    <i>
      <x v="36"/>
    </i>
    <i r="1">
      <x v="141"/>
    </i>
    <i>
      <x v="37"/>
    </i>
    <i r="1">
      <x v="141"/>
    </i>
    <i t="grand">
      <x/>
    </i>
  </rowItems>
  <colItems count="1">
    <i/>
  </colItems>
  <pageFields count="1">
    <pageField fld="10" hier="-1"/>
  </pageFields>
  <dataFields count="1">
    <dataField name="Suma de USD HOMOL" fld="15" baseField="0" baseItem="0" numFmtId="43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A0F71B-C2A1-40AA-AEC7-B7CB70FF2DB8}" name="TablaDinámica3" cacheId="1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4:D71" firstHeaderRow="0" firstDataRow="1" firstDataCol="1" rowPageCount="1" colPageCount="1"/>
  <pivotFields count="21">
    <pivotField showAll="0"/>
    <pivotField axis="axisRow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3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axis="axisRow" showAll="0">
      <items count="168">
        <item m="1" x="164"/>
        <item x="27"/>
        <item x="28"/>
        <item x="29"/>
        <item x="30"/>
        <item x="31"/>
        <item x="114"/>
        <item x="89"/>
        <item x="148"/>
        <item x="159"/>
        <item x="54"/>
        <item x="115"/>
        <item x="116"/>
        <item x="161"/>
        <item x="117"/>
        <item x="158"/>
        <item x="149"/>
        <item x="150"/>
        <item x="92"/>
        <item x="118"/>
        <item x="50"/>
        <item x="51"/>
        <item x="151"/>
        <item x="152"/>
        <item x="153"/>
        <item x="96"/>
        <item x="154"/>
        <item x="93"/>
        <item x="135"/>
        <item x="120"/>
        <item x="121"/>
        <item x="122"/>
        <item x="97"/>
        <item x="98"/>
        <item x="99"/>
        <item x="10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107"/>
        <item x="108"/>
        <item x="109"/>
        <item x="123"/>
        <item x="124"/>
        <item x="125"/>
        <item x="126"/>
        <item x="60"/>
        <item x="61"/>
        <item x="101"/>
        <item x="102"/>
        <item x="103"/>
        <item x="104"/>
        <item x="62"/>
        <item x="63"/>
        <item x="64"/>
        <item x="65"/>
        <item x="66"/>
        <item x="67"/>
        <item x="127"/>
        <item x="128"/>
        <item x="147"/>
        <item x="68"/>
        <item x="69"/>
        <item x="129"/>
        <item x="130"/>
        <item x="70"/>
        <item x="71"/>
        <item x="105"/>
        <item x="106"/>
        <item x="131"/>
        <item x="132"/>
        <item x="72"/>
        <item x="73"/>
        <item x="111"/>
        <item x="112"/>
        <item x="74"/>
        <item x="75"/>
        <item x="145"/>
        <item x="146"/>
        <item x="139"/>
        <item x="76"/>
        <item x="77"/>
        <item x="78"/>
        <item x="79"/>
        <item x="23"/>
        <item x="24"/>
        <item x="140"/>
        <item x="133"/>
        <item x="134"/>
        <item x="80"/>
        <item x="81"/>
        <item x="82"/>
        <item x="83"/>
        <item x="25"/>
        <item x="26"/>
        <item x="59"/>
        <item x="141"/>
        <item x="84"/>
        <item x="85"/>
        <item x="86"/>
        <item x="87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5"/>
        <item x="52"/>
        <item x="144"/>
        <item x="162"/>
        <item x="94"/>
        <item x="91"/>
        <item x="53"/>
        <item x="90"/>
        <item x="113"/>
        <item x="155"/>
        <item x="156"/>
        <item x="157"/>
        <item m="1" x="166"/>
        <item x="32"/>
        <item x="160"/>
        <item m="1" x="165"/>
        <item x="138"/>
        <item x="142"/>
        <item x="56"/>
        <item x="136"/>
        <item x="143"/>
        <item x="57"/>
        <item x="137"/>
        <item x="119"/>
        <item x="58"/>
        <item x="110"/>
        <item x="95"/>
        <item x="163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60">
        <item x="50"/>
        <item x="46"/>
        <item x="42"/>
        <item x="47"/>
        <item x="43"/>
        <item x="0"/>
        <item x="1"/>
        <item x="2"/>
        <item x="3"/>
        <item x="4"/>
        <item x="5"/>
        <item x="6"/>
        <item x="7"/>
        <item x="8"/>
        <item x="9"/>
        <item x="48"/>
        <item x="49"/>
        <item x="10"/>
        <item x="11"/>
        <item x="12"/>
        <item x="13"/>
        <item x="14"/>
        <item x="33"/>
        <item x="41"/>
        <item x="38"/>
        <item x="53"/>
        <item x="15"/>
        <item x="23"/>
        <item x="19"/>
        <item x="20"/>
        <item x="21"/>
        <item x="22"/>
        <item x="24"/>
        <item x="25"/>
        <item x="35"/>
        <item x="34"/>
        <item x="36"/>
        <item x="26"/>
        <item x="16"/>
        <item x="37"/>
        <item x="17"/>
        <item x="18"/>
        <item x="30"/>
        <item m="1" x="58"/>
        <item m="1" x="57"/>
        <item m="1" x="56"/>
        <item x="45"/>
        <item x="54"/>
        <item x="52"/>
        <item x="39"/>
        <item x="27"/>
        <item x="32"/>
        <item x="40"/>
        <item x="55"/>
        <item x="28"/>
        <item x="29"/>
        <item x="31"/>
        <item x="44"/>
        <item x="51"/>
        <item t="default"/>
      </items>
    </pivotField>
    <pivotField dataField="1" showAll="0"/>
    <pivotField dataField="1" showAll="0"/>
    <pivotField axis="axisPage" multipleItemSelectionAllowed="1" showAll="0">
      <items count="5">
        <item x="2"/>
        <item h="1" x="1"/>
        <item h="1" m="1" x="3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"/>
    <field x="3"/>
  </rowFields>
  <rowItems count="67">
    <i>
      <x v="5"/>
    </i>
    <i r="1">
      <x v="20"/>
    </i>
    <i r="1">
      <x v="21"/>
    </i>
    <i r="1">
      <x v="139"/>
    </i>
    <i>
      <x v="6"/>
    </i>
    <i r="1">
      <x v="144"/>
    </i>
    <i>
      <x v="7"/>
    </i>
    <i r="1">
      <x v="10"/>
    </i>
    <i r="1">
      <x v="138"/>
    </i>
    <i>
      <x v="8"/>
    </i>
    <i r="1">
      <x v="156"/>
    </i>
    <i r="1">
      <x v="159"/>
    </i>
    <i>
      <x v="11"/>
    </i>
    <i r="1">
      <x v="7"/>
    </i>
    <i r="1">
      <x v="143"/>
    </i>
    <i r="1">
      <x v="145"/>
    </i>
    <i>
      <x v="12"/>
    </i>
    <i r="1">
      <x v="18"/>
    </i>
    <i r="1">
      <x v="27"/>
    </i>
    <i>
      <x v="13"/>
    </i>
    <i r="1">
      <x v="142"/>
    </i>
    <i>
      <x v="14"/>
    </i>
    <i r="1">
      <x v="25"/>
    </i>
    <i r="1">
      <x v="164"/>
    </i>
    <i>
      <x v="17"/>
    </i>
    <i r="1">
      <x v="146"/>
    </i>
    <i>
      <x v="18"/>
    </i>
    <i r="1">
      <x v="11"/>
    </i>
    <i r="1">
      <x v="12"/>
    </i>
    <i r="1">
      <x v="14"/>
    </i>
    <i r="1">
      <x v="19"/>
    </i>
    <i>
      <x v="22"/>
    </i>
    <i r="1">
      <x v="164"/>
    </i>
    <i>
      <x v="24"/>
    </i>
    <i r="1">
      <x v="154"/>
    </i>
    <i r="1">
      <x v="157"/>
    </i>
    <i r="1">
      <x v="160"/>
    </i>
    <i>
      <x v="26"/>
    </i>
    <i r="1">
      <x v="155"/>
    </i>
    <i>
      <x v="27"/>
    </i>
    <i r="1">
      <x v="140"/>
    </i>
    <i r="1">
      <x v="158"/>
    </i>
    <i>
      <x v="30"/>
    </i>
    <i r="1">
      <x v="8"/>
    </i>
    <i r="1">
      <x v="16"/>
    </i>
    <i r="1">
      <x v="17"/>
    </i>
    <i r="1">
      <x v="22"/>
    </i>
    <i r="1">
      <x v="23"/>
    </i>
    <i r="1">
      <x v="24"/>
    </i>
    <i r="1">
      <x v="26"/>
    </i>
    <i>
      <x v="31"/>
    </i>
    <i r="1">
      <x v="147"/>
    </i>
    <i>
      <x v="32"/>
    </i>
    <i r="1">
      <x v="148"/>
    </i>
    <i>
      <x v="33"/>
    </i>
    <i r="1">
      <x v="149"/>
    </i>
    <i>
      <x v="34"/>
    </i>
    <i r="1">
      <x v="15"/>
    </i>
    <i>
      <x v="35"/>
    </i>
    <i r="1">
      <x v="9"/>
    </i>
    <i r="1">
      <x v="13"/>
    </i>
    <i r="1">
      <x v="152"/>
    </i>
    <i>
      <x v="36"/>
    </i>
    <i r="1">
      <x v="141"/>
    </i>
    <i>
      <x v="37"/>
    </i>
    <i r="1">
      <x v="14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7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315AC-39CE-4155-8650-78052644B43F}" name="TablaDinámica4" cacheId="1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:I16" firstHeaderRow="0" firstDataRow="1" firstDataCol="1" rowPageCount="1" colPageCount="1"/>
  <pivotFields count="21">
    <pivotField showAll="0"/>
    <pivotField axis="axisRow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3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showAll="0"/>
    <pivotField axis="axisRow" showAll="0">
      <items count="168">
        <item m="1" x="164"/>
        <item x="27"/>
        <item x="28"/>
        <item x="29"/>
        <item x="30"/>
        <item x="31"/>
        <item x="114"/>
        <item x="89"/>
        <item x="148"/>
        <item x="159"/>
        <item x="54"/>
        <item x="115"/>
        <item x="116"/>
        <item x="161"/>
        <item x="117"/>
        <item x="158"/>
        <item x="149"/>
        <item x="150"/>
        <item x="92"/>
        <item x="118"/>
        <item x="50"/>
        <item x="51"/>
        <item x="151"/>
        <item x="152"/>
        <item x="153"/>
        <item x="96"/>
        <item x="154"/>
        <item x="93"/>
        <item x="135"/>
        <item x="120"/>
        <item x="121"/>
        <item x="122"/>
        <item x="97"/>
        <item x="98"/>
        <item x="99"/>
        <item x="10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107"/>
        <item x="108"/>
        <item x="109"/>
        <item x="123"/>
        <item x="124"/>
        <item x="125"/>
        <item x="126"/>
        <item x="60"/>
        <item x="61"/>
        <item x="101"/>
        <item x="102"/>
        <item x="103"/>
        <item x="104"/>
        <item x="62"/>
        <item x="63"/>
        <item x="64"/>
        <item x="65"/>
        <item x="66"/>
        <item x="67"/>
        <item x="127"/>
        <item x="128"/>
        <item x="147"/>
        <item x="68"/>
        <item x="69"/>
        <item x="129"/>
        <item x="130"/>
        <item x="70"/>
        <item x="71"/>
        <item x="105"/>
        <item x="106"/>
        <item x="131"/>
        <item x="132"/>
        <item x="72"/>
        <item x="73"/>
        <item x="111"/>
        <item x="112"/>
        <item x="74"/>
        <item x="75"/>
        <item x="145"/>
        <item x="146"/>
        <item x="139"/>
        <item x="76"/>
        <item x="77"/>
        <item x="78"/>
        <item x="79"/>
        <item x="23"/>
        <item x="24"/>
        <item x="140"/>
        <item x="133"/>
        <item x="134"/>
        <item x="80"/>
        <item x="81"/>
        <item x="82"/>
        <item x="83"/>
        <item x="25"/>
        <item x="26"/>
        <item x="59"/>
        <item x="141"/>
        <item x="84"/>
        <item x="85"/>
        <item x="86"/>
        <item x="87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5"/>
        <item x="52"/>
        <item x="144"/>
        <item x="162"/>
        <item x="94"/>
        <item x="91"/>
        <item x="53"/>
        <item x="90"/>
        <item x="113"/>
        <item x="155"/>
        <item x="156"/>
        <item x="157"/>
        <item m="1" x="166"/>
        <item x="32"/>
        <item x="160"/>
        <item m="1" x="165"/>
        <item x="138"/>
        <item x="142"/>
        <item x="56"/>
        <item x="136"/>
        <item x="143"/>
        <item x="57"/>
        <item x="137"/>
        <item x="119"/>
        <item x="58"/>
        <item x="110"/>
        <item x="95"/>
        <item x="163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60">
        <item x="50"/>
        <item x="46"/>
        <item x="42"/>
        <item x="47"/>
        <item x="43"/>
        <item x="0"/>
        <item x="1"/>
        <item x="2"/>
        <item x="3"/>
        <item x="4"/>
        <item x="5"/>
        <item x="6"/>
        <item x="7"/>
        <item x="8"/>
        <item x="9"/>
        <item x="48"/>
        <item x="49"/>
        <item x="10"/>
        <item x="11"/>
        <item x="12"/>
        <item x="13"/>
        <item x="14"/>
        <item x="33"/>
        <item x="41"/>
        <item x="38"/>
        <item x="53"/>
        <item x="15"/>
        <item x="23"/>
        <item x="19"/>
        <item x="20"/>
        <item x="21"/>
        <item x="22"/>
        <item x="24"/>
        <item x="25"/>
        <item x="35"/>
        <item x="34"/>
        <item x="36"/>
        <item x="26"/>
        <item x="16"/>
        <item x="37"/>
        <item x="17"/>
        <item x="18"/>
        <item x="30"/>
        <item m="1" x="58"/>
        <item m="1" x="57"/>
        <item m="1" x="56"/>
        <item x="45"/>
        <item x="54"/>
        <item x="52"/>
        <item x="39"/>
        <item x="27"/>
        <item x="32"/>
        <item x="40"/>
        <item x="55"/>
        <item x="28"/>
        <item x="29"/>
        <item x="31"/>
        <item x="44"/>
        <item x="51"/>
        <item t="default"/>
      </items>
    </pivotField>
    <pivotField dataField="1" showAll="0"/>
    <pivotField dataField="1" showAll="0"/>
    <pivotField axis="axisPage" multipleItemSelectionAllowed="1" showAll="0">
      <items count="5">
        <item h="1" x="2"/>
        <item x="1"/>
        <item h="1" m="1" x="3"/>
        <item h="1" x="0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1"/>
    <field x="3"/>
  </rowFields>
  <rowItems count="12">
    <i>
      <x v="3"/>
    </i>
    <i r="1">
      <x v="1"/>
    </i>
    <i r="1">
      <x v="2"/>
    </i>
    <i r="1">
      <x v="3"/>
    </i>
    <i r="1">
      <x v="4"/>
    </i>
    <i r="1">
      <x v="5"/>
    </i>
    <i r="1">
      <x v="151"/>
    </i>
    <i>
      <x v="11"/>
    </i>
    <i r="1">
      <x v="166"/>
    </i>
    <i>
      <x v="18"/>
    </i>
    <i r="1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7" hier="-1"/>
  </pageFields>
  <dataFields count="3">
    <dataField name="Cuenta de DÍAS VENCIDOS" fld="12" subtotal="count" baseField="1" baseItem="0"/>
    <dataField name="Suma de DÍAS ATRASADOS" fld="16" baseField="0" baseItem="0"/>
    <dataField name="Suma de USD HOMOL" fld="15" baseField="0" baseItem="0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37E8-02AE-4913-BCD5-1C7EB6FAE3B3}">
  <dimension ref="A1:AB31"/>
  <sheetViews>
    <sheetView tabSelected="1" zoomScale="80" zoomScaleNormal="80" workbookViewId="0">
      <selection activeCell="J38" sqref="J38"/>
    </sheetView>
  </sheetViews>
  <sheetFormatPr baseColWidth="10" defaultRowHeight="14.4" x14ac:dyDescent="0.3"/>
  <cols>
    <col min="1" max="1" width="37.88671875" bestFit="1" customWidth="1"/>
    <col min="2" max="2" width="22.77734375" bestFit="1" customWidth="1"/>
    <col min="3" max="5" width="10.33203125" bestFit="1" customWidth="1"/>
    <col min="6" max="8" width="10.44140625" bestFit="1" customWidth="1"/>
    <col min="9" max="9" width="11.44140625" bestFit="1" customWidth="1"/>
    <col min="10" max="12" width="10.44140625" bestFit="1" customWidth="1"/>
    <col min="13" max="13" width="11.44140625" bestFit="1" customWidth="1"/>
    <col min="14" max="15" width="10.44140625" bestFit="1" customWidth="1"/>
    <col min="16" max="19" width="11.44140625" bestFit="1" customWidth="1"/>
    <col min="20" max="21" width="10.44140625" bestFit="1" customWidth="1"/>
    <col min="22" max="23" width="11.44140625" bestFit="1" customWidth="1"/>
    <col min="24" max="24" width="13" bestFit="1" customWidth="1"/>
    <col min="25" max="25" width="11.44140625" bestFit="1" customWidth="1"/>
    <col min="26" max="28" width="13" bestFit="1" customWidth="1"/>
    <col min="29" max="31" width="9.33203125" bestFit="1" customWidth="1"/>
    <col min="32" max="46" width="10.33203125" bestFit="1" customWidth="1"/>
    <col min="47" max="50" width="9.33203125" bestFit="1" customWidth="1"/>
    <col min="51" max="55" width="10.33203125" bestFit="1" customWidth="1"/>
  </cols>
  <sheetData>
    <row r="1" spans="1:28" x14ac:dyDescent="0.3">
      <c r="A1" s="8" t="s">
        <v>4</v>
      </c>
      <c r="B1" t="s">
        <v>581</v>
      </c>
    </row>
    <row r="2" spans="1:28" x14ac:dyDescent="0.3">
      <c r="A2" s="8" t="s">
        <v>555</v>
      </c>
      <c r="B2" t="s">
        <v>560</v>
      </c>
    </row>
    <row r="4" spans="1:28" x14ac:dyDescent="0.3">
      <c r="A4" s="8" t="s">
        <v>562</v>
      </c>
      <c r="B4" s="8" t="s">
        <v>564</v>
      </c>
    </row>
    <row r="5" spans="1:28" x14ac:dyDescent="0.3">
      <c r="B5" t="s">
        <v>585</v>
      </c>
      <c r="AA5" t="s">
        <v>586</v>
      </c>
      <c r="AB5" t="s">
        <v>563</v>
      </c>
    </row>
    <row r="6" spans="1:28" x14ac:dyDescent="0.3">
      <c r="B6" t="s">
        <v>565</v>
      </c>
      <c r="I6" t="s">
        <v>582</v>
      </c>
      <c r="J6" t="s">
        <v>566</v>
      </c>
      <c r="R6" t="s">
        <v>583</v>
      </c>
      <c r="S6" t="s">
        <v>576</v>
      </c>
      <c r="Z6" t="s">
        <v>584</v>
      </c>
    </row>
    <row r="7" spans="1:28" x14ac:dyDescent="0.3">
      <c r="A7" s="8" t="s">
        <v>561</v>
      </c>
      <c r="B7" s="15">
        <v>46127</v>
      </c>
      <c r="C7" s="15">
        <v>46132</v>
      </c>
      <c r="D7" s="15">
        <v>46134</v>
      </c>
      <c r="E7" s="15">
        <v>46138</v>
      </c>
      <c r="F7" s="15">
        <v>46140</v>
      </c>
      <c r="G7" s="15">
        <v>46141</v>
      </c>
      <c r="H7" s="15">
        <v>46142</v>
      </c>
      <c r="J7" s="15">
        <v>46148</v>
      </c>
      <c r="K7" s="15">
        <v>46150</v>
      </c>
      <c r="L7" s="15">
        <v>46154</v>
      </c>
      <c r="M7" s="15">
        <v>46155</v>
      </c>
      <c r="N7" s="15">
        <v>46163</v>
      </c>
      <c r="O7" s="15">
        <v>46164</v>
      </c>
      <c r="P7" s="15">
        <v>46165</v>
      </c>
      <c r="Q7" s="15">
        <v>46169</v>
      </c>
      <c r="S7" s="15">
        <v>46179</v>
      </c>
      <c r="T7" s="15">
        <v>46181</v>
      </c>
      <c r="U7" s="15">
        <v>46182</v>
      </c>
      <c r="V7" s="15">
        <v>46183</v>
      </c>
      <c r="W7" s="15">
        <v>46184</v>
      </c>
      <c r="X7" s="15">
        <v>46186</v>
      </c>
      <c r="Y7" s="15">
        <v>46199</v>
      </c>
    </row>
    <row r="8" spans="1:28" x14ac:dyDescent="0.3">
      <c r="A8" s="9" t="s">
        <v>99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>
        <v>144756.99</v>
      </c>
      <c r="Q8" s="18"/>
      <c r="R8" s="18">
        <v>144756.99</v>
      </c>
      <c r="S8" s="18"/>
      <c r="T8" s="18"/>
      <c r="U8" s="18"/>
      <c r="V8" s="18"/>
      <c r="W8" s="18"/>
      <c r="X8" s="18"/>
      <c r="Y8" s="18"/>
      <c r="Z8" s="18"/>
      <c r="AA8" s="18">
        <v>144756.99</v>
      </c>
      <c r="AB8" s="18">
        <v>144756.99</v>
      </c>
    </row>
    <row r="9" spans="1:28" x14ac:dyDescent="0.3">
      <c r="A9" s="9" t="s">
        <v>172</v>
      </c>
      <c r="B9" s="18"/>
      <c r="C9" s="18"/>
      <c r="D9" s="18"/>
      <c r="E9" s="18"/>
      <c r="F9" s="18"/>
      <c r="G9" s="18">
        <v>-64701</v>
      </c>
      <c r="H9" s="18"/>
      <c r="I9" s="18">
        <v>-64701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>
        <v>712656</v>
      </c>
      <c r="X9" s="18"/>
      <c r="Y9" s="18"/>
      <c r="Z9" s="18">
        <v>712656</v>
      </c>
      <c r="AA9" s="18">
        <v>647955</v>
      </c>
      <c r="AB9" s="18">
        <v>647955</v>
      </c>
    </row>
    <row r="10" spans="1:28" x14ac:dyDescent="0.3">
      <c r="A10" s="9" t="s">
        <v>183</v>
      </c>
      <c r="B10" s="18">
        <v>-16145</v>
      </c>
      <c r="C10" s="18"/>
      <c r="D10" s="18"/>
      <c r="E10" s="18"/>
      <c r="F10" s="18"/>
      <c r="G10" s="18"/>
      <c r="H10" s="18"/>
      <c r="I10" s="18">
        <v>-16145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>
        <v>-16145</v>
      </c>
      <c r="AB10" s="18">
        <v>-16145</v>
      </c>
    </row>
    <row r="11" spans="1:28" x14ac:dyDescent="0.3">
      <c r="A11" s="9" t="s">
        <v>187</v>
      </c>
      <c r="B11" s="18"/>
      <c r="C11" s="18">
        <v>-0.02</v>
      </c>
      <c r="D11" s="18"/>
      <c r="E11" s="18"/>
      <c r="F11" s="18"/>
      <c r="G11" s="18"/>
      <c r="H11" s="18"/>
      <c r="I11" s="18">
        <v>-0.02</v>
      </c>
      <c r="J11" s="18"/>
      <c r="K11" s="18"/>
      <c r="L11" s="18"/>
      <c r="M11" s="18"/>
      <c r="N11" s="18"/>
      <c r="O11" s="18"/>
      <c r="P11" s="18"/>
      <c r="Q11" s="18">
        <v>67550</v>
      </c>
      <c r="R11" s="18">
        <v>67550</v>
      </c>
      <c r="S11" s="18"/>
      <c r="T11" s="18"/>
      <c r="U11" s="18"/>
      <c r="V11" s="18"/>
      <c r="W11" s="18"/>
      <c r="X11" s="18"/>
      <c r="Y11" s="18"/>
      <c r="Z11" s="18"/>
      <c r="AA11" s="18">
        <v>67549.98</v>
      </c>
      <c r="AB11" s="18">
        <v>67549.98</v>
      </c>
    </row>
    <row r="12" spans="1:28" x14ac:dyDescent="0.3">
      <c r="A12" s="9" t="s">
        <v>196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>
        <v>19830</v>
      </c>
      <c r="X12" s="18">
        <v>36040</v>
      </c>
      <c r="Y12" s="18"/>
      <c r="Z12" s="18">
        <v>55870</v>
      </c>
      <c r="AA12" s="18">
        <v>55870</v>
      </c>
      <c r="AB12" s="18">
        <v>55870</v>
      </c>
    </row>
    <row r="13" spans="1:28" x14ac:dyDescent="0.3">
      <c r="A13" s="9" t="s">
        <v>295</v>
      </c>
      <c r="B13" s="18"/>
      <c r="C13" s="18"/>
      <c r="D13" s="18"/>
      <c r="E13" s="18"/>
      <c r="F13" s="18">
        <v>-36224</v>
      </c>
      <c r="G13" s="18"/>
      <c r="H13" s="18"/>
      <c r="I13" s="18">
        <v>-36224</v>
      </c>
      <c r="J13" s="18"/>
      <c r="K13" s="18"/>
      <c r="L13" s="18"/>
      <c r="M13" s="18">
        <v>-36370</v>
      </c>
      <c r="N13" s="18"/>
      <c r="O13" s="18">
        <v>70913.070000000007</v>
      </c>
      <c r="P13" s="18">
        <v>175000</v>
      </c>
      <c r="Q13" s="18"/>
      <c r="R13" s="18">
        <v>209543.07</v>
      </c>
      <c r="S13" s="18"/>
      <c r="T13" s="18"/>
      <c r="U13" s="18"/>
      <c r="V13" s="18"/>
      <c r="W13" s="18"/>
      <c r="X13" s="18"/>
      <c r="Y13" s="18"/>
      <c r="Z13" s="18"/>
      <c r="AA13" s="18">
        <v>173319.07</v>
      </c>
      <c r="AB13" s="18">
        <v>173319.07</v>
      </c>
    </row>
    <row r="14" spans="1:28" x14ac:dyDescent="0.3">
      <c r="A14" s="9" t="s">
        <v>308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>
        <v>105300</v>
      </c>
      <c r="W14" s="18"/>
      <c r="X14" s="18"/>
      <c r="Y14" s="18">
        <v>420417</v>
      </c>
      <c r="Z14" s="18">
        <v>525717</v>
      </c>
      <c r="AA14" s="18">
        <v>525717</v>
      </c>
      <c r="AB14" s="18">
        <v>525717</v>
      </c>
    </row>
    <row r="15" spans="1:28" x14ac:dyDescent="0.3">
      <c r="A15" s="9" t="s">
        <v>315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>
        <v>-223726</v>
      </c>
      <c r="N15" s="18"/>
      <c r="O15" s="18"/>
      <c r="P15" s="18"/>
      <c r="Q15" s="18"/>
      <c r="R15" s="18">
        <v>-223726</v>
      </c>
      <c r="S15" s="18"/>
      <c r="T15" s="18"/>
      <c r="U15" s="18"/>
      <c r="V15" s="18"/>
      <c r="W15" s="18"/>
      <c r="X15" s="18"/>
      <c r="Y15" s="18"/>
      <c r="Z15" s="18"/>
      <c r="AA15" s="18">
        <v>-223726</v>
      </c>
      <c r="AB15" s="18">
        <v>-223726</v>
      </c>
    </row>
    <row r="16" spans="1:28" x14ac:dyDescent="0.3">
      <c r="A16" s="9" t="s">
        <v>319</v>
      </c>
      <c r="B16" s="18"/>
      <c r="C16" s="18"/>
      <c r="D16" s="18"/>
      <c r="E16" s="18">
        <v>-4560</v>
      </c>
      <c r="F16" s="18"/>
      <c r="G16" s="18"/>
      <c r="H16" s="18"/>
      <c r="I16" s="18">
        <v>-4560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>
        <v>396900</v>
      </c>
      <c r="Y16" s="18"/>
      <c r="Z16" s="18">
        <v>396900</v>
      </c>
      <c r="AA16" s="18">
        <v>392340</v>
      </c>
      <c r="AB16" s="18">
        <v>392340</v>
      </c>
    </row>
    <row r="17" spans="1:28" x14ac:dyDescent="0.3">
      <c r="A17" s="9" t="s">
        <v>376</v>
      </c>
      <c r="B17" s="18"/>
      <c r="C17" s="18"/>
      <c r="D17" s="18"/>
      <c r="E17" s="18"/>
      <c r="F17" s="18"/>
      <c r="G17" s="18"/>
      <c r="H17" s="18"/>
      <c r="I17" s="18"/>
      <c r="J17" s="18">
        <v>-50026</v>
      </c>
      <c r="K17" s="18"/>
      <c r="L17" s="18"/>
      <c r="M17" s="18"/>
      <c r="N17" s="18"/>
      <c r="O17" s="18"/>
      <c r="P17" s="18"/>
      <c r="Q17" s="18"/>
      <c r="R17" s="18">
        <v>-50026</v>
      </c>
      <c r="S17" s="18"/>
      <c r="T17" s="18"/>
      <c r="U17" s="18"/>
      <c r="V17" s="18"/>
      <c r="W17" s="18"/>
      <c r="X17" s="18"/>
      <c r="Y17" s="18"/>
      <c r="Z17" s="18"/>
      <c r="AA17" s="18">
        <v>-50026</v>
      </c>
      <c r="AB17" s="18">
        <v>-50026</v>
      </c>
    </row>
    <row r="18" spans="1:28" x14ac:dyDescent="0.3">
      <c r="A18" s="9" t="s">
        <v>383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>
        <v>76700</v>
      </c>
      <c r="O18" s="18"/>
      <c r="P18" s="18"/>
      <c r="Q18" s="18">
        <v>36400</v>
      </c>
      <c r="R18" s="18">
        <v>113100</v>
      </c>
      <c r="S18" s="18">
        <v>36400</v>
      </c>
      <c r="T18" s="18"/>
      <c r="U18" s="18"/>
      <c r="V18" s="18"/>
      <c r="W18" s="18">
        <v>117000</v>
      </c>
      <c r="X18" s="18"/>
      <c r="Y18" s="18"/>
      <c r="Z18" s="18">
        <v>153400</v>
      </c>
      <c r="AA18" s="18">
        <v>266500</v>
      </c>
      <c r="AB18" s="18">
        <v>266500</v>
      </c>
    </row>
    <row r="19" spans="1:28" x14ac:dyDescent="0.3">
      <c r="A19" s="9" t="s">
        <v>449</v>
      </c>
      <c r="B19" s="18"/>
      <c r="C19" s="18"/>
      <c r="D19" s="18">
        <v>-7645</v>
      </c>
      <c r="E19" s="18"/>
      <c r="F19" s="18"/>
      <c r="G19" s="18"/>
      <c r="H19" s="18"/>
      <c r="I19" s="18">
        <v>-7645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>
        <v>-7645</v>
      </c>
      <c r="AB19" s="18">
        <v>-7645</v>
      </c>
    </row>
    <row r="20" spans="1:28" x14ac:dyDescent="0.3">
      <c r="A20" s="9" t="s">
        <v>457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>
        <v>362877</v>
      </c>
      <c r="Y20" s="18"/>
      <c r="Z20" s="18">
        <v>362877</v>
      </c>
      <c r="AA20" s="18">
        <v>362877</v>
      </c>
      <c r="AB20" s="18">
        <v>362877</v>
      </c>
    </row>
    <row r="21" spans="1:28" x14ac:dyDescent="0.3">
      <c r="A21" s="9" t="s">
        <v>477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>
        <v>116670</v>
      </c>
      <c r="X21" s="18"/>
      <c r="Y21" s="18"/>
      <c r="Z21" s="18">
        <v>116670</v>
      </c>
      <c r="AA21" s="18">
        <v>116670</v>
      </c>
      <c r="AB21" s="18">
        <v>116670</v>
      </c>
    </row>
    <row r="22" spans="1:28" x14ac:dyDescent="0.3">
      <c r="A22" s="9" t="s">
        <v>481</v>
      </c>
      <c r="B22" s="18"/>
      <c r="C22" s="18"/>
      <c r="D22" s="18"/>
      <c r="E22" s="18"/>
      <c r="F22" s="18"/>
      <c r="G22" s="18"/>
      <c r="H22" s="18"/>
      <c r="I22" s="18"/>
      <c r="J22" s="18"/>
      <c r="K22" s="18">
        <v>-23675</v>
      </c>
      <c r="L22" s="18"/>
      <c r="M22" s="18"/>
      <c r="N22" s="18"/>
      <c r="O22" s="18"/>
      <c r="P22" s="18"/>
      <c r="Q22" s="18"/>
      <c r="R22" s="18">
        <v>-23675</v>
      </c>
      <c r="S22" s="18"/>
      <c r="T22" s="18"/>
      <c r="U22" s="18"/>
      <c r="V22" s="18"/>
      <c r="W22" s="18"/>
      <c r="X22" s="18">
        <v>56785</v>
      </c>
      <c r="Y22" s="18"/>
      <c r="Z22" s="18">
        <v>56785</v>
      </c>
      <c r="AA22" s="18">
        <v>33110</v>
      </c>
      <c r="AB22" s="18">
        <v>33110</v>
      </c>
    </row>
    <row r="23" spans="1:28" x14ac:dyDescent="0.3">
      <c r="A23" s="9" t="s">
        <v>499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>
        <v>180000</v>
      </c>
      <c r="Q23" s="18"/>
      <c r="R23" s="18">
        <v>180000</v>
      </c>
      <c r="S23" s="18"/>
      <c r="T23" s="18"/>
      <c r="U23" s="18">
        <v>77280</v>
      </c>
      <c r="V23" s="18"/>
      <c r="W23" s="18"/>
      <c r="X23" s="18">
        <v>324910</v>
      </c>
      <c r="Y23" s="18"/>
      <c r="Z23" s="18">
        <v>402190</v>
      </c>
      <c r="AA23" s="18">
        <v>582190</v>
      </c>
      <c r="AB23" s="18">
        <v>582190</v>
      </c>
    </row>
    <row r="24" spans="1:28" x14ac:dyDescent="0.3">
      <c r="A24" s="9" t="s">
        <v>522</v>
      </c>
      <c r="B24" s="18"/>
      <c r="C24" s="18"/>
      <c r="D24" s="18"/>
      <c r="E24" s="18"/>
      <c r="F24" s="18"/>
      <c r="G24" s="18"/>
      <c r="H24" s="18">
        <v>-6675</v>
      </c>
      <c r="I24" s="18">
        <v>-6675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>
        <v>-6675</v>
      </c>
      <c r="AB24" s="18">
        <v>-6675</v>
      </c>
    </row>
    <row r="25" spans="1:28" x14ac:dyDescent="0.3">
      <c r="A25" s="9" t="s">
        <v>526</v>
      </c>
      <c r="B25" s="18"/>
      <c r="C25" s="18"/>
      <c r="D25" s="18"/>
      <c r="E25" s="18"/>
      <c r="F25" s="18"/>
      <c r="G25" s="18"/>
      <c r="H25" s="18"/>
      <c r="I25" s="18"/>
      <c r="J25" s="18">
        <v>-13316.5</v>
      </c>
      <c r="K25" s="18"/>
      <c r="L25" s="18"/>
      <c r="M25" s="18"/>
      <c r="N25" s="18"/>
      <c r="O25" s="18"/>
      <c r="P25" s="18"/>
      <c r="Q25" s="18"/>
      <c r="R25" s="18">
        <v>-13316.5</v>
      </c>
      <c r="S25" s="18"/>
      <c r="T25" s="18"/>
      <c r="U25" s="18"/>
      <c r="V25" s="18"/>
      <c r="W25" s="18"/>
      <c r="X25" s="18"/>
      <c r="Y25" s="18"/>
      <c r="Z25" s="18"/>
      <c r="AA25" s="18">
        <v>-13316.5</v>
      </c>
      <c r="AB25" s="18">
        <v>-13316.5</v>
      </c>
    </row>
    <row r="26" spans="1:28" x14ac:dyDescent="0.3">
      <c r="A26" s="9" t="s">
        <v>530</v>
      </c>
      <c r="B26" s="18"/>
      <c r="C26" s="18"/>
      <c r="D26" s="18"/>
      <c r="E26" s="18"/>
      <c r="F26" s="18"/>
      <c r="G26" s="18"/>
      <c r="H26" s="18">
        <v>-74009</v>
      </c>
      <c r="I26" s="18">
        <v>-74009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>
        <v>-74009</v>
      </c>
      <c r="AB26" s="18">
        <v>-74009</v>
      </c>
    </row>
    <row r="27" spans="1:28" x14ac:dyDescent="0.3">
      <c r="A27" s="9" t="s">
        <v>534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>
        <v>30250</v>
      </c>
      <c r="U27" s="18"/>
      <c r="V27" s="18"/>
      <c r="W27" s="18"/>
      <c r="X27" s="18"/>
      <c r="Y27" s="18"/>
      <c r="Z27" s="18">
        <v>30250</v>
      </c>
      <c r="AA27" s="18">
        <v>30250</v>
      </c>
      <c r="AB27" s="18">
        <v>30250</v>
      </c>
    </row>
    <row r="28" spans="1:28" x14ac:dyDescent="0.3">
      <c r="A28" s="9" t="s">
        <v>538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>
        <v>99500</v>
      </c>
      <c r="R28" s="18">
        <v>99500</v>
      </c>
      <c r="S28" s="18">
        <v>95904</v>
      </c>
      <c r="T28" s="18"/>
      <c r="U28" s="18"/>
      <c r="V28" s="18"/>
      <c r="W28" s="18"/>
      <c r="X28" s="18"/>
      <c r="Y28" s="18"/>
      <c r="Z28" s="18">
        <v>95904</v>
      </c>
      <c r="AA28" s="18">
        <v>195404</v>
      </c>
      <c r="AB28" s="18">
        <v>195404</v>
      </c>
    </row>
    <row r="29" spans="1:28" x14ac:dyDescent="0.3">
      <c r="A29" s="9" t="s">
        <v>548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>
        <v>-32801</v>
      </c>
      <c r="M29" s="18"/>
      <c r="N29" s="18"/>
      <c r="O29" s="18"/>
      <c r="P29" s="18"/>
      <c r="Q29" s="18"/>
      <c r="R29" s="18">
        <v>-32801</v>
      </c>
      <c r="S29" s="18"/>
      <c r="T29" s="18"/>
      <c r="U29" s="18"/>
      <c r="V29" s="18"/>
      <c r="W29" s="18"/>
      <c r="X29" s="18"/>
      <c r="Y29" s="18"/>
      <c r="Z29" s="18"/>
      <c r="AA29" s="18">
        <v>-32801</v>
      </c>
      <c r="AB29" s="18">
        <v>-32801</v>
      </c>
    </row>
    <row r="30" spans="1:28" x14ac:dyDescent="0.3">
      <c r="A30" s="9" t="s">
        <v>552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>
        <v>-52139</v>
      </c>
      <c r="M30" s="18"/>
      <c r="N30" s="18"/>
      <c r="O30" s="18"/>
      <c r="P30" s="18"/>
      <c r="Q30" s="18"/>
      <c r="R30" s="18">
        <v>-52139</v>
      </c>
      <c r="S30" s="18"/>
      <c r="T30" s="18"/>
      <c r="U30" s="18"/>
      <c r="V30" s="18"/>
      <c r="W30" s="18"/>
      <c r="X30" s="18"/>
      <c r="Y30" s="18"/>
      <c r="Z30" s="18"/>
      <c r="AA30" s="18">
        <v>-52139</v>
      </c>
      <c r="AB30" s="18">
        <v>-52139</v>
      </c>
    </row>
    <row r="31" spans="1:28" x14ac:dyDescent="0.3">
      <c r="A31" s="9" t="s">
        <v>563</v>
      </c>
      <c r="B31" s="18">
        <v>-16145</v>
      </c>
      <c r="C31" s="18">
        <v>-0.02</v>
      </c>
      <c r="D31" s="18">
        <v>-7645</v>
      </c>
      <c r="E31" s="18">
        <v>-4560</v>
      </c>
      <c r="F31" s="18">
        <v>-36224</v>
      </c>
      <c r="G31" s="18">
        <v>-64701</v>
      </c>
      <c r="H31" s="18">
        <v>-80684</v>
      </c>
      <c r="I31" s="18">
        <v>-209959.02000000002</v>
      </c>
      <c r="J31" s="18">
        <v>-63342.5</v>
      </c>
      <c r="K31" s="18">
        <v>-23675</v>
      </c>
      <c r="L31" s="18">
        <v>-84940</v>
      </c>
      <c r="M31" s="18">
        <v>-260096</v>
      </c>
      <c r="N31" s="18">
        <v>76700</v>
      </c>
      <c r="O31" s="18">
        <v>70913.070000000007</v>
      </c>
      <c r="P31" s="18">
        <v>499756.99</v>
      </c>
      <c r="Q31" s="18">
        <v>203450</v>
      </c>
      <c r="R31" s="18">
        <v>418766.56</v>
      </c>
      <c r="S31" s="18">
        <v>132304</v>
      </c>
      <c r="T31" s="18">
        <v>30250</v>
      </c>
      <c r="U31" s="18">
        <v>77280</v>
      </c>
      <c r="V31" s="18">
        <v>105300</v>
      </c>
      <c r="W31" s="18">
        <v>966156</v>
      </c>
      <c r="X31" s="18">
        <v>1177512</v>
      </c>
      <c r="Y31" s="18">
        <v>420417</v>
      </c>
      <c r="Z31" s="18">
        <v>2909219</v>
      </c>
      <c r="AA31" s="18">
        <v>3118026.54</v>
      </c>
      <c r="AB31" s="18">
        <v>3118026.54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FB36D-D3DC-4F32-A3DD-C36E3D335193}">
  <dimension ref="A3:B81"/>
  <sheetViews>
    <sheetView workbookViewId="0">
      <selection activeCell="A9" sqref="A9"/>
    </sheetView>
  </sheetViews>
  <sheetFormatPr baseColWidth="10" defaultRowHeight="14.4" x14ac:dyDescent="0.3"/>
  <cols>
    <col min="1" max="1" width="38.88671875" bestFit="1" customWidth="1"/>
    <col min="2" max="2" width="18.88671875" bestFit="1" customWidth="1"/>
  </cols>
  <sheetData>
    <row r="3" spans="1:2" x14ac:dyDescent="0.3">
      <c r="A3" s="8" t="s">
        <v>555</v>
      </c>
      <c r="B3" t="s">
        <v>560</v>
      </c>
    </row>
    <row r="5" spans="1:2" x14ac:dyDescent="0.3">
      <c r="A5" s="8" t="s">
        <v>561</v>
      </c>
      <c r="B5" t="s">
        <v>577</v>
      </c>
    </row>
    <row r="6" spans="1:2" x14ac:dyDescent="0.3">
      <c r="A6" s="9" t="s">
        <v>99</v>
      </c>
      <c r="B6" s="18">
        <v>144756.99</v>
      </c>
    </row>
    <row r="7" spans="1:2" x14ac:dyDescent="0.3">
      <c r="A7" s="11" t="s">
        <v>101</v>
      </c>
      <c r="B7" s="18">
        <v>24860</v>
      </c>
    </row>
    <row r="8" spans="1:2" x14ac:dyDescent="0.3">
      <c r="A8" s="11" t="s">
        <v>105</v>
      </c>
      <c r="B8" s="18">
        <v>24860</v>
      </c>
    </row>
    <row r="9" spans="1:2" x14ac:dyDescent="0.3">
      <c r="A9" s="11" t="s">
        <v>108</v>
      </c>
      <c r="B9" s="18">
        <v>28800</v>
      </c>
    </row>
    <row r="10" spans="1:2" x14ac:dyDescent="0.3">
      <c r="A10" s="11" t="s">
        <v>111</v>
      </c>
      <c r="B10" s="18">
        <v>28800</v>
      </c>
    </row>
    <row r="11" spans="1:2" x14ac:dyDescent="0.3">
      <c r="A11" s="11" t="s">
        <v>114</v>
      </c>
      <c r="B11" s="18">
        <v>29300</v>
      </c>
    </row>
    <row r="12" spans="1:2" x14ac:dyDescent="0.3">
      <c r="A12" s="11" t="s">
        <v>117</v>
      </c>
      <c r="B12" s="18">
        <v>8136.99</v>
      </c>
    </row>
    <row r="13" spans="1:2" x14ac:dyDescent="0.3">
      <c r="A13" s="9" t="s">
        <v>172</v>
      </c>
      <c r="B13" s="18">
        <v>647955</v>
      </c>
    </row>
    <row r="14" spans="1:2" x14ac:dyDescent="0.3">
      <c r="A14" s="11" t="s">
        <v>174</v>
      </c>
      <c r="B14" s="18">
        <v>323856</v>
      </c>
    </row>
    <row r="15" spans="1:2" x14ac:dyDescent="0.3">
      <c r="A15" s="11" t="s">
        <v>177</v>
      </c>
      <c r="B15" s="18">
        <v>388800</v>
      </c>
    </row>
    <row r="16" spans="1:2" x14ac:dyDescent="0.3">
      <c r="A16" s="11" t="s">
        <v>180</v>
      </c>
      <c r="B16" s="18">
        <v>-64701</v>
      </c>
    </row>
    <row r="17" spans="1:2" x14ac:dyDescent="0.3">
      <c r="A17" s="9" t="s">
        <v>183</v>
      </c>
      <c r="B17" s="18">
        <v>-16145</v>
      </c>
    </row>
    <row r="18" spans="1:2" x14ac:dyDescent="0.3">
      <c r="A18" s="11" t="s">
        <v>185</v>
      </c>
      <c r="B18" s="18">
        <v>-16145</v>
      </c>
    </row>
    <row r="19" spans="1:2" x14ac:dyDescent="0.3">
      <c r="A19" s="9" t="s">
        <v>187</v>
      </c>
      <c r="B19" s="18">
        <v>67549.98</v>
      </c>
    </row>
    <row r="20" spans="1:2" x14ac:dyDescent="0.3">
      <c r="A20" s="11" t="s">
        <v>190</v>
      </c>
      <c r="B20" s="18">
        <v>67550</v>
      </c>
    </row>
    <row r="21" spans="1:2" x14ac:dyDescent="0.3">
      <c r="A21" s="11" t="s">
        <v>193</v>
      </c>
      <c r="B21" s="18">
        <v>-0.02</v>
      </c>
    </row>
    <row r="22" spans="1:2" x14ac:dyDescent="0.3">
      <c r="A22" s="9" t="s">
        <v>196</v>
      </c>
      <c r="B22" s="18">
        <v>55870</v>
      </c>
    </row>
    <row r="23" spans="1:2" x14ac:dyDescent="0.3">
      <c r="A23" s="11" t="s">
        <v>198</v>
      </c>
      <c r="B23" s="18">
        <v>19830</v>
      </c>
    </row>
    <row r="24" spans="1:2" x14ac:dyDescent="0.3">
      <c r="A24" s="11" t="s">
        <v>201</v>
      </c>
      <c r="B24" s="18">
        <v>36040</v>
      </c>
    </row>
    <row r="25" spans="1:2" x14ac:dyDescent="0.3">
      <c r="A25" s="9" t="s">
        <v>295</v>
      </c>
      <c r="B25" s="18">
        <v>173319.07</v>
      </c>
    </row>
    <row r="26" spans="1:2" x14ac:dyDescent="0.3">
      <c r="A26" s="11" t="s">
        <v>300</v>
      </c>
      <c r="B26" s="18">
        <v>175000</v>
      </c>
    </row>
    <row r="27" spans="1:2" x14ac:dyDescent="0.3">
      <c r="A27" s="11" t="s">
        <v>306</v>
      </c>
      <c r="B27" s="18">
        <v>-36370</v>
      </c>
    </row>
    <row r="28" spans="1:2" x14ac:dyDescent="0.3">
      <c r="A28" s="11" t="s">
        <v>303</v>
      </c>
      <c r="B28" s="18">
        <v>-36224</v>
      </c>
    </row>
    <row r="29" spans="1:2" x14ac:dyDescent="0.3">
      <c r="A29" s="11" t="s">
        <v>580</v>
      </c>
      <c r="B29" s="18">
        <v>70913.070000000007</v>
      </c>
    </row>
    <row r="30" spans="1:2" x14ac:dyDescent="0.3">
      <c r="A30" s="9" t="s">
        <v>308</v>
      </c>
      <c r="B30" s="18">
        <v>525717</v>
      </c>
    </row>
    <row r="31" spans="1:2" x14ac:dyDescent="0.3">
      <c r="A31" s="11" t="s">
        <v>310</v>
      </c>
      <c r="B31" s="18">
        <v>105300</v>
      </c>
    </row>
    <row r="32" spans="1:2" x14ac:dyDescent="0.3">
      <c r="A32" s="11" t="s">
        <v>313</v>
      </c>
      <c r="B32" s="18">
        <v>420417</v>
      </c>
    </row>
    <row r="33" spans="1:2" x14ac:dyDescent="0.3">
      <c r="A33" s="9" t="s">
        <v>315</v>
      </c>
      <c r="B33" s="18">
        <v>-223726</v>
      </c>
    </row>
    <row r="34" spans="1:2" x14ac:dyDescent="0.3">
      <c r="A34" s="11" t="s">
        <v>317</v>
      </c>
      <c r="B34" s="18">
        <v>-223726</v>
      </c>
    </row>
    <row r="35" spans="1:2" x14ac:dyDescent="0.3">
      <c r="A35" s="9" t="s">
        <v>319</v>
      </c>
      <c r="B35" s="18">
        <v>392340</v>
      </c>
    </row>
    <row r="36" spans="1:2" x14ac:dyDescent="0.3">
      <c r="A36" s="11" t="s">
        <v>324</v>
      </c>
      <c r="B36" s="18">
        <v>396900</v>
      </c>
    </row>
    <row r="37" spans="1:2" x14ac:dyDescent="0.3">
      <c r="A37" s="11" t="s">
        <v>321</v>
      </c>
      <c r="B37" s="18">
        <v>-4560</v>
      </c>
    </row>
    <row r="38" spans="1:2" x14ac:dyDescent="0.3">
      <c r="A38" s="9" t="s">
        <v>376</v>
      </c>
      <c r="B38" s="18">
        <v>-50026</v>
      </c>
    </row>
    <row r="39" spans="1:2" x14ac:dyDescent="0.3">
      <c r="A39" s="11" t="s">
        <v>378</v>
      </c>
      <c r="B39" s="18">
        <v>-50026</v>
      </c>
    </row>
    <row r="40" spans="1:2" x14ac:dyDescent="0.3">
      <c r="A40" s="9" t="s">
        <v>383</v>
      </c>
      <c r="B40" s="18">
        <v>266500</v>
      </c>
    </row>
    <row r="41" spans="1:2" x14ac:dyDescent="0.3">
      <c r="A41" s="11" t="s">
        <v>385</v>
      </c>
      <c r="B41" s="18">
        <v>76700</v>
      </c>
    </row>
    <row r="42" spans="1:2" x14ac:dyDescent="0.3">
      <c r="A42" s="11" t="s">
        <v>388</v>
      </c>
      <c r="B42" s="18">
        <v>36400</v>
      </c>
    </row>
    <row r="43" spans="1:2" x14ac:dyDescent="0.3">
      <c r="A43" s="11" t="s">
        <v>391</v>
      </c>
      <c r="B43" s="18">
        <v>80600</v>
      </c>
    </row>
    <row r="44" spans="1:2" x14ac:dyDescent="0.3">
      <c r="A44" s="11" t="s">
        <v>394</v>
      </c>
      <c r="B44" s="18">
        <v>36400</v>
      </c>
    </row>
    <row r="45" spans="1:2" x14ac:dyDescent="0.3">
      <c r="A45" s="11" t="s">
        <v>397</v>
      </c>
      <c r="B45" s="18">
        <v>36400</v>
      </c>
    </row>
    <row r="46" spans="1:2" x14ac:dyDescent="0.3">
      <c r="A46" s="9" t="s">
        <v>449</v>
      </c>
      <c r="B46" s="18">
        <v>-7645</v>
      </c>
    </row>
    <row r="47" spans="1:2" x14ac:dyDescent="0.3">
      <c r="A47" s="11" t="s">
        <v>321</v>
      </c>
      <c r="B47" s="18">
        <v>-7645</v>
      </c>
    </row>
    <row r="48" spans="1:2" x14ac:dyDescent="0.3">
      <c r="A48" s="9" t="s">
        <v>457</v>
      </c>
      <c r="B48" s="18">
        <v>362877</v>
      </c>
    </row>
    <row r="49" spans="1:2" x14ac:dyDescent="0.3">
      <c r="A49" s="11" t="s">
        <v>465</v>
      </c>
      <c r="B49" s="18">
        <v>77257</v>
      </c>
    </row>
    <row r="50" spans="1:2" x14ac:dyDescent="0.3">
      <c r="A50" s="11" t="s">
        <v>459</v>
      </c>
      <c r="B50" s="18">
        <v>123265</v>
      </c>
    </row>
    <row r="51" spans="1:2" x14ac:dyDescent="0.3">
      <c r="A51" s="11" t="s">
        <v>462</v>
      </c>
      <c r="B51" s="18">
        <v>162355</v>
      </c>
    </row>
    <row r="52" spans="1:2" x14ac:dyDescent="0.3">
      <c r="A52" s="9" t="s">
        <v>477</v>
      </c>
      <c r="B52" s="18">
        <v>116670</v>
      </c>
    </row>
    <row r="53" spans="1:2" x14ac:dyDescent="0.3">
      <c r="A53" s="11" t="s">
        <v>479</v>
      </c>
      <c r="B53" s="18">
        <v>116670</v>
      </c>
    </row>
    <row r="54" spans="1:2" x14ac:dyDescent="0.3">
      <c r="A54" s="9" t="s">
        <v>481</v>
      </c>
      <c r="B54" s="18">
        <v>33110</v>
      </c>
    </row>
    <row r="55" spans="1:2" x14ac:dyDescent="0.3">
      <c r="A55" s="11" t="s">
        <v>486</v>
      </c>
      <c r="B55" s="18">
        <v>-23675</v>
      </c>
    </row>
    <row r="56" spans="1:2" x14ac:dyDescent="0.3">
      <c r="A56" s="11" t="s">
        <v>483</v>
      </c>
      <c r="B56" s="18">
        <v>56785</v>
      </c>
    </row>
    <row r="57" spans="1:2" x14ac:dyDescent="0.3">
      <c r="A57" s="9" t="s">
        <v>499</v>
      </c>
      <c r="B57" s="18">
        <v>582190</v>
      </c>
    </row>
    <row r="58" spans="1:2" x14ac:dyDescent="0.3">
      <c r="A58" s="11" t="s">
        <v>502</v>
      </c>
      <c r="B58" s="18">
        <v>180000</v>
      </c>
    </row>
    <row r="59" spans="1:2" x14ac:dyDescent="0.3">
      <c r="A59" s="11" t="s">
        <v>505</v>
      </c>
      <c r="B59" s="18">
        <v>35520</v>
      </c>
    </row>
    <row r="60" spans="1:2" x14ac:dyDescent="0.3">
      <c r="A60" s="11" t="s">
        <v>508</v>
      </c>
      <c r="B60" s="18">
        <v>41760</v>
      </c>
    </row>
    <row r="61" spans="1:2" x14ac:dyDescent="0.3">
      <c r="A61" s="11" t="s">
        <v>511</v>
      </c>
      <c r="B61" s="18">
        <v>53360</v>
      </c>
    </row>
    <row r="62" spans="1:2" x14ac:dyDescent="0.3">
      <c r="A62" s="11" t="s">
        <v>514</v>
      </c>
      <c r="B62" s="18">
        <v>163070</v>
      </c>
    </row>
    <row r="63" spans="1:2" x14ac:dyDescent="0.3">
      <c r="A63" s="11" t="s">
        <v>517</v>
      </c>
      <c r="B63" s="18">
        <v>52800</v>
      </c>
    </row>
    <row r="64" spans="1:2" x14ac:dyDescent="0.3">
      <c r="A64" s="11" t="s">
        <v>520</v>
      </c>
      <c r="B64" s="18">
        <v>55680</v>
      </c>
    </row>
    <row r="65" spans="1:2" x14ac:dyDescent="0.3">
      <c r="A65" s="9" t="s">
        <v>522</v>
      </c>
      <c r="B65" s="18">
        <v>-6675</v>
      </c>
    </row>
    <row r="66" spans="1:2" x14ac:dyDescent="0.3">
      <c r="A66" s="11" t="s">
        <v>524</v>
      </c>
      <c r="B66" s="18">
        <v>-6675</v>
      </c>
    </row>
    <row r="67" spans="1:2" x14ac:dyDescent="0.3">
      <c r="A67" s="9" t="s">
        <v>526</v>
      </c>
      <c r="B67" s="18">
        <v>-13316.5</v>
      </c>
    </row>
    <row r="68" spans="1:2" x14ac:dyDescent="0.3">
      <c r="A68" s="11" t="s">
        <v>528</v>
      </c>
      <c r="B68" s="18">
        <v>-13316.5</v>
      </c>
    </row>
    <row r="69" spans="1:2" x14ac:dyDescent="0.3">
      <c r="A69" s="9" t="s">
        <v>530</v>
      </c>
      <c r="B69" s="18">
        <v>-74009</v>
      </c>
    </row>
    <row r="70" spans="1:2" x14ac:dyDescent="0.3">
      <c r="A70" s="11" t="s">
        <v>532</v>
      </c>
      <c r="B70" s="18">
        <v>-74009</v>
      </c>
    </row>
    <row r="71" spans="1:2" x14ac:dyDescent="0.3">
      <c r="A71" s="9" t="s">
        <v>534</v>
      </c>
      <c r="B71" s="18">
        <v>30250</v>
      </c>
    </row>
    <row r="72" spans="1:2" x14ac:dyDescent="0.3">
      <c r="A72" s="11" t="s">
        <v>536</v>
      </c>
      <c r="B72" s="18">
        <v>30250</v>
      </c>
    </row>
    <row r="73" spans="1:2" x14ac:dyDescent="0.3">
      <c r="A73" s="9" t="s">
        <v>538</v>
      </c>
      <c r="B73" s="18">
        <v>195404</v>
      </c>
    </row>
    <row r="74" spans="1:2" x14ac:dyDescent="0.3">
      <c r="A74" s="11" t="s">
        <v>540</v>
      </c>
      <c r="B74" s="18">
        <v>94500</v>
      </c>
    </row>
    <row r="75" spans="1:2" x14ac:dyDescent="0.3">
      <c r="A75" s="11" t="s">
        <v>546</v>
      </c>
      <c r="B75" s="18">
        <v>95904</v>
      </c>
    </row>
    <row r="76" spans="1:2" x14ac:dyDescent="0.3">
      <c r="A76" s="11" t="s">
        <v>543</v>
      </c>
      <c r="B76" s="18">
        <v>5000</v>
      </c>
    </row>
    <row r="77" spans="1:2" x14ac:dyDescent="0.3">
      <c r="A77" s="9" t="s">
        <v>548</v>
      </c>
      <c r="B77" s="18">
        <v>-32801</v>
      </c>
    </row>
    <row r="78" spans="1:2" x14ac:dyDescent="0.3">
      <c r="A78" s="11" t="s">
        <v>550</v>
      </c>
      <c r="B78" s="18">
        <v>-32801</v>
      </c>
    </row>
    <row r="79" spans="1:2" x14ac:dyDescent="0.3">
      <c r="A79" s="9" t="s">
        <v>552</v>
      </c>
      <c r="B79" s="18">
        <v>-52139</v>
      </c>
    </row>
    <row r="80" spans="1:2" x14ac:dyDescent="0.3">
      <c r="A80" s="11" t="s">
        <v>550</v>
      </c>
      <c r="B80" s="18">
        <v>-52139</v>
      </c>
    </row>
    <row r="81" spans="1:2" x14ac:dyDescent="0.3">
      <c r="A81" s="9" t="s">
        <v>563</v>
      </c>
      <c r="B81" s="18">
        <v>3118026.54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DAD2-3A7D-44E2-AD3C-FDD1A7938A03}">
  <dimension ref="A2:I71"/>
  <sheetViews>
    <sheetView workbookViewId="0">
      <selection activeCell="F8" sqref="F8"/>
    </sheetView>
  </sheetViews>
  <sheetFormatPr baseColWidth="10" defaultRowHeight="14.4" x14ac:dyDescent="0.3"/>
  <cols>
    <col min="1" max="1" width="38.88671875" bestFit="1" customWidth="1"/>
    <col min="2" max="2" width="23.109375" bestFit="1" customWidth="1"/>
    <col min="3" max="3" width="23.21875" bestFit="1" customWidth="1"/>
    <col min="4" max="4" width="18.88671875" bestFit="1" customWidth="1"/>
    <col min="6" max="6" width="19.5546875" bestFit="1" customWidth="1"/>
    <col min="7" max="7" width="23.109375" bestFit="1" customWidth="1"/>
    <col min="8" max="8" width="23.21875" bestFit="1" customWidth="1"/>
    <col min="9" max="9" width="18.88671875" bestFit="1" customWidth="1"/>
  </cols>
  <sheetData>
    <row r="2" spans="1:9" x14ac:dyDescent="0.3">
      <c r="A2" s="8" t="s">
        <v>573</v>
      </c>
      <c r="B2" t="s">
        <v>575</v>
      </c>
      <c r="F2" s="8" t="s">
        <v>573</v>
      </c>
      <c r="G2" t="s">
        <v>574</v>
      </c>
    </row>
    <row r="4" spans="1:9" x14ac:dyDescent="0.3">
      <c r="A4" s="8" t="s">
        <v>561</v>
      </c>
      <c r="B4" t="s">
        <v>579</v>
      </c>
      <c r="C4" t="s">
        <v>578</v>
      </c>
      <c r="D4" t="s">
        <v>577</v>
      </c>
      <c r="F4" s="8" t="s">
        <v>561</v>
      </c>
      <c r="G4" t="s">
        <v>579</v>
      </c>
      <c r="H4" t="s">
        <v>578</v>
      </c>
      <c r="I4" t="s">
        <v>577</v>
      </c>
    </row>
    <row r="5" spans="1:9" x14ac:dyDescent="0.3">
      <c r="A5" s="9" t="s">
        <v>172</v>
      </c>
      <c r="B5" s="18">
        <v>3</v>
      </c>
      <c r="C5" s="18">
        <v>61</v>
      </c>
      <c r="D5" s="18">
        <v>647955</v>
      </c>
      <c r="F5" s="9" t="s">
        <v>99</v>
      </c>
      <c r="G5" s="18">
        <v>6</v>
      </c>
      <c r="H5" s="18">
        <v>300</v>
      </c>
      <c r="I5" s="18">
        <v>144756.99</v>
      </c>
    </row>
    <row r="6" spans="1:9" x14ac:dyDescent="0.3">
      <c r="A6" s="11" t="s">
        <v>174</v>
      </c>
      <c r="B6" s="18">
        <v>1</v>
      </c>
      <c r="C6" s="18">
        <v>21</v>
      </c>
      <c r="D6" s="18">
        <v>323856</v>
      </c>
      <c r="F6" s="11" t="s">
        <v>101</v>
      </c>
      <c r="G6" s="18">
        <v>1</v>
      </c>
      <c r="H6" s="18">
        <v>50</v>
      </c>
      <c r="I6" s="18">
        <v>24860</v>
      </c>
    </row>
    <row r="7" spans="1:9" x14ac:dyDescent="0.3">
      <c r="A7" s="11" t="s">
        <v>177</v>
      </c>
      <c r="B7" s="18">
        <v>1</v>
      </c>
      <c r="C7" s="18">
        <v>21</v>
      </c>
      <c r="D7" s="18">
        <v>388800</v>
      </c>
      <c r="F7" s="11" t="s">
        <v>105</v>
      </c>
      <c r="G7" s="18">
        <v>1</v>
      </c>
      <c r="H7" s="18">
        <v>50</v>
      </c>
      <c r="I7" s="18">
        <v>24860</v>
      </c>
    </row>
    <row r="8" spans="1:9" x14ac:dyDescent="0.3">
      <c r="A8" s="11" t="s">
        <v>180</v>
      </c>
      <c r="B8" s="18">
        <v>1</v>
      </c>
      <c r="C8" s="18">
        <v>19</v>
      </c>
      <c r="D8" s="18">
        <v>-64701</v>
      </c>
      <c r="F8" s="11" t="s">
        <v>108</v>
      </c>
      <c r="G8" s="18">
        <v>1</v>
      </c>
      <c r="H8" s="18">
        <v>50</v>
      </c>
      <c r="I8" s="18">
        <v>28800</v>
      </c>
    </row>
    <row r="9" spans="1:9" x14ac:dyDescent="0.3">
      <c r="A9" s="9" t="s">
        <v>183</v>
      </c>
      <c r="B9" s="18">
        <v>1</v>
      </c>
      <c r="C9" s="18">
        <v>33</v>
      </c>
      <c r="D9" s="18">
        <v>-16145</v>
      </c>
      <c r="F9" s="11" t="s">
        <v>111</v>
      </c>
      <c r="G9" s="18">
        <v>1</v>
      </c>
      <c r="H9" s="18">
        <v>50</v>
      </c>
      <c r="I9" s="18">
        <v>28800</v>
      </c>
    </row>
    <row r="10" spans="1:9" x14ac:dyDescent="0.3">
      <c r="A10" s="11" t="s">
        <v>185</v>
      </c>
      <c r="B10" s="18">
        <v>1</v>
      </c>
      <c r="C10" s="18">
        <v>33</v>
      </c>
      <c r="D10" s="18">
        <v>-16145</v>
      </c>
      <c r="F10" s="11" t="s">
        <v>114</v>
      </c>
      <c r="G10" s="18">
        <v>1</v>
      </c>
      <c r="H10" s="18">
        <v>50</v>
      </c>
      <c r="I10" s="18">
        <v>29300</v>
      </c>
    </row>
    <row r="11" spans="1:9" x14ac:dyDescent="0.3">
      <c r="A11" s="9" t="s">
        <v>187</v>
      </c>
      <c r="B11" s="18">
        <v>2</v>
      </c>
      <c r="C11" s="18">
        <v>64</v>
      </c>
      <c r="D11" s="18">
        <v>67549.98</v>
      </c>
      <c r="F11" s="11" t="s">
        <v>117</v>
      </c>
      <c r="G11" s="18">
        <v>1</v>
      </c>
      <c r="H11" s="18">
        <v>50</v>
      </c>
      <c r="I11" s="18">
        <v>8136.99</v>
      </c>
    </row>
    <row r="12" spans="1:9" x14ac:dyDescent="0.3">
      <c r="A12" s="11" t="s">
        <v>190</v>
      </c>
      <c r="B12" s="18">
        <v>1</v>
      </c>
      <c r="C12" s="18">
        <v>36</v>
      </c>
      <c r="D12" s="18">
        <v>67550</v>
      </c>
      <c r="F12" s="9" t="s">
        <v>295</v>
      </c>
      <c r="G12" s="18">
        <v>1</v>
      </c>
      <c r="H12" s="18">
        <v>51</v>
      </c>
      <c r="I12" s="18">
        <v>70913.070000000007</v>
      </c>
    </row>
    <row r="13" spans="1:9" x14ac:dyDescent="0.3">
      <c r="A13" s="11" t="s">
        <v>193</v>
      </c>
      <c r="B13" s="18">
        <v>1</v>
      </c>
      <c r="C13" s="18">
        <v>28</v>
      </c>
      <c r="D13" s="18">
        <v>-0.02</v>
      </c>
      <c r="F13" s="11" t="s">
        <v>580</v>
      </c>
      <c r="G13" s="18">
        <v>1</v>
      </c>
      <c r="H13" s="18">
        <v>51</v>
      </c>
      <c r="I13" s="18">
        <v>70913.070000000007</v>
      </c>
    </row>
    <row r="14" spans="1:9" x14ac:dyDescent="0.3">
      <c r="A14" s="9" t="s">
        <v>196</v>
      </c>
      <c r="B14" s="18">
        <v>2</v>
      </c>
      <c r="C14" s="18">
        <v>40</v>
      </c>
      <c r="D14" s="18">
        <v>55870</v>
      </c>
      <c r="F14" s="9" t="s">
        <v>383</v>
      </c>
      <c r="G14" s="18">
        <v>1</v>
      </c>
      <c r="H14" s="18">
        <v>50</v>
      </c>
      <c r="I14" s="18">
        <v>76700</v>
      </c>
    </row>
    <row r="15" spans="1:9" x14ac:dyDescent="0.3">
      <c r="A15" s="11" t="s">
        <v>198</v>
      </c>
      <c r="B15" s="18">
        <v>1</v>
      </c>
      <c r="C15" s="18">
        <v>21</v>
      </c>
      <c r="D15" s="18">
        <v>19830</v>
      </c>
      <c r="F15" s="11" t="s">
        <v>385</v>
      </c>
      <c r="G15" s="18">
        <v>1</v>
      </c>
      <c r="H15" s="18">
        <v>50</v>
      </c>
      <c r="I15" s="18">
        <v>76700</v>
      </c>
    </row>
    <row r="16" spans="1:9" x14ac:dyDescent="0.3">
      <c r="A16" s="11" t="s">
        <v>201</v>
      </c>
      <c r="B16" s="18">
        <v>1</v>
      </c>
      <c r="C16" s="18">
        <v>19</v>
      </c>
      <c r="D16" s="18">
        <v>36040</v>
      </c>
      <c r="F16" s="9" t="s">
        <v>563</v>
      </c>
      <c r="G16" s="18">
        <v>8</v>
      </c>
      <c r="H16" s="18">
        <v>401</v>
      </c>
      <c r="I16" s="18">
        <v>292370.06</v>
      </c>
    </row>
    <row r="17" spans="1:4" x14ac:dyDescent="0.3">
      <c r="A17" s="9" t="s">
        <v>295</v>
      </c>
      <c r="B17" s="18">
        <v>3</v>
      </c>
      <c r="C17" s="18">
        <v>65</v>
      </c>
      <c r="D17" s="18">
        <v>102406</v>
      </c>
    </row>
    <row r="18" spans="1:4" x14ac:dyDescent="0.3">
      <c r="A18" s="11" t="s">
        <v>300</v>
      </c>
      <c r="B18" s="18">
        <v>1</v>
      </c>
      <c r="C18" s="18">
        <v>40</v>
      </c>
      <c r="D18" s="18">
        <v>175000</v>
      </c>
    </row>
    <row r="19" spans="1:4" x14ac:dyDescent="0.3">
      <c r="A19" s="11" t="s">
        <v>306</v>
      </c>
      <c r="B19" s="18">
        <v>1</v>
      </c>
      <c r="C19" s="18">
        <v>5</v>
      </c>
      <c r="D19" s="18">
        <v>-36370</v>
      </c>
    </row>
    <row r="20" spans="1:4" x14ac:dyDescent="0.3">
      <c r="A20" s="11" t="s">
        <v>303</v>
      </c>
      <c r="B20" s="18">
        <v>1</v>
      </c>
      <c r="C20" s="18">
        <v>20</v>
      </c>
      <c r="D20" s="18">
        <v>-36224</v>
      </c>
    </row>
    <row r="21" spans="1:4" x14ac:dyDescent="0.3">
      <c r="A21" s="9" t="s">
        <v>308</v>
      </c>
      <c r="B21" s="18">
        <v>2</v>
      </c>
      <c r="C21" s="18">
        <v>28</v>
      </c>
      <c r="D21" s="18">
        <v>525717</v>
      </c>
    </row>
    <row r="22" spans="1:4" x14ac:dyDescent="0.3">
      <c r="A22" s="11" t="s">
        <v>310</v>
      </c>
      <c r="B22" s="18">
        <v>1</v>
      </c>
      <c r="C22" s="18">
        <v>22</v>
      </c>
      <c r="D22" s="18">
        <v>105300</v>
      </c>
    </row>
    <row r="23" spans="1:4" x14ac:dyDescent="0.3">
      <c r="A23" s="11" t="s">
        <v>313</v>
      </c>
      <c r="B23" s="18">
        <v>1</v>
      </c>
      <c r="C23" s="18">
        <v>6</v>
      </c>
      <c r="D23" s="18">
        <v>420417</v>
      </c>
    </row>
    <row r="24" spans="1:4" x14ac:dyDescent="0.3">
      <c r="A24" s="9" t="s">
        <v>315</v>
      </c>
      <c r="B24" s="18">
        <v>1</v>
      </c>
      <c r="C24" s="18">
        <v>5</v>
      </c>
      <c r="D24" s="18">
        <v>-223726</v>
      </c>
    </row>
    <row r="25" spans="1:4" x14ac:dyDescent="0.3">
      <c r="A25" s="11" t="s">
        <v>317</v>
      </c>
      <c r="B25" s="18">
        <v>1</v>
      </c>
      <c r="C25" s="18">
        <v>5</v>
      </c>
      <c r="D25" s="18">
        <v>-223726</v>
      </c>
    </row>
    <row r="26" spans="1:4" x14ac:dyDescent="0.3">
      <c r="A26" s="9" t="s">
        <v>319</v>
      </c>
      <c r="B26" s="18">
        <v>2</v>
      </c>
      <c r="C26" s="18">
        <v>41</v>
      </c>
      <c r="D26" s="18">
        <v>392340</v>
      </c>
    </row>
    <row r="27" spans="1:4" x14ac:dyDescent="0.3">
      <c r="A27" s="11" t="s">
        <v>324</v>
      </c>
      <c r="B27" s="18">
        <v>1</v>
      </c>
      <c r="C27" s="18">
        <v>19</v>
      </c>
      <c r="D27" s="18">
        <v>396900</v>
      </c>
    </row>
    <row r="28" spans="1:4" x14ac:dyDescent="0.3">
      <c r="A28" s="11" t="s">
        <v>321</v>
      </c>
      <c r="B28" s="18">
        <v>1</v>
      </c>
      <c r="C28" s="18">
        <v>22</v>
      </c>
      <c r="D28" s="18">
        <v>-4560</v>
      </c>
    </row>
    <row r="29" spans="1:4" x14ac:dyDescent="0.3">
      <c r="A29" s="9" t="s">
        <v>376</v>
      </c>
      <c r="B29" s="18">
        <v>2</v>
      </c>
      <c r="C29" s="18">
        <v>24</v>
      </c>
      <c r="D29" s="18">
        <v>-50026</v>
      </c>
    </row>
    <row r="30" spans="1:4" x14ac:dyDescent="0.3">
      <c r="A30" s="11" t="s">
        <v>378</v>
      </c>
      <c r="B30" s="18">
        <v>2</v>
      </c>
      <c r="C30" s="18">
        <v>24</v>
      </c>
      <c r="D30" s="18">
        <v>-50026</v>
      </c>
    </row>
    <row r="31" spans="1:4" x14ac:dyDescent="0.3">
      <c r="A31" s="9" t="s">
        <v>383</v>
      </c>
      <c r="B31" s="18">
        <v>4</v>
      </c>
      <c r="C31" s="18">
        <v>119</v>
      </c>
      <c r="D31" s="18">
        <v>189800</v>
      </c>
    </row>
    <row r="32" spans="1:4" x14ac:dyDescent="0.3">
      <c r="A32" s="11" t="s">
        <v>388</v>
      </c>
      <c r="B32" s="18">
        <v>1</v>
      </c>
      <c r="C32" s="18">
        <v>36</v>
      </c>
      <c r="D32" s="18">
        <v>36400</v>
      </c>
    </row>
    <row r="33" spans="1:4" x14ac:dyDescent="0.3">
      <c r="A33" s="11" t="s">
        <v>391</v>
      </c>
      <c r="B33" s="18">
        <v>1</v>
      </c>
      <c r="C33" s="18">
        <v>36</v>
      </c>
      <c r="D33" s="18">
        <v>80600</v>
      </c>
    </row>
    <row r="34" spans="1:4" x14ac:dyDescent="0.3">
      <c r="A34" s="11" t="s">
        <v>394</v>
      </c>
      <c r="B34" s="18">
        <v>1</v>
      </c>
      <c r="C34" s="18">
        <v>26</v>
      </c>
      <c r="D34" s="18">
        <v>36400</v>
      </c>
    </row>
    <row r="35" spans="1:4" x14ac:dyDescent="0.3">
      <c r="A35" s="11" t="s">
        <v>397</v>
      </c>
      <c r="B35" s="18">
        <v>1</v>
      </c>
      <c r="C35" s="18">
        <v>21</v>
      </c>
      <c r="D35" s="18">
        <v>36400</v>
      </c>
    </row>
    <row r="36" spans="1:4" x14ac:dyDescent="0.3">
      <c r="A36" s="9" t="s">
        <v>449</v>
      </c>
      <c r="B36" s="18">
        <v>1</v>
      </c>
      <c r="C36" s="18">
        <v>26</v>
      </c>
      <c r="D36" s="18">
        <v>-7645</v>
      </c>
    </row>
    <row r="37" spans="1:4" x14ac:dyDescent="0.3">
      <c r="A37" s="11" t="s">
        <v>321</v>
      </c>
      <c r="B37" s="18">
        <v>1</v>
      </c>
      <c r="C37" s="18">
        <v>26</v>
      </c>
      <c r="D37" s="18">
        <v>-7645</v>
      </c>
    </row>
    <row r="38" spans="1:4" x14ac:dyDescent="0.3">
      <c r="A38" s="9" t="s">
        <v>457</v>
      </c>
      <c r="B38" s="18">
        <v>3</v>
      </c>
      <c r="C38" s="18">
        <v>56</v>
      </c>
      <c r="D38" s="18">
        <v>362877</v>
      </c>
    </row>
    <row r="39" spans="1:4" x14ac:dyDescent="0.3">
      <c r="A39" s="11" t="s">
        <v>465</v>
      </c>
      <c r="B39" s="18">
        <v>1</v>
      </c>
      <c r="C39" s="18">
        <v>18</v>
      </c>
      <c r="D39" s="18">
        <v>77257</v>
      </c>
    </row>
    <row r="40" spans="1:4" x14ac:dyDescent="0.3">
      <c r="A40" s="11" t="s">
        <v>459</v>
      </c>
      <c r="B40" s="18">
        <v>1</v>
      </c>
      <c r="C40" s="18">
        <v>19</v>
      </c>
      <c r="D40" s="18">
        <v>123265</v>
      </c>
    </row>
    <row r="41" spans="1:4" x14ac:dyDescent="0.3">
      <c r="A41" s="11" t="s">
        <v>462</v>
      </c>
      <c r="B41" s="18">
        <v>1</v>
      </c>
      <c r="C41" s="18">
        <v>19</v>
      </c>
      <c r="D41" s="18">
        <v>162355</v>
      </c>
    </row>
    <row r="42" spans="1:4" x14ac:dyDescent="0.3">
      <c r="A42" s="9" t="s">
        <v>477</v>
      </c>
      <c r="B42" s="18">
        <v>1</v>
      </c>
      <c r="C42" s="18">
        <v>21</v>
      </c>
      <c r="D42" s="18">
        <v>116670</v>
      </c>
    </row>
    <row r="43" spans="1:4" x14ac:dyDescent="0.3">
      <c r="A43" s="11" t="s">
        <v>479</v>
      </c>
      <c r="B43" s="18">
        <v>1</v>
      </c>
      <c r="C43" s="18">
        <v>21</v>
      </c>
      <c r="D43" s="18">
        <v>116670</v>
      </c>
    </row>
    <row r="44" spans="1:4" x14ac:dyDescent="0.3">
      <c r="A44" s="9" t="s">
        <v>481</v>
      </c>
      <c r="B44" s="18">
        <v>2</v>
      </c>
      <c r="C44" s="18">
        <v>29</v>
      </c>
      <c r="D44" s="18">
        <v>33110</v>
      </c>
    </row>
    <row r="45" spans="1:4" x14ac:dyDescent="0.3">
      <c r="A45" s="11" t="s">
        <v>486</v>
      </c>
      <c r="B45" s="18">
        <v>1</v>
      </c>
      <c r="C45" s="18">
        <v>10</v>
      </c>
      <c r="D45" s="18">
        <v>-23675</v>
      </c>
    </row>
    <row r="46" spans="1:4" x14ac:dyDescent="0.3">
      <c r="A46" s="11" t="s">
        <v>483</v>
      </c>
      <c r="B46" s="18">
        <v>1</v>
      </c>
      <c r="C46" s="18">
        <v>19</v>
      </c>
      <c r="D46" s="18">
        <v>56785</v>
      </c>
    </row>
    <row r="47" spans="1:4" x14ac:dyDescent="0.3">
      <c r="A47" s="9" t="s">
        <v>499</v>
      </c>
      <c r="B47" s="18">
        <v>7</v>
      </c>
      <c r="C47" s="18">
        <v>162</v>
      </c>
      <c r="D47" s="18">
        <v>582190</v>
      </c>
    </row>
    <row r="48" spans="1:4" x14ac:dyDescent="0.3">
      <c r="A48" s="11" t="s">
        <v>502</v>
      </c>
      <c r="B48" s="18">
        <v>1</v>
      </c>
      <c r="C48" s="18">
        <v>40</v>
      </c>
      <c r="D48" s="18">
        <v>180000</v>
      </c>
    </row>
    <row r="49" spans="1:4" x14ac:dyDescent="0.3">
      <c r="A49" s="11" t="s">
        <v>505</v>
      </c>
      <c r="B49" s="18">
        <v>1</v>
      </c>
      <c r="C49" s="18">
        <v>23</v>
      </c>
      <c r="D49" s="18">
        <v>35520</v>
      </c>
    </row>
    <row r="50" spans="1:4" x14ac:dyDescent="0.3">
      <c r="A50" s="11" t="s">
        <v>508</v>
      </c>
      <c r="B50" s="18">
        <v>1</v>
      </c>
      <c r="C50" s="18">
        <v>23</v>
      </c>
      <c r="D50" s="18">
        <v>41760</v>
      </c>
    </row>
    <row r="51" spans="1:4" x14ac:dyDescent="0.3">
      <c r="A51" s="11" t="s">
        <v>511</v>
      </c>
      <c r="B51" s="18">
        <v>1</v>
      </c>
      <c r="C51" s="18">
        <v>19</v>
      </c>
      <c r="D51" s="18">
        <v>53360</v>
      </c>
    </row>
    <row r="52" spans="1:4" x14ac:dyDescent="0.3">
      <c r="A52" s="11" t="s">
        <v>514</v>
      </c>
      <c r="B52" s="18">
        <v>1</v>
      </c>
      <c r="C52" s="18">
        <v>19</v>
      </c>
      <c r="D52" s="18">
        <v>163070</v>
      </c>
    </row>
    <row r="53" spans="1:4" x14ac:dyDescent="0.3">
      <c r="A53" s="11" t="s">
        <v>517</v>
      </c>
      <c r="B53" s="18">
        <v>1</v>
      </c>
      <c r="C53" s="18">
        <v>19</v>
      </c>
      <c r="D53" s="18">
        <v>52800</v>
      </c>
    </row>
    <row r="54" spans="1:4" x14ac:dyDescent="0.3">
      <c r="A54" s="11" t="s">
        <v>520</v>
      </c>
      <c r="B54" s="18">
        <v>1</v>
      </c>
      <c r="C54" s="18">
        <v>19</v>
      </c>
      <c r="D54" s="18">
        <v>55680</v>
      </c>
    </row>
    <row r="55" spans="1:4" x14ac:dyDescent="0.3">
      <c r="A55" s="9" t="s">
        <v>522</v>
      </c>
      <c r="B55" s="18">
        <v>1</v>
      </c>
      <c r="C55" s="18">
        <v>18</v>
      </c>
      <c r="D55" s="18">
        <v>-6675</v>
      </c>
    </row>
    <row r="56" spans="1:4" x14ac:dyDescent="0.3">
      <c r="A56" s="11" t="s">
        <v>524</v>
      </c>
      <c r="B56" s="18">
        <v>1</v>
      </c>
      <c r="C56" s="18">
        <v>18</v>
      </c>
      <c r="D56" s="18">
        <v>-6675</v>
      </c>
    </row>
    <row r="57" spans="1:4" x14ac:dyDescent="0.3">
      <c r="A57" s="9" t="s">
        <v>526</v>
      </c>
      <c r="B57" s="18">
        <v>1</v>
      </c>
      <c r="C57" s="18">
        <v>12</v>
      </c>
      <c r="D57" s="18">
        <v>-13316.5</v>
      </c>
    </row>
    <row r="58" spans="1:4" x14ac:dyDescent="0.3">
      <c r="A58" s="11" t="s">
        <v>528</v>
      </c>
      <c r="B58" s="18">
        <v>1</v>
      </c>
      <c r="C58" s="18">
        <v>12</v>
      </c>
      <c r="D58" s="18">
        <v>-13316.5</v>
      </c>
    </row>
    <row r="59" spans="1:4" x14ac:dyDescent="0.3">
      <c r="A59" s="9" t="s">
        <v>530</v>
      </c>
      <c r="B59" s="18">
        <v>1</v>
      </c>
      <c r="C59" s="18">
        <v>18</v>
      </c>
      <c r="D59" s="18">
        <v>-74009</v>
      </c>
    </row>
    <row r="60" spans="1:4" x14ac:dyDescent="0.3">
      <c r="A60" s="11" t="s">
        <v>532</v>
      </c>
      <c r="B60" s="18">
        <v>1</v>
      </c>
      <c r="C60" s="18">
        <v>18</v>
      </c>
      <c r="D60" s="18">
        <v>-74009</v>
      </c>
    </row>
    <row r="61" spans="1:4" x14ac:dyDescent="0.3">
      <c r="A61" s="9" t="s">
        <v>534</v>
      </c>
      <c r="B61" s="18">
        <v>1</v>
      </c>
      <c r="C61" s="18">
        <v>24</v>
      </c>
      <c r="D61" s="18">
        <v>30250</v>
      </c>
    </row>
    <row r="62" spans="1:4" x14ac:dyDescent="0.3">
      <c r="A62" s="11" t="s">
        <v>536</v>
      </c>
      <c r="B62" s="18">
        <v>1</v>
      </c>
      <c r="C62" s="18">
        <v>24</v>
      </c>
      <c r="D62" s="18">
        <v>30250</v>
      </c>
    </row>
    <row r="63" spans="1:4" x14ac:dyDescent="0.3">
      <c r="A63" s="9" t="s">
        <v>538</v>
      </c>
      <c r="B63" s="18">
        <v>3</v>
      </c>
      <c r="C63" s="18">
        <v>98</v>
      </c>
      <c r="D63" s="18">
        <v>195404</v>
      </c>
    </row>
    <row r="64" spans="1:4" x14ac:dyDescent="0.3">
      <c r="A64" s="11" t="s">
        <v>540</v>
      </c>
      <c r="B64" s="18">
        <v>1</v>
      </c>
      <c r="C64" s="18">
        <v>36</v>
      </c>
      <c r="D64" s="18">
        <v>94500</v>
      </c>
    </row>
    <row r="65" spans="1:4" x14ac:dyDescent="0.3">
      <c r="A65" s="11" t="s">
        <v>546</v>
      </c>
      <c r="B65" s="18">
        <v>1</v>
      </c>
      <c r="C65" s="18">
        <v>26</v>
      </c>
      <c r="D65" s="18">
        <v>95904</v>
      </c>
    </row>
    <row r="66" spans="1:4" x14ac:dyDescent="0.3">
      <c r="A66" s="11" t="s">
        <v>543</v>
      </c>
      <c r="B66" s="18">
        <v>1</v>
      </c>
      <c r="C66" s="18">
        <v>36</v>
      </c>
      <c r="D66" s="18">
        <v>5000</v>
      </c>
    </row>
    <row r="67" spans="1:4" x14ac:dyDescent="0.3">
      <c r="A67" s="9" t="s">
        <v>548</v>
      </c>
      <c r="B67" s="18">
        <v>1</v>
      </c>
      <c r="C67" s="18">
        <v>6</v>
      </c>
      <c r="D67" s="18">
        <v>-32801</v>
      </c>
    </row>
    <row r="68" spans="1:4" x14ac:dyDescent="0.3">
      <c r="A68" s="11" t="s">
        <v>550</v>
      </c>
      <c r="B68" s="18">
        <v>1</v>
      </c>
      <c r="C68" s="18">
        <v>6</v>
      </c>
      <c r="D68" s="18">
        <v>-32801</v>
      </c>
    </row>
    <row r="69" spans="1:4" x14ac:dyDescent="0.3">
      <c r="A69" s="9" t="s">
        <v>552</v>
      </c>
      <c r="B69" s="18">
        <v>1</v>
      </c>
      <c r="C69" s="18">
        <v>6</v>
      </c>
      <c r="D69" s="18">
        <v>-52139</v>
      </c>
    </row>
    <row r="70" spans="1:4" x14ac:dyDescent="0.3">
      <c r="A70" s="11" t="s">
        <v>550</v>
      </c>
      <c r="B70" s="18">
        <v>1</v>
      </c>
      <c r="C70" s="18">
        <v>6</v>
      </c>
      <c r="D70" s="18">
        <v>-52139</v>
      </c>
    </row>
    <row r="71" spans="1:4" x14ac:dyDescent="0.3">
      <c r="A71" s="9" t="s">
        <v>563</v>
      </c>
      <c r="B71" s="18">
        <v>45</v>
      </c>
      <c r="C71" s="18">
        <v>956</v>
      </c>
      <c r="D71" s="18">
        <v>2825656.48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67"/>
  <sheetViews>
    <sheetView topLeftCell="F1" workbookViewId="0">
      <pane ySplit="1" topLeftCell="A54" activePane="bottomLeft" state="frozen"/>
      <selection pane="bottomLeft" activeCell="O54" sqref="O54"/>
    </sheetView>
  </sheetViews>
  <sheetFormatPr baseColWidth="10" defaultColWidth="8.88671875" defaultRowHeight="14.4" outlineLevelRow="1" x14ac:dyDescent="0.3"/>
  <cols>
    <col min="1" max="1" width="11" bestFit="1" customWidth="1"/>
    <col min="2" max="2" width="36" bestFit="1" customWidth="1"/>
    <col min="3" max="3" width="13" bestFit="1" customWidth="1"/>
    <col min="4" max="4" width="17" bestFit="1" customWidth="1"/>
    <col min="5" max="6" width="19" customWidth="1"/>
    <col min="7" max="7" width="29" customWidth="1"/>
    <col min="8" max="8" width="14" customWidth="1"/>
    <col min="9" max="9" width="23" customWidth="1"/>
    <col min="10" max="10" width="21" customWidth="1"/>
    <col min="11" max="11" width="25" customWidth="1"/>
    <col min="12" max="12" width="10.33203125" bestFit="1" customWidth="1"/>
    <col min="13" max="13" width="10.21875" customWidth="1"/>
    <col min="14" max="14" width="10.5546875" customWidth="1"/>
    <col min="15" max="15" width="12.77734375" bestFit="1" customWidth="1"/>
    <col min="16" max="16" width="12.21875" bestFit="1" customWidth="1"/>
    <col min="17" max="17" width="12.33203125" customWidth="1"/>
    <col min="18" max="18" width="12.6640625" bestFit="1" customWidth="1"/>
  </cols>
  <sheetData>
    <row r="1" spans="1:18" ht="52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555</v>
      </c>
      <c r="L1" s="19" t="s">
        <v>567</v>
      </c>
      <c r="M1" s="20" t="s">
        <v>568</v>
      </c>
      <c r="N1" s="19" t="s">
        <v>569</v>
      </c>
      <c r="O1" s="12" t="s">
        <v>570</v>
      </c>
      <c r="P1" s="12" t="s">
        <v>571</v>
      </c>
      <c r="Q1" s="13" t="s">
        <v>572</v>
      </c>
      <c r="R1" s="14" t="s">
        <v>573</v>
      </c>
    </row>
    <row r="2" spans="1:18" hidden="1" outlineLevel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45980</v>
      </c>
      <c r="G2" s="4">
        <v>170</v>
      </c>
      <c r="H2" s="3">
        <v>45987</v>
      </c>
      <c r="I2" s="5">
        <v>42.48</v>
      </c>
      <c r="J2" s="2" t="s">
        <v>15</v>
      </c>
      <c r="K2" s="2" t="s">
        <v>556</v>
      </c>
      <c r="O2" s="15">
        <f>H2</f>
        <v>45987</v>
      </c>
      <c r="P2" s="16">
        <f>I2/3.435</f>
        <v>12.366812227074234</v>
      </c>
    </row>
    <row r="3" spans="1:18" hidden="1" outlineLevel="1" x14ac:dyDescent="0.3">
      <c r="A3" s="2" t="s">
        <v>10</v>
      </c>
      <c r="B3" s="2" t="s">
        <v>16</v>
      </c>
      <c r="C3" s="2" t="s">
        <v>17</v>
      </c>
      <c r="D3" s="2" t="s">
        <v>18</v>
      </c>
      <c r="E3" s="2" t="s">
        <v>14</v>
      </c>
      <c r="F3" s="3">
        <v>45980</v>
      </c>
      <c r="G3" s="4">
        <v>170</v>
      </c>
      <c r="H3" s="3">
        <v>45987</v>
      </c>
      <c r="I3" s="5">
        <v>14.16</v>
      </c>
      <c r="J3" s="2" t="s">
        <v>15</v>
      </c>
      <c r="K3" s="2" t="s">
        <v>556</v>
      </c>
      <c r="O3" s="15">
        <f t="shared" ref="O3:O28" si="0">H3</f>
        <v>45987</v>
      </c>
      <c r="P3" s="16">
        <f t="shared" ref="P3:P28" si="1">I3/3.435</f>
        <v>4.1222707423580784</v>
      </c>
    </row>
    <row r="4" spans="1:18" hidden="1" outlineLevel="1" x14ac:dyDescent="0.3">
      <c r="A4" s="2" t="s">
        <v>10</v>
      </c>
      <c r="B4" s="2" t="s">
        <v>19</v>
      </c>
      <c r="C4" s="2" t="s">
        <v>20</v>
      </c>
      <c r="D4" s="2" t="s">
        <v>21</v>
      </c>
      <c r="E4" s="2" t="s">
        <v>14</v>
      </c>
      <c r="F4" s="3">
        <v>45980</v>
      </c>
      <c r="G4" s="4">
        <v>170</v>
      </c>
      <c r="H4" s="3">
        <v>45987</v>
      </c>
      <c r="I4" s="5">
        <v>14.16</v>
      </c>
      <c r="J4" s="2" t="s">
        <v>15</v>
      </c>
      <c r="K4" s="2" t="s">
        <v>556</v>
      </c>
      <c r="O4" s="15">
        <f t="shared" si="0"/>
        <v>45987</v>
      </c>
      <c r="P4" s="16">
        <f t="shared" si="1"/>
        <v>4.1222707423580784</v>
      </c>
    </row>
    <row r="5" spans="1:18" hidden="1" outlineLevel="1" x14ac:dyDescent="0.3">
      <c r="A5" s="2" t="s">
        <v>10</v>
      </c>
      <c r="B5" s="2" t="s">
        <v>22</v>
      </c>
      <c r="C5" s="2" t="s">
        <v>23</v>
      </c>
      <c r="D5" s="2" t="s">
        <v>24</v>
      </c>
      <c r="E5" s="2" t="s">
        <v>14</v>
      </c>
      <c r="F5" s="3">
        <v>45981</v>
      </c>
      <c r="G5" s="4">
        <v>169</v>
      </c>
      <c r="H5" s="3">
        <v>45988</v>
      </c>
      <c r="I5" s="5">
        <v>28.32</v>
      </c>
      <c r="J5" s="2" t="s">
        <v>15</v>
      </c>
      <c r="K5" s="2" t="s">
        <v>556</v>
      </c>
      <c r="O5" s="15">
        <f t="shared" si="0"/>
        <v>45988</v>
      </c>
      <c r="P5" s="16">
        <f t="shared" si="1"/>
        <v>8.2445414847161569</v>
      </c>
    </row>
    <row r="6" spans="1:18" hidden="1" outlineLevel="1" x14ac:dyDescent="0.3">
      <c r="A6" s="2" t="s">
        <v>10</v>
      </c>
      <c r="B6" s="2" t="s">
        <v>25</v>
      </c>
      <c r="C6" s="2" t="s">
        <v>26</v>
      </c>
      <c r="D6" s="2" t="s">
        <v>27</v>
      </c>
      <c r="E6" s="2" t="s">
        <v>14</v>
      </c>
      <c r="F6" s="3">
        <v>45981</v>
      </c>
      <c r="G6" s="4">
        <v>169</v>
      </c>
      <c r="H6" s="3">
        <v>45988</v>
      </c>
      <c r="I6" s="5">
        <v>14.16</v>
      </c>
      <c r="J6" s="2" t="s">
        <v>15</v>
      </c>
      <c r="K6" s="2" t="s">
        <v>556</v>
      </c>
      <c r="O6" s="15">
        <f t="shared" si="0"/>
        <v>45988</v>
      </c>
      <c r="P6" s="16">
        <f t="shared" si="1"/>
        <v>4.1222707423580784</v>
      </c>
    </row>
    <row r="7" spans="1:18" hidden="1" outlineLevel="1" x14ac:dyDescent="0.3">
      <c r="A7" s="2" t="s">
        <v>10</v>
      </c>
      <c r="B7" s="2" t="s">
        <v>28</v>
      </c>
      <c r="C7" s="2" t="s">
        <v>29</v>
      </c>
      <c r="D7" s="2" t="s">
        <v>30</v>
      </c>
      <c r="E7" s="2" t="s">
        <v>14</v>
      </c>
      <c r="F7" s="3">
        <v>45982</v>
      </c>
      <c r="G7" s="4">
        <v>168</v>
      </c>
      <c r="H7" s="3">
        <v>45989</v>
      </c>
      <c r="I7" s="5">
        <v>28.32</v>
      </c>
      <c r="J7" s="2" t="s">
        <v>15</v>
      </c>
      <c r="K7" s="2" t="s">
        <v>556</v>
      </c>
      <c r="O7" s="15">
        <f t="shared" si="0"/>
        <v>45989</v>
      </c>
      <c r="P7" s="16">
        <f t="shared" si="1"/>
        <v>8.2445414847161569</v>
      </c>
    </row>
    <row r="8" spans="1:18" hidden="1" outlineLevel="1" x14ac:dyDescent="0.3">
      <c r="A8" s="2" t="s">
        <v>10</v>
      </c>
      <c r="B8" s="2" t="s">
        <v>31</v>
      </c>
      <c r="C8" s="2" t="s">
        <v>32</v>
      </c>
      <c r="D8" s="2" t="s">
        <v>33</v>
      </c>
      <c r="E8" s="2" t="s">
        <v>14</v>
      </c>
      <c r="F8" s="3">
        <v>45982</v>
      </c>
      <c r="G8" s="4">
        <v>168</v>
      </c>
      <c r="H8" s="3">
        <v>45989</v>
      </c>
      <c r="I8" s="5">
        <v>42.48</v>
      </c>
      <c r="J8" s="2" t="s">
        <v>15</v>
      </c>
      <c r="K8" s="2" t="s">
        <v>556</v>
      </c>
      <c r="O8" s="15">
        <f t="shared" si="0"/>
        <v>45989</v>
      </c>
      <c r="P8" s="16">
        <f t="shared" si="1"/>
        <v>12.366812227074234</v>
      </c>
    </row>
    <row r="9" spans="1:18" hidden="1" outlineLevel="1" x14ac:dyDescent="0.3">
      <c r="A9" s="2" t="s">
        <v>10</v>
      </c>
      <c r="B9" s="2" t="s">
        <v>34</v>
      </c>
      <c r="C9" s="2" t="s">
        <v>35</v>
      </c>
      <c r="D9" s="2" t="s">
        <v>36</v>
      </c>
      <c r="E9" s="2" t="s">
        <v>14</v>
      </c>
      <c r="F9" s="3">
        <v>45982</v>
      </c>
      <c r="G9" s="4">
        <v>168</v>
      </c>
      <c r="H9" s="3">
        <v>45989</v>
      </c>
      <c r="I9" s="5">
        <v>42.48</v>
      </c>
      <c r="J9" s="2" t="s">
        <v>15</v>
      </c>
      <c r="K9" s="2" t="s">
        <v>556</v>
      </c>
      <c r="O9" s="15">
        <f t="shared" si="0"/>
        <v>45989</v>
      </c>
      <c r="P9" s="16">
        <f t="shared" si="1"/>
        <v>12.366812227074234</v>
      </c>
    </row>
    <row r="10" spans="1:18" hidden="1" outlineLevel="1" x14ac:dyDescent="0.3">
      <c r="A10" s="2" t="s">
        <v>10</v>
      </c>
      <c r="B10" s="2" t="s">
        <v>37</v>
      </c>
      <c r="C10" s="2" t="s">
        <v>38</v>
      </c>
      <c r="D10" s="2" t="s">
        <v>39</v>
      </c>
      <c r="E10" s="2" t="s">
        <v>14</v>
      </c>
      <c r="F10" s="3">
        <v>45982</v>
      </c>
      <c r="G10" s="4">
        <v>168</v>
      </c>
      <c r="H10" s="3">
        <v>45989</v>
      </c>
      <c r="I10" s="5">
        <v>14.16</v>
      </c>
      <c r="J10" s="2" t="s">
        <v>15</v>
      </c>
      <c r="K10" s="2" t="s">
        <v>556</v>
      </c>
      <c r="O10" s="15">
        <f t="shared" si="0"/>
        <v>45989</v>
      </c>
      <c r="P10" s="16">
        <f t="shared" si="1"/>
        <v>4.1222707423580784</v>
      </c>
    </row>
    <row r="11" spans="1:18" hidden="1" outlineLevel="1" x14ac:dyDescent="0.3">
      <c r="A11" s="2" t="s">
        <v>10</v>
      </c>
      <c r="B11" s="2" t="s">
        <v>40</v>
      </c>
      <c r="C11" s="2" t="s">
        <v>41</v>
      </c>
      <c r="D11" s="2" t="s">
        <v>42</v>
      </c>
      <c r="E11" s="2" t="s">
        <v>14</v>
      </c>
      <c r="F11" s="3">
        <v>45983</v>
      </c>
      <c r="G11" s="4">
        <v>167</v>
      </c>
      <c r="H11" s="3">
        <v>45990</v>
      </c>
      <c r="I11" s="5">
        <v>28.32</v>
      </c>
      <c r="J11" s="2" t="s">
        <v>15</v>
      </c>
      <c r="K11" s="2" t="s">
        <v>556</v>
      </c>
      <c r="O11" s="15">
        <f t="shared" si="0"/>
        <v>45990</v>
      </c>
      <c r="P11" s="16">
        <f t="shared" si="1"/>
        <v>8.2445414847161569</v>
      </c>
    </row>
    <row r="12" spans="1:18" hidden="1" outlineLevel="1" x14ac:dyDescent="0.3">
      <c r="A12" s="2" t="s">
        <v>10</v>
      </c>
      <c r="B12" s="2" t="s">
        <v>43</v>
      </c>
      <c r="C12" s="2" t="s">
        <v>44</v>
      </c>
      <c r="D12" s="2" t="s">
        <v>45</v>
      </c>
      <c r="E12" s="2" t="s">
        <v>14</v>
      </c>
      <c r="F12" s="3">
        <v>45988</v>
      </c>
      <c r="G12" s="4">
        <v>162</v>
      </c>
      <c r="H12" s="3">
        <v>45995</v>
      </c>
      <c r="I12" s="5">
        <v>14.16</v>
      </c>
      <c r="J12" s="2" t="s">
        <v>15</v>
      </c>
      <c r="K12" s="2" t="s">
        <v>556</v>
      </c>
      <c r="O12" s="15">
        <f t="shared" si="0"/>
        <v>45995</v>
      </c>
      <c r="P12" s="16">
        <f t="shared" si="1"/>
        <v>4.1222707423580784</v>
      </c>
    </row>
    <row r="13" spans="1:18" hidden="1" outlineLevel="1" x14ac:dyDescent="0.3">
      <c r="A13" s="2" t="s">
        <v>10</v>
      </c>
      <c r="B13" s="2" t="s">
        <v>46</v>
      </c>
      <c r="C13" s="2" t="s">
        <v>47</v>
      </c>
      <c r="D13" s="2" t="s">
        <v>48</v>
      </c>
      <c r="E13" s="2" t="s">
        <v>14</v>
      </c>
      <c r="F13" s="3">
        <v>46028</v>
      </c>
      <c r="G13" s="4">
        <v>122</v>
      </c>
      <c r="H13" s="3">
        <v>46035</v>
      </c>
      <c r="I13" s="5">
        <v>14.16</v>
      </c>
      <c r="J13" s="2" t="s">
        <v>15</v>
      </c>
      <c r="K13" s="2" t="s">
        <v>556</v>
      </c>
      <c r="O13" s="15">
        <f t="shared" si="0"/>
        <v>46035</v>
      </c>
      <c r="P13" s="16">
        <f t="shared" si="1"/>
        <v>4.1222707423580784</v>
      </c>
    </row>
    <row r="14" spans="1:18" hidden="1" outlineLevel="1" x14ac:dyDescent="0.3">
      <c r="A14" s="2" t="s">
        <v>10</v>
      </c>
      <c r="B14" s="2" t="s">
        <v>49</v>
      </c>
      <c r="C14" s="2" t="s">
        <v>50</v>
      </c>
      <c r="D14" s="2" t="s">
        <v>51</v>
      </c>
      <c r="E14" s="2" t="s">
        <v>14</v>
      </c>
      <c r="F14" s="3">
        <v>46030</v>
      </c>
      <c r="G14" s="4">
        <v>120</v>
      </c>
      <c r="H14" s="3">
        <v>46037</v>
      </c>
      <c r="I14" s="5">
        <v>14.16</v>
      </c>
      <c r="J14" s="2" t="s">
        <v>15</v>
      </c>
      <c r="K14" s="2" t="s">
        <v>556</v>
      </c>
      <c r="O14" s="15">
        <f t="shared" si="0"/>
        <v>46037</v>
      </c>
      <c r="P14" s="16">
        <f t="shared" si="1"/>
        <v>4.1222707423580784</v>
      </c>
    </row>
    <row r="15" spans="1:18" hidden="1" outlineLevel="1" x14ac:dyDescent="0.3">
      <c r="A15" s="2" t="s">
        <v>10</v>
      </c>
      <c r="B15" s="2" t="s">
        <v>52</v>
      </c>
      <c r="C15" s="2" t="s">
        <v>53</v>
      </c>
      <c r="D15" s="2" t="s">
        <v>54</v>
      </c>
      <c r="E15" s="2" t="s">
        <v>14</v>
      </c>
      <c r="F15" s="3">
        <v>46032</v>
      </c>
      <c r="G15" s="4">
        <v>118</v>
      </c>
      <c r="H15" s="3">
        <v>46039</v>
      </c>
      <c r="I15" s="5">
        <v>14.16</v>
      </c>
      <c r="J15" s="2" t="s">
        <v>15</v>
      </c>
      <c r="K15" s="2" t="s">
        <v>556</v>
      </c>
      <c r="O15" s="15">
        <f t="shared" si="0"/>
        <v>46039</v>
      </c>
      <c r="P15" s="16">
        <f t="shared" si="1"/>
        <v>4.1222707423580784</v>
      </c>
    </row>
    <row r="16" spans="1:18" hidden="1" outlineLevel="1" x14ac:dyDescent="0.3">
      <c r="A16" s="2" t="s">
        <v>10</v>
      </c>
      <c r="B16" s="2" t="s">
        <v>55</v>
      </c>
      <c r="C16" s="2" t="s">
        <v>56</v>
      </c>
      <c r="D16" s="2" t="s">
        <v>57</v>
      </c>
      <c r="E16" s="2" t="s">
        <v>14</v>
      </c>
      <c r="F16" s="3">
        <v>46038</v>
      </c>
      <c r="G16" s="4">
        <v>112</v>
      </c>
      <c r="H16" s="3">
        <v>46045</v>
      </c>
      <c r="I16" s="5">
        <v>14.16</v>
      </c>
      <c r="J16" s="2" t="s">
        <v>15</v>
      </c>
      <c r="K16" s="2" t="s">
        <v>556</v>
      </c>
      <c r="O16" s="15">
        <f t="shared" si="0"/>
        <v>46045</v>
      </c>
      <c r="P16" s="16">
        <f t="shared" si="1"/>
        <v>4.1222707423580784</v>
      </c>
    </row>
    <row r="17" spans="1:18" hidden="1" outlineLevel="1" x14ac:dyDescent="0.3">
      <c r="A17" s="2" t="s">
        <v>10</v>
      </c>
      <c r="B17" s="2" t="s">
        <v>58</v>
      </c>
      <c r="C17" s="2" t="s">
        <v>59</v>
      </c>
      <c r="D17" s="2" t="s">
        <v>60</v>
      </c>
      <c r="E17" s="2" t="s">
        <v>14</v>
      </c>
      <c r="F17" s="3">
        <v>46038</v>
      </c>
      <c r="G17" s="4">
        <v>112</v>
      </c>
      <c r="H17" s="3">
        <v>46045</v>
      </c>
      <c r="I17" s="5">
        <v>14.16</v>
      </c>
      <c r="J17" s="2" t="s">
        <v>15</v>
      </c>
      <c r="K17" s="2" t="s">
        <v>556</v>
      </c>
      <c r="O17" s="15">
        <f t="shared" si="0"/>
        <v>46045</v>
      </c>
      <c r="P17" s="16">
        <f t="shared" si="1"/>
        <v>4.1222707423580784</v>
      </c>
    </row>
    <row r="18" spans="1:18" hidden="1" outlineLevel="1" x14ac:dyDescent="0.3">
      <c r="A18" s="2" t="s">
        <v>10</v>
      </c>
      <c r="B18" s="2" t="s">
        <v>61</v>
      </c>
      <c r="C18" s="2" t="s">
        <v>62</v>
      </c>
      <c r="D18" s="2" t="s">
        <v>63</v>
      </c>
      <c r="E18" s="2" t="s">
        <v>14</v>
      </c>
      <c r="F18" s="3">
        <v>46041</v>
      </c>
      <c r="G18" s="4">
        <v>109</v>
      </c>
      <c r="H18" s="3">
        <v>46048</v>
      </c>
      <c r="I18" s="5">
        <v>14.16</v>
      </c>
      <c r="J18" s="2" t="s">
        <v>15</v>
      </c>
      <c r="K18" s="2" t="s">
        <v>556</v>
      </c>
      <c r="O18" s="15">
        <f t="shared" si="0"/>
        <v>46048</v>
      </c>
      <c r="P18" s="16">
        <f t="shared" si="1"/>
        <v>4.1222707423580784</v>
      </c>
    </row>
    <row r="19" spans="1:18" hidden="1" outlineLevel="1" x14ac:dyDescent="0.3">
      <c r="A19" s="2" t="s">
        <v>66</v>
      </c>
      <c r="B19" s="2" t="s">
        <v>67</v>
      </c>
      <c r="C19" s="2" t="s">
        <v>68</v>
      </c>
      <c r="D19" s="2" t="s">
        <v>69</v>
      </c>
      <c r="E19" s="2" t="s">
        <v>14</v>
      </c>
      <c r="F19" s="3">
        <v>46098</v>
      </c>
      <c r="G19" s="4">
        <v>52</v>
      </c>
      <c r="H19" s="3">
        <v>46105</v>
      </c>
      <c r="I19" s="5">
        <v>424.8</v>
      </c>
      <c r="J19" s="2" t="s">
        <v>15</v>
      </c>
      <c r="K19" s="2" t="s">
        <v>556</v>
      </c>
      <c r="O19" s="15">
        <f t="shared" si="0"/>
        <v>46105</v>
      </c>
      <c r="P19" s="16">
        <f t="shared" si="1"/>
        <v>123.66812227074236</v>
      </c>
    </row>
    <row r="20" spans="1:18" hidden="1" outlineLevel="1" x14ac:dyDescent="0.3">
      <c r="A20" s="2" t="s">
        <v>66</v>
      </c>
      <c r="B20" s="2" t="s">
        <v>70</v>
      </c>
      <c r="C20" s="2" t="s">
        <v>71</v>
      </c>
      <c r="D20" s="2" t="s">
        <v>72</v>
      </c>
      <c r="E20" s="2" t="s">
        <v>14</v>
      </c>
      <c r="F20" s="3">
        <v>46100</v>
      </c>
      <c r="G20" s="4">
        <v>50</v>
      </c>
      <c r="H20" s="3">
        <v>46107</v>
      </c>
      <c r="I20" s="5">
        <v>283.2</v>
      </c>
      <c r="J20" s="2" t="s">
        <v>15</v>
      </c>
      <c r="K20" s="2" t="s">
        <v>556</v>
      </c>
      <c r="O20" s="15">
        <f t="shared" si="0"/>
        <v>46107</v>
      </c>
      <c r="P20" s="16">
        <f t="shared" si="1"/>
        <v>82.445414847161572</v>
      </c>
    </row>
    <row r="21" spans="1:18" hidden="1" outlineLevel="1" x14ac:dyDescent="0.3">
      <c r="A21" s="2" t="s">
        <v>66</v>
      </c>
      <c r="B21" s="2" t="s">
        <v>73</v>
      </c>
      <c r="C21" s="2" t="s">
        <v>74</v>
      </c>
      <c r="D21" s="2" t="s">
        <v>75</v>
      </c>
      <c r="E21" s="2" t="s">
        <v>14</v>
      </c>
      <c r="F21" s="3">
        <v>46111</v>
      </c>
      <c r="G21" s="4">
        <v>39</v>
      </c>
      <c r="H21" s="3">
        <v>46118</v>
      </c>
      <c r="I21" s="5">
        <v>283.2</v>
      </c>
      <c r="J21" s="2" t="s">
        <v>15</v>
      </c>
      <c r="K21" s="2" t="s">
        <v>556</v>
      </c>
      <c r="O21" s="15">
        <f t="shared" si="0"/>
        <v>46118</v>
      </c>
      <c r="P21" s="16">
        <f t="shared" si="1"/>
        <v>82.445414847161572</v>
      </c>
    </row>
    <row r="22" spans="1:18" hidden="1" outlineLevel="1" x14ac:dyDescent="0.3">
      <c r="A22" s="2" t="s">
        <v>66</v>
      </c>
      <c r="B22" s="2" t="s">
        <v>76</v>
      </c>
      <c r="C22" s="2" t="s">
        <v>77</v>
      </c>
      <c r="D22" s="2" t="s">
        <v>78</v>
      </c>
      <c r="E22" s="2" t="s">
        <v>14</v>
      </c>
      <c r="F22" s="3">
        <v>46121</v>
      </c>
      <c r="G22" s="4">
        <v>29</v>
      </c>
      <c r="H22" s="3">
        <v>46128</v>
      </c>
      <c r="I22" s="5">
        <v>354</v>
      </c>
      <c r="J22" s="2" t="s">
        <v>15</v>
      </c>
      <c r="K22" s="2" t="s">
        <v>556</v>
      </c>
      <c r="O22" s="15">
        <f t="shared" si="0"/>
        <v>46128</v>
      </c>
      <c r="P22" s="16">
        <f t="shared" si="1"/>
        <v>103.05676855895196</v>
      </c>
    </row>
    <row r="23" spans="1:18" hidden="1" outlineLevel="1" x14ac:dyDescent="0.3">
      <c r="A23" s="2" t="s">
        <v>66</v>
      </c>
      <c r="B23" s="2" t="s">
        <v>79</v>
      </c>
      <c r="C23" s="2" t="s">
        <v>80</v>
      </c>
      <c r="D23" s="2" t="s">
        <v>81</v>
      </c>
      <c r="E23" s="2" t="s">
        <v>14</v>
      </c>
      <c r="F23" s="3">
        <v>46122</v>
      </c>
      <c r="G23" s="4">
        <v>28</v>
      </c>
      <c r="H23" s="3">
        <v>46129</v>
      </c>
      <c r="I23" s="5">
        <v>236</v>
      </c>
      <c r="J23" s="2" t="s">
        <v>15</v>
      </c>
      <c r="K23" s="2" t="s">
        <v>556</v>
      </c>
      <c r="O23" s="15">
        <f t="shared" si="0"/>
        <v>46129</v>
      </c>
      <c r="P23" s="16">
        <f t="shared" si="1"/>
        <v>68.704512372634639</v>
      </c>
    </row>
    <row r="24" spans="1:18" ht="13.8" hidden="1" customHeight="1" outlineLevel="1" x14ac:dyDescent="0.3">
      <c r="A24" s="2" t="s">
        <v>66</v>
      </c>
      <c r="B24" s="2" t="s">
        <v>82</v>
      </c>
      <c r="C24" s="2" t="s">
        <v>83</v>
      </c>
      <c r="D24" s="2" t="s">
        <v>84</v>
      </c>
      <c r="E24" s="2" t="s">
        <v>14</v>
      </c>
      <c r="F24" s="3">
        <v>46137</v>
      </c>
      <c r="G24" s="4">
        <v>13</v>
      </c>
      <c r="H24" s="3">
        <v>46144</v>
      </c>
      <c r="I24" s="5">
        <v>354</v>
      </c>
      <c r="J24" s="2" t="s">
        <v>15</v>
      </c>
      <c r="K24" s="2" t="s">
        <v>556</v>
      </c>
      <c r="O24" s="15">
        <f t="shared" si="0"/>
        <v>46144</v>
      </c>
      <c r="P24" s="16">
        <f t="shared" si="1"/>
        <v>103.05676855895196</v>
      </c>
    </row>
    <row r="25" spans="1:18" hidden="1" outlineLevel="1" x14ac:dyDescent="0.3">
      <c r="A25" s="2" t="s">
        <v>85</v>
      </c>
      <c r="B25" s="2" t="s">
        <v>86</v>
      </c>
      <c r="C25" s="2" t="s">
        <v>87</v>
      </c>
      <c r="D25" s="2" t="s">
        <v>88</v>
      </c>
      <c r="E25" s="2" t="s">
        <v>14</v>
      </c>
      <c r="F25" s="3">
        <v>46155</v>
      </c>
      <c r="G25" s="6">
        <v>-5</v>
      </c>
      <c r="H25" s="3">
        <v>46162</v>
      </c>
      <c r="I25" s="5">
        <v>349.23</v>
      </c>
      <c r="J25" s="2" t="s">
        <v>15</v>
      </c>
      <c r="K25" s="2" t="s">
        <v>556</v>
      </c>
      <c r="O25" s="15">
        <f t="shared" si="0"/>
        <v>46162</v>
      </c>
      <c r="P25" s="16">
        <f t="shared" si="1"/>
        <v>101.66812227074236</v>
      </c>
    </row>
    <row r="26" spans="1:18" hidden="1" outlineLevel="1" x14ac:dyDescent="0.3">
      <c r="A26" s="2" t="s">
        <v>85</v>
      </c>
      <c r="B26" s="2" t="s">
        <v>89</v>
      </c>
      <c r="C26" s="2" t="s">
        <v>90</v>
      </c>
      <c r="D26" s="2" t="s">
        <v>91</v>
      </c>
      <c r="E26" s="2" t="s">
        <v>14</v>
      </c>
      <c r="F26" s="3">
        <v>46155</v>
      </c>
      <c r="G26" s="6">
        <v>-5</v>
      </c>
      <c r="H26" s="3">
        <v>46162</v>
      </c>
      <c r="I26" s="5">
        <v>141.6</v>
      </c>
      <c r="J26" s="2" t="s">
        <v>15</v>
      </c>
      <c r="K26" s="2" t="s">
        <v>556</v>
      </c>
      <c r="O26" s="15">
        <f t="shared" si="0"/>
        <v>46162</v>
      </c>
      <c r="P26" s="16">
        <f t="shared" si="1"/>
        <v>41.222707423580786</v>
      </c>
    </row>
    <row r="27" spans="1:18" hidden="1" outlineLevel="1" x14ac:dyDescent="0.3">
      <c r="A27" s="2" t="s">
        <v>85</v>
      </c>
      <c r="B27" s="2" t="s">
        <v>92</v>
      </c>
      <c r="C27" s="2" t="s">
        <v>93</v>
      </c>
      <c r="D27" s="2" t="s">
        <v>94</v>
      </c>
      <c r="E27" s="2" t="s">
        <v>14</v>
      </c>
      <c r="F27" s="3">
        <v>46157</v>
      </c>
      <c r="G27" s="6">
        <v>-7</v>
      </c>
      <c r="H27" s="3">
        <v>46164</v>
      </c>
      <c r="I27" s="5">
        <v>274.56</v>
      </c>
      <c r="J27" s="2" t="s">
        <v>15</v>
      </c>
      <c r="K27" s="2" t="s">
        <v>556</v>
      </c>
      <c r="O27" s="15">
        <f t="shared" si="0"/>
        <v>46164</v>
      </c>
      <c r="P27" s="16">
        <f t="shared" si="1"/>
        <v>79.930131004366814</v>
      </c>
    </row>
    <row r="28" spans="1:18" hidden="1" outlineLevel="1" x14ac:dyDescent="0.3">
      <c r="A28" s="2" t="s">
        <v>85</v>
      </c>
      <c r="B28" s="2" t="s">
        <v>95</v>
      </c>
      <c r="C28" s="2" t="s">
        <v>96</v>
      </c>
      <c r="D28" s="2" t="s">
        <v>97</v>
      </c>
      <c r="E28" s="2" t="s">
        <v>14</v>
      </c>
      <c r="F28" s="3">
        <v>46157</v>
      </c>
      <c r="G28" s="6">
        <v>-7</v>
      </c>
      <c r="H28" s="3">
        <v>46164</v>
      </c>
      <c r="I28" s="5">
        <v>141.6</v>
      </c>
      <c r="J28" s="2" t="s">
        <v>15</v>
      </c>
      <c r="K28" s="2" t="s">
        <v>556</v>
      </c>
      <c r="O28" s="15">
        <f t="shared" si="0"/>
        <v>46164</v>
      </c>
      <c r="P28" s="16">
        <f t="shared" si="1"/>
        <v>41.222707423580786</v>
      </c>
    </row>
    <row r="29" spans="1:18" hidden="1" outlineLevel="1" x14ac:dyDescent="0.3">
      <c r="A29" s="2" t="s">
        <v>98</v>
      </c>
      <c r="B29" s="2" t="s">
        <v>99</v>
      </c>
      <c r="C29" s="2" t="s">
        <v>100</v>
      </c>
      <c r="D29" s="2" t="s">
        <v>101</v>
      </c>
      <c r="E29" s="2" t="s">
        <v>102</v>
      </c>
      <c r="F29" s="3">
        <v>46110</v>
      </c>
      <c r="G29" s="4">
        <v>2</v>
      </c>
      <c r="H29" s="3">
        <v>46155</v>
      </c>
      <c r="I29" s="5">
        <v>24860</v>
      </c>
      <c r="J29" s="2" t="s">
        <v>65</v>
      </c>
      <c r="K29" s="2" t="s">
        <v>560</v>
      </c>
      <c r="L29" s="15">
        <f>F29+45</f>
        <v>46155</v>
      </c>
      <c r="M29" s="17">
        <f ca="1">TODAY()-N29</f>
        <v>5</v>
      </c>
      <c r="N29" s="15">
        <v>46155</v>
      </c>
      <c r="O29" s="15">
        <v>46165</v>
      </c>
      <c r="P29" s="10">
        <f>I29</f>
        <v>24860</v>
      </c>
      <c r="Q29" s="17">
        <f ca="1">TODAY()-F29</f>
        <v>50</v>
      </c>
      <c r="R29" t="s">
        <v>574</v>
      </c>
    </row>
    <row r="30" spans="1:18" hidden="1" outlineLevel="1" x14ac:dyDescent="0.3">
      <c r="A30" s="2" t="s">
        <v>98</v>
      </c>
      <c r="B30" s="2" t="s">
        <v>103</v>
      </c>
      <c r="C30" s="2" t="s">
        <v>104</v>
      </c>
      <c r="D30" s="2" t="s">
        <v>105</v>
      </c>
      <c r="E30" s="2" t="s">
        <v>102</v>
      </c>
      <c r="F30" s="3">
        <v>46110</v>
      </c>
      <c r="G30" s="4">
        <v>2</v>
      </c>
      <c r="H30" s="3">
        <v>46155</v>
      </c>
      <c r="I30" s="5">
        <v>24860</v>
      </c>
      <c r="J30" s="2" t="s">
        <v>65</v>
      </c>
      <c r="K30" s="2" t="s">
        <v>560</v>
      </c>
      <c r="L30" s="15">
        <f t="shared" ref="L30:L34" si="2">F30+45</f>
        <v>46155</v>
      </c>
      <c r="M30" s="17">
        <f t="shared" ref="M30:M34" ca="1" si="3">TODAY()-N30</f>
        <v>5</v>
      </c>
      <c r="N30" s="15">
        <v>46155</v>
      </c>
      <c r="O30" s="15">
        <v>46165</v>
      </c>
      <c r="P30" s="10">
        <f t="shared" ref="P30:P34" si="4">I30</f>
        <v>24860</v>
      </c>
      <c r="Q30" s="17">
        <f t="shared" ref="Q30:Q34" ca="1" si="5">TODAY()-F30</f>
        <v>50</v>
      </c>
      <c r="R30" t="s">
        <v>574</v>
      </c>
    </row>
    <row r="31" spans="1:18" hidden="1" outlineLevel="1" x14ac:dyDescent="0.3">
      <c r="A31" s="2" t="s">
        <v>98</v>
      </c>
      <c r="B31" s="2" t="s">
        <v>106</v>
      </c>
      <c r="C31" s="2" t="s">
        <v>107</v>
      </c>
      <c r="D31" s="2" t="s">
        <v>108</v>
      </c>
      <c r="E31" s="2" t="s">
        <v>102</v>
      </c>
      <c r="F31" s="3">
        <v>46110</v>
      </c>
      <c r="G31" s="4">
        <v>2</v>
      </c>
      <c r="H31" s="3">
        <v>46155</v>
      </c>
      <c r="I31" s="5">
        <v>28800</v>
      </c>
      <c r="J31" s="2" t="s">
        <v>65</v>
      </c>
      <c r="K31" s="2" t="s">
        <v>560</v>
      </c>
      <c r="L31" s="15">
        <f t="shared" si="2"/>
        <v>46155</v>
      </c>
      <c r="M31" s="17">
        <f t="shared" ca="1" si="3"/>
        <v>5</v>
      </c>
      <c r="N31" s="15">
        <v>46155</v>
      </c>
      <c r="O31" s="15">
        <v>46165</v>
      </c>
      <c r="P31" s="10">
        <f t="shared" si="4"/>
        <v>28800</v>
      </c>
      <c r="Q31" s="17">
        <f t="shared" ca="1" si="5"/>
        <v>50</v>
      </c>
      <c r="R31" t="s">
        <v>574</v>
      </c>
    </row>
    <row r="32" spans="1:18" hidden="1" outlineLevel="1" x14ac:dyDescent="0.3">
      <c r="A32" s="2" t="s">
        <v>98</v>
      </c>
      <c r="B32" s="2" t="s">
        <v>109</v>
      </c>
      <c r="C32" s="2" t="s">
        <v>110</v>
      </c>
      <c r="D32" s="2" t="s">
        <v>111</v>
      </c>
      <c r="E32" s="2" t="s">
        <v>102</v>
      </c>
      <c r="F32" s="3">
        <v>46110</v>
      </c>
      <c r="G32" s="4">
        <v>2</v>
      </c>
      <c r="H32" s="3">
        <v>46155</v>
      </c>
      <c r="I32" s="5">
        <v>28800</v>
      </c>
      <c r="J32" s="2" t="s">
        <v>65</v>
      </c>
      <c r="K32" s="2" t="s">
        <v>560</v>
      </c>
      <c r="L32" s="15">
        <f t="shared" si="2"/>
        <v>46155</v>
      </c>
      <c r="M32" s="17">
        <f t="shared" ca="1" si="3"/>
        <v>5</v>
      </c>
      <c r="N32" s="15">
        <v>46155</v>
      </c>
      <c r="O32" s="15">
        <v>46165</v>
      </c>
      <c r="P32" s="10">
        <f t="shared" si="4"/>
        <v>28800</v>
      </c>
      <c r="Q32" s="17">
        <f t="shared" ca="1" si="5"/>
        <v>50</v>
      </c>
      <c r="R32" t="s">
        <v>574</v>
      </c>
    </row>
    <row r="33" spans="1:18" hidden="1" outlineLevel="1" x14ac:dyDescent="0.3">
      <c r="A33" s="2" t="s">
        <v>98</v>
      </c>
      <c r="B33" s="2" t="s">
        <v>112</v>
      </c>
      <c r="C33" s="2" t="s">
        <v>113</v>
      </c>
      <c r="D33" s="2" t="s">
        <v>114</v>
      </c>
      <c r="E33" s="2" t="s">
        <v>102</v>
      </c>
      <c r="F33" s="3">
        <v>46110</v>
      </c>
      <c r="G33" s="4">
        <v>2</v>
      </c>
      <c r="H33" s="3">
        <v>46155</v>
      </c>
      <c r="I33" s="5">
        <v>29300</v>
      </c>
      <c r="J33" s="2" t="s">
        <v>65</v>
      </c>
      <c r="K33" s="2" t="s">
        <v>560</v>
      </c>
      <c r="L33" s="15">
        <f t="shared" si="2"/>
        <v>46155</v>
      </c>
      <c r="M33" s="17">
        <f t="shared" ca="1" si="3"/>
        <v>5</v>
      </c>
      <c r="N33" s="15">
        <v>46155</v>
      </c>
      <c r="O33" s="15">
        <v>46165</v>
      </c>
      <c r="P33" s="10">
        <f t="shared" si="4"/>
        <v>29300</v>
      </c>
      <c r="Q33" s="17">
        <f t="shared" ca="1" si="5"/>
        <v>50</v>
      </c>
      <c r="R33" t="s">
        <v>574</v>
      </c>
    </row>
    <row r="34" spans="1:18" hidden="1" outlineLevel="1" x14ac:dyDescent="0.3">
      <c r="A34" s="2" t="s">
        <v>98</v>
      </c>
      <c r="B34" s="2" t="s">
        <v>115</v>
      </c>
      <c r="C34" s="2" t="s">
        <v>116</v>
      </c>
      <c r="D34" s="2" t="s">
        <v>117</v>
      </c>
      <c r="E34" s="2" t="s">
        <v>118</v>
      </c>
      <c r="F34" s="3">
        <v>46110</v>
      </c>
      <c r="G34" s="4">
        <v>47</v>
      </c>
      <c r="H34" s="3">
        <v>46110</v>
      </c>
      <c r="I34" s="5">
        <v>8136.99</v>
      </c>
      <c r="J34" s="2" t="s">
        <v>65</v>
      </c>
      <c r="K34" s="2" t="s">
        <v>560</v>
      </c>
      <c r="L34" s="15">
        <f t="shared" si="2"/>
        <v>46155</v>
      </c>
      <c r="M34" s="17">
        <f t="shared" ca="1" si="3"/>
        <v>5</v>
      </c>
      <c r="N34" s="15">
        <v>46155</v>
      </c>
      <c r="O34" s="15">
        <v>46165</v>
      </c>
      <c r="P34" s="10">
        <f t="shared" si="4"/>
        <v>8136.99</v>
      </c>
      <c r="Q34" s="17">
        <f t="shared" ca="1" si="5"/>
        <v>50</v>
      </c>
      <c r="R34" t="s">
        <v>574</v>
      </c>
    </row>
    <row r="35" spans="1:18" hidden="1" outlineLevel="1" x14ac:dyDescent="0.3">
      <c r="A35" s="2" t="s">
        <v>119</v>
      </c>
      <c r="B35" s="2" t="s">
        <v>120</v>
      </c>
      <c r="C35" s="2" t="s">
        <v>121</v>
      </c>
      <c r="D35" s="2" t="s">
        <v>122</v>
      </c>
      <c r="E35" s="2" t="s">
        <v>64</v>
      </c>
      <c r="F35" s="3">
        <v>46142</v>
      </c>
      <c r="G35" s="4">
        <v>8</v>
      </c>
      <c r="H35" s="3">
        <v>46149</v>
      </c>
      <c r="I35" s="5">
        <v>488.28</v>
      </c>
      <c r="J35" s="2" t="s">
        <v>15</v>
      </c>
      <c r="K35" s="2" t="s">
        <v>556</v>
      </c>
      <c r="N35" s="15"/>
      <c r="O35" s="15">
        <f t="shared" ref="O35:O56" si="6">H35</f>
        <v>46149</v>
      </c>
      <c r="P35" s="16">
        <f t="shared" ref="P35:P51" si="7">I35/3.435</f>
        <v>142.14847161572052</v>
      </c>
    </row>
    <row r="36" spans="1:18" hidden="1" outlineLevel="1" x14ac:dyDescent="0.3">
      <c r="A36" s="2" t="s">
        <v>119</v>
      </c>
      <c r="B36" s="2" t="s">
        <v>123</v>
      </c>
      <c r="C36" s="2" t="s">
        <v>124</v>
      </c>
      <c r="D36" s="2" t="s">
        <v>125</v>
      </c>
      <c r="E36" s="2" t="s">
        <v>64</v>
      </c>
      <c r="F36" s="3">
        <v>46142</v>
      </c>
      <c r="G36" s="4">
        <v>8</v>
      </c>
      <c r="H36" s="3">
        <v>46149</v>
      </c>
      <c r="I36" s="5">
        <v>47.2</v>
      </c>
      <c r="J36" s="2" t="s">
        <v>15</v>
      </c>
      <c r="K36" s="2" t="s">
        <v>556</v>
      </c>
      <c r="N36" s="15"/>
      <c r="O36" s="15">
        <f t="shared" si="6"/>
        <v>46149</v>
      </c>
      <c r="P36" s="16">
        <f t="shared" si="7"/>
        <v>13.74090247452693</v>
      </c>
    </row>
    <row r="37" spans="1:18" hidden="1" outlineLevel="1" x14ac:dyDescent="0.3">
      <c r="A37" s="2" t="s">
        <v>119</v>
      </c>
      <c r="B37" s="2" t="s">
        <v>126</v>
      </c>
      <c r="C37" s="2" t="s">
        <v>127</v>
      </c>
      <c r="D37" s="2" t="s">
        <v>128</v>
      </c>
      <c r="E37" s="2" t="s">
        <v>64</v>
      </c>
      <c r="F37" s="3">
        <v>46144</v>
      </c>
      <c r="G37" s="4">
        <v>6</v>
      </c>
      <c r="H37" s="3">
        <v>46151</v>
      </c>
      <c r="I37" s="5">
        <v>787.3</v>
      </c>
      <c r="J37" s="2" t="s">
        <v>15</v>
      </c>
      <c r="K37" s="2" t="s">
        <v>556</v>
      </c>
      <c r="N37" s="15"/>
      <c r="O37" s="15">
        <f t="shared" si="6"/>
        <v>46151</v>
      </c>
      <c r="P37" s="16">
        <f t="shared" si="7"/>
        <v>229.19941775836972</v>
      </c>
    </row>
    <row r="38" spans="1:18" hidden="1" outlineLevel="1" x14ac:dyDescent="0.3">
      <c r="A38" s="2" t="s">
        <v>119</v>
      </c>
      <c r="B38" s="2" t="s">
        <v>129</v>
      </c>
      <c r="C38" s="2" t="s">
        <v>130</v>
      </c>
      <c r="D38" s="2" t="s">
        <v>131</v>
      </c>
      <c r="E38" s="2" t="s">
        <v>64</v>
      </c>
      <c r="F38" s="3">
        <v>46144</v>
      </c>
      <c r="G38" s="4">
        <v>6</v>
      </c>
      <c r="H38" s="3">
        <v>46151</v>
      </c>
      <c r="I38" s="5">
        <v>70.8</v>
      </c>
      <c r="J38" s="2" t="s">
        <v>15</v>
      </c>
      <c r="K38" s="2" t="s">
        <v>556</v>
      </c>
      <c r="N38" s="15"/>
      <c r="O38" s="15">
        <f t="shared" si="6"/>
        <v>46151</v>
      </c>
      <c r="P38" s="16">
        <f t="shared" si="7"/>
        <v>20.611353711790393</v>
      </c>
    </row>
    <row r="39" spans="1:18" hidden="1" outlineLevel="1" x14ac:dyDescent="0.3">
      <c r="A39" s="2" t="s">
        <v>119</v>
      </c>
      <c r="B39" s="2" t="s">
        <v>132</v>
      </c>
      <c r="C39" s="2" t="s">
        <v>133</v>
      </c>
      <c r="D39" s="2" t="s">
        <v>134</v>
      </c>
      <c r="E39" s="2" t="s">
        <v>64</v>
      </c>
      <c r="F39" s="3">
        <v>46145</v>
      </c>
      <c r="G39" s="4">
        <v>5</v>
      </c>
      <c r="H39" s="3">
        <v>46152</v>
      </c>
      <c r="I39" s="5">
        <v>1235.7</v>
      </c>
      <c r="J39" s="2" t="s">
        <v>15</v>
      </c>
      <c r="K39" s="2" t="s">
        <v>556</v>
      </c>
      <c r="N39" s="15"/>
      <c r="O39" s="15">
        <f t="shared" si="6"/>
        <v>46152</v>
      </c>
      <c r="P39" s="16">
        <f t="shared" si="7"/>
        <v>359.73799126637556</v>
      </c>
    </row>
    <row r="40" spans="1:18" hidden="1" outlineLevel="1" x14ac:dyDescent="0.3">
      <c r="A40" s="2" t="s">
        <v>119</v>
      </c>
      <c r="B40" s="2" t="s">
        <v>135</v>
      </c>
      <c r="C40" s="2" t="s">
        <v>136</v>
      </c>
      <c r="D40" s="2" t="s">
        <v>137</v>
      </c>
      <c r="E40" s="2" t="s">
        <v>64</v>
      </c>
      <c r="F40" s="3">
        <v>46145</v>
      </c>
      <c r="G40" s="4">
        <v>5</v>
      </c>
      <c r="H40" s="3">
        <v>46152</v>
      </c>
      <c r="I40" s="5">
        <v>118</v>
      </c>
      <c r="J40" s="2" t="s">
        <v>15</v>
      </c>
      <c r="K40" s="2" t="s">
        <v>556</v>
      </c>
      <c r="N40" s="15"/>
      <c r="O40" s="15">
        <f t="shared" si="6"/>
        <v>46152</v>
      </c>
      <c r="P40" s="16">
        <f t="shared" si="7"/>
        <v>34.352256186317319</v>
      </c>
    </row>
    <row r="41" spans="1:18" hidden="1" outlineLevel="1" x14ac:dyDescent="0.3">
      <c r="A41" s="2" t="s">
        <v>119</v>
      </c>
      <c r="B41" s="2" t="s">
        <v>138</v>
      </c>
      <c r="C41" s="2" t="s">
        <v>139</v>
      </c>
      <c r="D41" s="2" t="s">
        <v>140</v>
      </c>
      <c r="E41" s="2" t="s">
        <v>64</v>
      </c>
      <c r="F41" s="3">
        <v>46146</v>
      </c>
      <c r="G41" s="4">
        <v>4</v>
      </c>
      <c r="H41" s="3">
        <v>46153</v>
      </c>
      <c r="I41" s="5">
        <v>258.18</v>
      </c>
      <c r="J41" s="2" t="s">
        <v>15</v>
      </c>
      <c r="K41" s="2" t="s">
        <v>556</v>
      </c>
      <c r="N41" s="15"/>
      <c r="O41" s="15">
        <f t="shared" si="6"/>
        <v>46153</v>
      </c>
      <c r="P41" s="16">
        <f t="shared" si="7"/>
        <v>75.161572052401752</v>
      </c>
    </row>
    <row r="42" spans="1:18" hidden="1" outlineLevel="1" x14ac:dyDescent="0.3">
      <c r="A42" s="2" t="s">
        <v>119</v>
      </c>
      <c r="B42" s="2" t="s">
        <v>141</v>
      </c>
      <c r="C42" s="2" t="s">
        <v>142</v>
      </c>
      <c r="D42" s="2" t="s">
        <v>143</v>
      </c>
      <c r="E42" s="2" t="s">
        <v>64</v>
      </c>
      <c r="F42" s="3">
        <v>46146</v>
      </c>
      <c r="G42" s="4">
        <v>4</v>
      </c>
      <c r="H42" s="3">
        <v>46153</v>
      </c>
      <c r="I42" s="5">
        <v>70.8</v>
      </c>
      <c r="J42" s="2" t="s">
        <v>15</v>
      </c>
      <c r="K42" s="2" t="s">
        <v>556</v>
      </c>
      <c r="N42" s="15"/>
      <c r="O42" s="15">
        <f t="shared" si="6"/>
        <v>46153</v>
      </c>
      <c r="P42" s="16">
        <f t="shared" si="7"/>
        <v>20.611353711790393</v>
      </c>
    </row>
    <row r="43" spans="1:18" hidden="1" outlineLevel="1" x14ac:dyDescent="0.3">
      <c r="A43" s="2" t="s">
        <v>119</v>
      </c>
      <c r="B43" s="2" t="s">
        <v>144</v>
      </c>
      <c r="C43" s="2" t="s">
        <v>145</v>
      </c>
      <c r="D43" s="2" t="s">
        <v>146</v>
      </c>
      <c r="E43" s="2" t="s">
        <v>64</v>
      </c>
      <c r="F43" s="3">
        <v>46147</v>
      </c>
      <c r="G43" s="4">
        <v>10</v>
      </c>
      <c r="H43" s="3">
        <v>46147</v>
      </c>
      <c r="I43" s="5">
        <v>23.6</v>
      </c>
      <c r="J43" s="2" t="s">
        <v>15</v>
      </c>
      <c r="K43" s="2" t="s">
        <v>556</v>
      </c>
      <c r="N43" s="15"/>
      <c r="O43" s="15">
        <f t="shared" si="6"/>
        <v>46147</v>
      </c>
      <c r="P43" s="16">
        <f t="shared" si="7"/>
        <v>6.870451237263465</v>
      </c>
    </row>
    <row r="44" spans="1:18" hidden="1" outlineLevel="1" x14ac:dyDescent="0.3">
      <c r="A44" s="2" t="s">
        <v>119</v>
      </c>
      <c r="B44" s="2" t="s">
        <v>147</v>
      </c>
      <c r="C44" s="2" t="s">
        <v>148</v>
      </c>
      <c r="D44" s="2" t="s">
        <v>149</v>
      </c>
      <c r="E44" s="2" t="s">
        <v>64</v>
      </c>
      <c r="F44" s="3">
        <v>46147</v>
      </c>
      <c r="G44" s="4">
        <v>3</v>
      </c>
      <c r="H44" s="3">
        <v>46154</v>
      </c>
      <c r="I44" s="5">
        <v>70.8</v>
      </c>
      <c r="J44" s="2" t="s">
        <v>15</v>
      </c>
      <c r="K44" s="2" t="s">
        <v>556</v>
      </c>
      <c r="N44" s="15"/>
      <c r="O44" s="15">
        <f t="shared" si="6"/>
        <v>46154</v>
      </c>
      <c r="P44" s="16">
        <f t="shared" si="7"/>
        <v>20.611353711790393</v>
      </c>
    </row>
    <row r="45" spans="1:18" hidden="1" outlineLevel="1" x14ac:dyDescent="0.3">
      <c r="A45" s="2" t="s">
        <v>119</v>
      </c>
      <c r="B45" s="2" t="s">
        <v>150</v>
      </c>
      <c r="C45" s="2" t="s">
        <v>151</v>
      </c>
      <c r="D45" s="2" t="s">
        <v>152</v>
      </c>
      <c r="E45" s="2" t="s">
        <v>64</v>
      </c>
      <c r="F45" s="3">
        <v>46147</v>
      </c>
      <c r="G45" s="4">
        <v>3</v>
      </c>
      <c r="H45" s="3">
        <v>46154</v>
      </c>
      <c r="I45" s="5">
        <v>369.58</v>
      </c>
      <c r="J45" s="2" t="s">
        <v>15</v>
      </c>
      <c r="K45" s="2" t="s">
        <v>556</v>
      </c>
      <c r="N45" s="15"/>
      <c r="O45" s="15">
        <f t="shared" si="6"/>
        <v>46154</v>
      </c>
      <c r="P45" s="16">
        <f t="shared" si="7"/>
        <v>107.5924308588064</v>
      </c>
    </row>
    <row r="46" spans="1:18" hidden="1" outlineLevel="1" x14ac:dyDescent="0.3">
      <c r="A46" s="2" t="s">
        <v>119</v>
      </c>
      <c r="B46" s="2" t="s">
        <v>153</v>
      </c>
      <c r="C46" s="2" t="s">
        <v>154</v>
      </c>
      <c r="D46" s="2" t="s">
        <v>155</v>
      </c>
      <c r="E46" s="2" t="s">
        <v>64</v>
      </c>
      <c r="F46" s="3">
        <v>46148</v>
      </c>
      <c r="G46" s="4">
        <v>2</v>
      </c>
      <c r="H46" s="3">
        <v>46155</v>
      </c>
      <c r="I46" s="5">
        <v>458.55</v>
      </c>
      <c r="J46" s="2" t="s">
        <v>15</v>
      </c>
      <c r="K46" s="2" t="s">
        <v>556</v>
      </c>
      <c r="N46" s="15"/>
      <c r="O46" s="15">
        <f t="shared" si="6"/>
        <v>46155</v>
      </c>
      <c r="P46" s="16">
        <f t="shared" si="7"/>
        <v>133.49344978165939</v>
      </c>
    </row>
    <row r="47" spans="1:18" hidden="1" outlineLevel="1" x14ac:dyDescent="0.3">
      <c r="A47" s="2" t="s">
        <v>119</v>
      </c>
      <c r="B47" s="2" t="s">
        <v>156</v>
      </c>
      <c r="C47" s="2" t="s">
        <v>157</v>
      </c>
      <c r="D47" s="2" t="s">
        <v>158</v>
      </c>
      <c r="E47" s="2" t="s">
        <v>64</v>
      </c>
      <c r="F47" s="3">
        <v>46148</v>
      </c>
      <c r="G47" s="4">
        <v>2</v>
      </c>
      <c r="H47" s="3">
        <v>46155</v>
      </c>
      <c r="I47" s="5">
        <v>70.8</v>
      </c>
      <c r="J47" s="2" t="s">
        <v>15</v>
      </c>
      <c r="K47" s="2" t="s">
        <v>556</v>
      </c>
      <c r="N47" s="15"/>
      <c r="O47" s="15">
        <f t="shared" si="6"/>
        <v>46155</v>
      </c>
      <c r="P47" s="16">
        <f t="shared" si="7"/>
        <v>20.611353711790393</v>
      </c>
    </row>
    <row r="48" spans="1:18" hidden="1" outlineLevel="1" x14ac:dyDescent="0.3">
      <c r="A48" s="2" t="s">
        <v>119</v>
      </c>
      <c r="B48" s="2" t="s">
        <v>159</v>
      </c>
      <c r="C48" s="2" t="s">
        <v>160</v>
      </c>
      <c r="D48" s="2" t="s">
        <v>161</v>
      </c>
      <c r="E48" s="2" t="s">
        <v>64</v>
      </c>
      <c r="F48" s="3">
        <v>46154</v>
      </c>
      <c r="G48" s="6">
        <v>-4</v>
      </c>
      <c r="H48" s="3">
        <v>46161</v>
      </c>
      <c r="I48" s="5">
        <v>384.44</v>
      </c>
      <c r="J48" s="2" t="s">
        <v>15</v>
      </c>
      <c r="K48" s="2" t="s">
        <v>556</v>
      </c>
      <c r="N48" s="15"/>
      <c r="O48" s="15">
        <f t="shared" si="6"/>
        <v>46161</v>
      </c>
      <c r="P48" s="16">
        <f t="shared" si="7"/>
        <v>111.91848617176127</v>
      </c>
    </row>
    <row r="49" spans="1:18" hidden="1" outlineLevel="1" x14ac:dyDescent="0.3">
      <c r="A49" s="2" t="s">
        <v>119</v>
      </c>
      <c r="B49" s="2" t="s">
        <v>162</v>
      </c>
      <c r="C49" s="2" t="s">
        <v>163</v>
      </c>
      <c r="D49" s="2" t="s">
        <v>164</v>
      </c>
      <c r="E49" s="2" t="s">
        <v>64</v>
      </c>
      <c r="F49" s="3">
        <v>46154</v>
      </c>
      <c r="G49" s="6">
        <v>-4</v>
      </c>
      <c r="H49" s="3">
        <v>46161</v>
      </c>
      <c r="I49" s="5">
        <v>47.2</v>
      </c>
      <c r="J49" s="2" t="s">
        <v>15</v>
      </c>
      <c r="K49" s="2" t="s">
        <v>556</v>
      </c>
      <c r="N49" s="15"/>
      <c r="O49" s="15">
        <f t="shared" si="6"/>
        <v>46161</v>
      </c>
      <c r="P49" s="16">
        <f t="shared" si="7"/>
        <v>13.74090247452693</v>
      </c>
    </row>
    <row r="50" spans="1:18" hidden="1" outlineLevel="1" x14ac:dyDescent="0.3">
      <c r="A50" s="2" t="s">
        <v>119</v>
      </c>
      <c r="B50" s="2" t="s">
        <v>165</v>
      </c>
      <c r="C50" s="2" t="s">
        <v>166</v>
      </c>
      <c r="D50" s="2" t="s">
        <v>167</v>
      </c>
      <c r="E50" s="2" t="s">
        <v>64</v>
      </c>
      <c r="F50" s="3">
        <v>46155</v>
      </c>
      <c r="G50" s="6">
        <v>-5</v>
      </c>
      <c r="H50" s="3">
        <v>46162</v>
      </c>
      <c r="I50" s="5">
        <v>1143.8900000000001</v>
      </c>
      <c r="J50" s="2" t="s">
        <v>15</v>
      </c>
      <c r="K50" s="2" t="s">
        <v>556</v>
      </c>
      <c r="N50" s="15"/>
      <c r="O50" s="15">
        <f t="shared" si="6"/>
        <v>46162</v>
      </c>
      <c r="P50" s="16">
        <f t="shared" si="7"/>
        <v>333.01018922852984</v>
      </c>
    </row>
    <row r="51" spans="1:18" hidden="1" outlineLevel="1" x14ac:dyDescent="0.3">
      <c r="A51" s="2" t="s">
        <v>119</v>
      </c>
      <c r="B51" s="2" t="s">
        <v>168</v>
      </c>
      <c r="C51" s="2" t="s">
        <v>169</v>
      </c>
      <c r="D51" s="2" t="s">
        <v>170</v>
      </c>
      <c r="E51" s="2" t="s">
        <v>64</v>
      </c>
      <c r="F51" s="3">
        <v>46155</v>
      </c>
      <c r="G51" s="6">
        <v>-5</v>
      </c>
      <c r="H51" s="3">
        <v>46162</v>
      </c>
      <c r="I51" s="5">
        <v>118</v>
      </c>
      <c r="J51" s="2" t="s">
        <v>15</v>
      </c>
      <c r="K51" s="2" t="s">
        <v>556</v>
      </c>
      <c r="N51" s="15"/>
      <c r="O51" s="15">
        <f t="shared" si="6"/>
        <v>46162</v>
      </c>
      <c r="P51" s="16">
        <f t="shared" si="7"/>
        <v>34.352256186317319</v>
      </c>
    </row>
    <row r="52" spans="1:18" hidden="1" outlineLevel="1" x14ac:dyDescent="0.3">
      <c r="A52" s="2" t="s">
        <v>171</v>
      </c>
      <c r="B52" s="2" t="s">
        <v>172</v>
      </c>
      <c r="C52" s="2" t="s">
        <v>173</v>
      </c>
      <c r="D52" s="2" t="s">
        <v>174</v>
      </c>
      <c r="E52" s="2" t="s">
        <v>102</v>
      </c>
      <c r="F52" s="3">
        <v>46139</v>
      </c>
      <c r="G52" s="6">
        <v>-27</v>
      </c>
      <c r="H52" s="3">
        <v>46184</v>
      </c>
      <c r="I52" s="5">
        <v>323856</v>
      </c>
      <c r="J52" s="2" t="s">
        <v>65</v>
      </c>
      <c r="K52" s="2" t="s">
        <v>560</v>
      </c>
      <c r="L52" s="15">
        <f t="shared" ref="L52:L59" si="8">F52+45</f>
        <v>46184</v>
      </c>
      <c r="M52" s="17">
        <f t="shared" ref="M52:M59" ca="1" si="9">TODAY()-N52</f>
        <v>-24</v>
      </c>
      <c r="N52" s="15">
        <v>46184</v>
      </c>
      <c r="O52" s="15">
        <f t="shared" si="6"/>
        <v>46184</v>
      </c>
      <c r="P52" s="10">
        <f t="shared" ref="P52:P59" si="10">I52</f>
        <v>323856</v>
      </c>
      <c r="Q52" s="17">
        <f t="shared" ref="Q52:Q59" ca="1" si="11">TODAY()-F52</f>
        <v>21</v>
      </c>
      <c r="R52" t="s">
        <v>575</v>
      </c>
    </row>
    <row r="53" spans="1:18" hidden="1" outlineLevel="1" x14ac:dyDescent="0.3">
      <c r="A53" s="2" t="s">
        <v>171</v>
      </c>
      <c r="B53" s="2" t="s">
        <v>175</v>
      </c>
      <c r="C53" s="2" t="s">
        <v>176</v>
      </c>
      <c r="D53" s="2" t="s">
        <v>177</v>
      </c>
      <c r="E53" s="2" t="s">
        <v>102</v>
      </c>
      <c r="F53" s="3">
        <v>46139</v>
      </c>
      <c r="G53" s="6">
        <v>-27</v>
      </c>
      <c r="H53" s="3">
        <v>46184</v>
      </c>
      <c r="I53" s="5">
        <v>388800</v>
      </c>
      <c r="J53" s="2" t="s">
        <v>65</v>
      </c>
      <c r="K53" s="2" t="s">
        <v>560</v>
      </c>
      <c r="L53" s="15">
        <f t="shared" si="8"/>
        <v>46184</v>
      </c>
      <c r="M53" s="17">
        <f t="shared" ca="1" si="9"/>
        <v>-24</v>
      </c>
      <c r="N53" s="15">
        <v>46184</v>
      </c>
      <c r="O53" s="15">
        <f t="shared" si="6"/>
        <v>46184</v>
      </c>
      <c r="P53" s="10">
        <f t="shared" si="10"/>
        <v>388800</v>
      </c>
      <c r="Q53" s="17">
        <f t="shared" ca="1" si="11"/>
        <v>21</v>
      </c>
      <c r="R53" t="s">
        <v>575</v>
      </c>
    </row>
    <row r="54" spans="1:18" outlineLevel="1" x14ac:dyDescent="0.3">
      <c r="A54" s="2" t="s">
        <v>171</v>
      </c>
      <c r="B54" s="2" t="s">
        <v>178</v>
      </c>
      <c r="C54" s="2" t="s">
        <v>179</v>
      </c>
      <c r="D54" s="2" t="s">
        <v>180</v>
      </c>
      <c r="E54" s="2" t="s">
        <v>181</v>
      </c>
      <c r="F54" s="3">
        <v>46141</v>
      </c>
      <c r="G54" s="4">
        <v>0</v>
      </c>
      <c r="H54" s="3">
        <v>46142</v>
      </c>
      <c r="I54" s="7">
        <v>-64701</v>
      </c>
      <c r="J54" s="2" t="s">
        <v>65</v>
      </c>
      <c r="K54" s="2" t="s">
        <v>560</v>
      </c>
      <c r="L54" s="15">
        <f t="shared" si="8"/>
        <v>46186</v>
      </c>
      <c r="M54" s="17">
        <f t="shared" ca="1" si="9"/>
        <v>18</v>
      </c>
      <c r="N54" s="15">
        <v>46142</v>
      </c>
      <c r="O54" s="15">
        <f t="shared" ref="O54:O55" si="12">F54</f>
        <v>46141</v>
      </c>
      <c r="P54" s="10">
        <f t="shared" si="10"/>
        <v>-64701</v>
      </c>
      <c r="Q54" s="17">
        <f t="shared" ca="1" si="11"/>
        <v>19</v>
      </c>
      <c r="R54" t="s">
        <v>575</v>
      </c>
    </row>
    <row r="55" spans="1:18" outlineLevel="1" x14ac:dyDescent="0.3">
      <c r="A55" s="2" t="s">
        <v>182</v>
      </c>
      <c r="B55" s="2" t="s">
        <v>183</v>
      </c>
      <c r="C55" s="2" t="s">
        <v>184</v>
      </c>
      <c r="D55" s="2" t="s">
        <v>185</v>
      </c>
      <c r="E55" s="2" t="s">
        <v>181</v>
      </c>
      <c r="F55" s="3">
        <v>46127</v>
      </c>
      <c r="G55" s="4">
        <v>0</v>
      </c>
      <c r="H55" s="3">
        <v>46142</v>
      </c>
      <c r="I55" s="7">
        <v>-16145</v>
      </c>
      <c r="J55" s="2" t="s">
        <v>65</v>
      </c>
      <c r="K55" s="2" t="s">
        <v>560</v>
      </c>
      <c r="L55" s="15">
        <f t="shared" si="8"/>
        <v>46172</v>
      </c>
      <c r="M55" s="17">
        <f t="shared" ca="1" si="9"/>
        <v>33</v>
      </c>
      <c r="N55" s="15">
        <f>F55</f>
        <v>46127</v>
      </c>
      <c r="O55" s="15">
        <f t="shared" si="12"/>
        <v>46127</v>
      </c>
      <c r="P55" s="10">
        <f t="shared" si="10"/>
        <v>-16145</v>
      </c>
      <c r="Q55" s="17">
        <f t="shared" ca="1" si="11"/>
        <v>33</v>
      </c>
      <c r="R55" t="s">
        <v>575</v>
      </c>
    </row>
    <row r="56" spans="1:18" hidden="1" outlineLevel="1" x14ac:dyDescent="0.3">
      <c r="A56" s="2" t="s">
        <v>186</v>
      </c>
      <c r="B56" s="2" t="s">
        <v>188</v>
      </c>
      <c r="C56" s="2" t="s">
        <v>189</v>
      </c>
      <c r="D56" s="2" t="s">
        <v>190</v>
      </c>
      <c r="E56" s="2" t="s">
        <v>102</v>
      </c>
      <c r="F56" s="3">
        <v>46124</v>
      </c>
      <c r="G56" s="6">
        <v>-12</v>
      </c>
      <c r="H56" s="3">
        <v>46169</v>
      </c>
      <c r="I56" s="5">
        <v>67550</v>
      </c>
      <c r="J56" s="2" t="s">
        <v>65</v>
      </c>
      <c r="K56" s="2" t="s">
        <v>560</v>
      </c>
      <c r="L56" s="15">
        <f t="shared" si="8"/>
        <v>46169</v>
      </c>
      <c r="M56" s="17">
        <f t="shared" ca="1" si="9"/>
        <v>-9</v>
      </c>
      <c r="N56" s="15">
        <v>46169</v>
      </c>
      <c r="O56" s="15">
        <f t="shared" si="6"/>
        <v>46169</v>
      </c>
      <c r="P56" s="10">
        <f t="shared" si="10"/>
        <v>67550</v>
      </c>
      <c r="Q56" s="17">
        <f t="shared" ca="1" si="11"/>
        <v>36</v>
      </c>
      <c r="R56" t="s">
        <v>575</v>
      </c>
    </row>
    <row r="57" spans="1:18" outlineLevel="1" x14ac:dyDescent="0.3">
      <c r="A57" s="2" t="s">
        <v>186</v>
      </c>
      <c r="B57" s="2" t="s">
        <v>191</v>
      </c>
      <c r="C57" s="2" t="s">
        <v>192</v>
      </c>
      <c r="D57" s="2" t="s">
        <v>193</v>
      </c>
      <c r="E57" s="2" t="s">
        <v>194</v>
      </c>
      <c r="F57" s="3">
        <v>46132</v>
      </c>
      <c r="G57" s="6">
        <v>-12</v>
      </c>
      <c r="H57" s="3">
        <v>46169</v>
      </c>
      <c r="I57" s="7">
        <v>-0.02</v>
      </c>
      <c r="J57" s="2" t="s">
        <v>65</v>
      </c>
      <c r="K57" s="2" t="s">
        <v>560</v>
      </c>
      <c r="L57" s="15">
        <f t="shared" si="8"/>
        <v>46177</v>
      </c>
      <c r="M57" s="17">
        <f t="shared" ca="1" si="9"/>
        <v>-17</v>
      </c>
      <c r="N57" s="15">
        <v>46177</v>
      </c>
      <c r="O57" s="15">
        <f>F57</f>
        <v>46132</v>
      </c>
      <c r="P57" s="10">
        <f t="shared" si="10"/>
        <v>-0.02</v>
      </c>
      <c r="Q57" s="17">
        <f t="shared" ca="1" si="11"/>
        <v>28</v>
      </c>
      <c r="R57" t="s">
        <v>575</v>
      </c>
    </row>
    <row r="58" spans="1:18" hidden="1" outlineLevel="1" x14ac:dyDescent="0.3">
      <c r="A58" s="2" t="s">
        <v>195</v>
      </c>
      <c r="B58" s="2" t="s">
        <v>196</v>
      </c>
      <c r="C58" s="2" t="s">
        <v>197</v>
      </c>
      <c r="D58" s="2" t="s">
        <v>198</v>
      </c>
      <c r="E58" s="2" t="s">
        <v>118</v>
      </c>
      <c r="F58" s="3">
        <v>46139</v>
      </c>
      <c r="G58" s="4">
        <v>18</v>
      </c>
      <c r="H58" s="3">
        <v>46139</v>
      </c>
      <c r="I58" s="5">
        <v>19830</v>
      </c>
      <c r="J58" s="2" t="s">
        <v>65</v>
      </c>
      <c r="K58" s="2" t="s">
        <v>560</v>
      </c>
      <c r="L58" s="15">
        <f t="shared" si="8"/>
        <v>46184</v>
      </c>
      <c r="M58" s="17">
        <f t="shared" ca="1" si="9"/>
        <v>-24</v>
      </c>
      <c r="N58" s="15">
        <v>46184</v>
      </c>
      <c r="O58" s="15">
        <v>46184</v>
      </c>
      <c r="P58" s="10">
        <f t="shared" si="10"/>
        <v>19830</v>
      </c>
      <c r="Q58" s="17">
        <f t="shared" ca="1" si="11"/>
        <v>21</v>
      </c>
      <c r="R58" t="s">
        <v>575</v>
      </c>
    </row>
    <row r="59" spans="1:18" hidden="1" outlineLevel="1" x14ac:dyDescent="0.3">
      <c r="A59" s="2" t="s">
        <v>195</v>
      </c>
      <c r="B59" s="2" t="s">
        <v>199</v>
      </c>
      <c r="C59" s="2" t="s">
        <v>200</v>
      </c>
      <c r="D59" s="2" t="s">
        <v>201</v>
      </c>
      <c r="E59" s="2" t="s">
        <v>118</v>
      </c>
      <c r="F59" s="3">
        <v>46141</v>
      </c>
      <c r="G59" s="4">
        <v>16</v>
      </c>
      <c r="H59" s="3">
        <v>46141</v>
      </c>
      <c r="I59" s="5">
        <v>36040</v>
      </c>
      <c r="J59" s="2" t="s">
        <v>65</v>
      </c>
      <c r="K59" s="2" t="s">
        <v>560</v>
      </c>
      <c r="L59" s="15">
        <f t="shared" si="8"/>
        <v>46186</v>
      </c>
      <c r="M59" s="17">
        <f t="shared" ca="1" si="9"/>
        <v>-26</v>
      </c>
      <c r="N59" s="15">
        <v>46186</v>
      </c>
      <c r="O59" s="15">
        <v>46186</v>
      </c>
      <c r="P59" s="10">
        <f t="shared" si="10"/>
        <v>36040</v>
      </c>
      <c r="Q59" s="17">
        <f t="shared" ca="1" si="11"/>
        <v>19</v>
      </c>
      <c r="R59" t="s">
        <v>575</v>
      </c>
    </row>
    <row r="60" spans="1:18" hidden="1" outlineLevel="1" x14ac:dyDescent="0.3">
      <c r="A60" s="2" t="s">
        <v>202</v>
      </c>
      <c r="B60" s="2" t="s">
        <v>203</v>
      </c>
      <c r="C60" s="2" t="s">
        <v>204</v>
      </c>
      <c r="D60" s="2" t="s">
        <v>205</v>
      </c>
      <c r="E60" s="2" t="s">
        <v>118</v>
      </c>
      <c r="F60" s="3">
        <v>46134</v>
      </c>
      <c r="G60" s="4">
        <v>23</v>
      </c>
      <c r="H60" s="3">
        <v>46134</v>
      </c>
      <c r="I60" s="5">
        <v>89.55</v>
      </c>
      <c r="J60" s="2" t="s">
        <v>15</v>
      </c>
      <c r="K60" s="2" t="s">
        <v>556</v>
      </c>
      <c r="N60" s="15"/>
      <c r="O60" s="15">
        <f t="shared" ref="O60:O98" si="13">H60</f>
        <v>46134</v>
      </c>
      <c r="P60" s="16">
        <f t="shared" ref="P60:P89" si="14">I60/3.435</f>
        <v>26.069868995633186</v>
      </c>
    </row>
    <row r="61" spans="1:18" hidden="1" outlineLevel="1" x14ac:dyDescent="0.3">
      <c r="A61" s="2" t="s">
        <v>202</v>
      </c>
      <c r="B61" s="2" t="s">
        <v>206</v>
      </c>
      <c r="C61" s="2" t="s">
        <v>207</v>
      </c>
      <c r="D61" s="2" t="s">
        <v>208</v>
      </c>
      <c r="E61" s="2" t="s">
        <v>14</v>
      </c>
      <c r="F61" s="3">
        <v>46157</v>
      </c>
      <c r="G61" s="4">
        <v>0</v>
      </c>
      <c r="H61" s="3">
        <v>46157</v>
      </c>
      <c r="I61" s="5">
        <v>118</v>
      </c>
      <c r="J61" s="2" t="s">
        <v>15</v>
      </c>
      <c r="K61" s="2" t="s">
        <v>556</v>
      </c>
      <c r="N61" s="15"/>
      <c r="O61" s="15">
        <f t="shared" si="13"/>
        <v>46157</v>
      </c>
      <c r="P61" s="16">
        <f t="shared" si="14"/>
        <v>34.352256186317319</v>
      </c>
    </row>
    <row r="62" spans="1:18" hidden="1" outlineLevel="1" x14ac:dyDescent="0.3">
      <c r="A62" s="2" t="s">
        <v>209</v>
      </c>
      <c r="B62" s="2" t="s">
        <v>210</v>
      </c>
      <c r="C62" s="2" t="s">
        <v>211</v>
      </c>
      <c r="D62" s="2" t="s">
        <v>212</v>
      </c>
      <c r="E62" s="2" t="s">
        <v>14</v>
      </c>
      <c r="F62" s="3">
        <v>46148</v>
      </c>
      <c r="G62" s="4">
        <v>2</v>
      </c>
      <c r="H62" s="3">
        <v>46155</v>
      </c>
      <c r="I62" s="5">
        <v>301.37</v>
      </c>
      <c r="J62" s="2" t="s">
        <v>15</v>
      </c>
      <c r="K62" s="2" t="s">
        <v>556</v>
      </c>
      <c r="N62" s="15"/>
      <c r="O62" s="15">
        <f t="shared" si="13"/>
        <v>46155</v>
      </c>
      <c r="P62" s="16">
        <f t="shared" si="14"/>
        <v>87.735080058224156</v>
      </c>
    </row>
    <row r="63" spans="1:18" hidden="1" outlineLevel="1" x14ac:dyDescent="0.3">
      <c r="A63" s="2" t="s">
        <v>209</v>
      </c>
      <c r="B63" s="2" t="s">
        <v>213</v>
      </c>
      <c r="C63" s="2" t="s">
        <v>214</v>
      </c>
      <c r="D63" s="2" t="s">
        <v>215</v>
      </c>
      <c r="E63" s="2" t="s">
        <v>14</v>
      </c>
      <c r="F63" s="3">
        <v>46148</v>
      </c>
      <c r="G63" s="4">
        <v>2</v>
      </c>
      <c r="H63" s="3">
        <v>46155</v>
      </c>
      <c r="I63" s="5">
        <v>47.2</v>
      </c>
      <c r="J63" s="2" t="s">
        <v>15</v>
      </c>
      <c r="K63" s="2" t="s">
        <v>556</v>
      </c>
      <c r="N63" s="15"/>
      <c r="O63" s="15">
        <f t="shared" si="13"/>
        <v>46155</v>
      </c>
      <c r="P63" s="16">
        <f t="shared" si="14"/>
        <v>13.74090247452693</v>
      </c>
    </row>
    <row r="64" spans="1:18" hidden="1" outlineLevel="1" x14ac:dyDescent="0.3">
      <c r="A64" s="2" t="s">
        <v>209</v>
      </c>
      <c r="B64" s="2" t="s">
        <v>216</v>
      </c>
      <c r="C64" s="2" t="s">
        <v>217</v>
      </c>
      <c r="D64" s="2" t="s">
        <v>218</v>
      </c>
      <c r="E64" s="2" t="s">
        <v>14</v>
      </c>
      <c r="F64" s="3">
        <v>46148</v>
      </c>
      <c r="G64" s="4">
        <v>2</v>
      </c>
      <c r="H64" s="3">
        <v>46155</v>
      </c>
      <c r="I64" s="5">
        <v>70.8</v>
      </c>
      <c r="J64" s="2" t="s">
        <v>15</v>
      </c>
      <c r="K64" s="2" t="s">
        <v>556</v>
      </c>
      <c r="N64" s="15"/>
      <c r="O64" s="15">
        <f t="shared" si="13"/>
        <v>46155</v>
      </c>
      <c r="P64" s="16">
        <f t="shared" si="14"/>
        <v>20.611353711790393</v>
      </c>
    </row>
    <row r="65" spans="1:16" hidden="1" outlineLevel="1" x14ac:dyDescent="0.3">
      <c r="A65" s="2" t="s">
        <v>209</v>
      </c>
      <c r="B65" s="2" t="s">
        <v>219</v>
      </c>
      <c r="C65" s="2" t="s">
        <v>220</v>
      </c>
      <c r="D65" s="2" t="s">
        <v>221</v>
      </c>
      <c r="E65" s="2" t="s">
        <v>14</v>
      </c>
      <c r="F65" s="3">
        <v>46148</v>
      </c>
      <c r="G65" s="4">
        <v>2</v>
      </c>
      <c r="H65" s="3">
        <v>46155</v>
      </c>
      <c r="I65" s="5">
        <v>318.83999999999997</v>
      </c>
      <c r="J65" s="2" t="s">
        <v>15</v>
      </c>
      <c r="K65" s="2" t="s">
        <v>556</v>
      </c>
      <c r="N65" s="15"/>
      <c r="O65" s="15">
        <f t="shared" si="13"/>
        <v>46155</v>
      </c>
      <c r="P65" s="16">
        <f t="shared" si="14"/>
        <v>92.820960698689944</v>
      </c>
    </row>
    <row r="66" spans="1:16" hidden="1" outlineLevel="1" x14ac:dyDescent="0.3">
      <c r="A66" s="2" t="s">
        <v>209</v>
      </c>
      <c r="B66" s="2" t="s">
        <v>222</v>
      </c>
      <c r="C66" s="2" t="s">
        <v>223</v>
      </c>
      <c r="D66" s="2" t="s">
        <v>224</v>
      </c>
      <c r="E66" s="2" t="s">
        <v>14</v>
      </c>
      <c r="F66" s="3">
        <v>46148</v>
      </c>
      <c r="G66" s="4">
        <v>2</v>
      </c>
      <c r="H66" s="3">
        <v>46155</v>
      </c>
      <c r="I66" s="5">
        <v>321.14999999999998</v>
      </c>
      <c r="J66" s="2" t="s">
        <v>15</v>
      </c>
      <c r="K66" s="2" t="s">
        <v>556</v>
      </c>
      <c r="N66" s="15"/>
      <c r="O66" s="15">
        <f t="shared" si="13"/>
        <v>46155</v>
      </c>
      <c r="P66" s="16">
        <f t="shared" si="14"/>
        <v>93.493449781659379</v>
      </c>
    </row>
    <row r="67" spans="1:16" hidden="1" outlineLevel="1" x14ac:dyDescent="0.3">
      <c r="A67" s="2" t="s">
        <v>209</v>
      </c>
      <c r="B67" s="2" t="s">
        <v>225</v>
      </c>
      <c r="C67" s="2" t="s">
        <v>226</v>
      </c>
      <c r="D67" s="2" t="s">
        <v>227</v>
      </c>
      <c r="E67" s="2" t="s">
        <v>14</v>
      </c>
      <c r="F67" s="3">
        <v>46148</v>
      </c>
      <c r="G67" s="4">
        <v>2</v>
      </c>
      <c r="H67" s="3">
        <v>46155</v>
      </c>
      <c r="I67" s="5">
        <v>135.69999999999999</v>
      </c>
      <c r="J67" s="2" t="s">
        <v>15</v>
      </c>
      <c r="K67" s="2" t="s">
        <v>556</v>
      </c>
      <c r="N67" s="15"/>
      <c r="O67" s="15">
        <f t="shared" si="13"/>
        <v>46155</v>
      </c>
      <c r="P67" s="16">
        <f t="shared" si="14"/>
        <v>39.50509461426492</v>
      </c>
    </row>
    <row r="68" spans="1:16" hidden="1" outlineLevel="1" x14ac:dyDescent="0.3">
      <c r="A68" s="2" t="s">
        <v>209</v>
      </c>
      <c r="B68" s="2" t="s">
        <v>228</v>
      </c>
      <c r="C68" s="2" t="s">
        <v>229</v>
      </c>
      <c r="D68" s="2" t="s">
        <v>230</v>
      </c>
      <c r="E68" s="2" t="s">
        <v>14</v>
      </c>
      <c r="F68" s="3">
        <v>46149</v>
      </c>
      <c r="G68" s="4">
        <v>1</v>
      </c>
      <c r="H68" s="3">
        <v>46156</v>
      </c>
      <c r="I68" s="5">
        <v>70.8</v>
      </c>
      <c r="J68" s="2" t="s">
        <v>15</v>
      </c>
      <c r="K68" s="2" t="s">
        <v>556</v>
      </c>
      <c r="N68" s="15"/>
      <c r="O68" s="15">
        <f t="shared" si="13"/>
        <v>46156</v>
      </c>
      <c r="P68" s="16">
        <f t="shared" si="14"/>
        <v>20.611353711790393</v>
      </c>
    </row>
    <row r="69" spans="1:16" hidden="1" outlineLevel="1" x14ac:dyDescent="0.3">
      <c r="A69" s="2" t="s">
        <v>209</v>
      </c>
      <c r="B69" s="2" t="s">
        <v>231</v>
      </c>
      <c r="C69" s="2" t="s">
        <v>232</v>
      </c>
      <c r="D69" s="2" t="s">
        <v>233</v>
      </c>
      <c r="E69" s="2" t="s">
        <v>14</v>
      </c>
      <c r="F69" s="3">
        <v>46149</v>
      </c>
      <c r="G69" s="4">
        <v>1</v>
      </c>
      <c r="H69" s="3">
        <v>46156</v>
      </c>
      <c r="I69" s="5">
        <v>256.52999999999997</v>
      </c>
      <c r="J69" s="2" t="s">
        <v>15</v>
      </c>
      <c r="K69" s="2" t="s">
        <v>556</v>
      </c>
      <c r="N69" s="15"/>
      <c r="O69" s="15">
        <f t="shared" si="13"/>
        <v>46156</v>
      </c>
      <c r="P69" s="16">
        <f t="shared" si="14"/>
        <v>74.681222707423572</v>
      </c>
    </row>
    <row r="70" spans="1:16" hidden="1" outlineLevel="1" x14ac:dyDescent="0.3">
      <c r="A70" s="2" t="s">
        <v>209</v>
      </c>
      <c r="B70" s="2" t="s">
        <v>234</v>
      </c>
      <c r="C70" s="2" t="s">
        <v>235</v>
      </c>
      <c r="D70" s="2" t="s">
        <v>236</v>
      </c>
      <c r="E70" s="2" t="s">
        <v>14</v>
      </c>
      <c r="F70" s="3">
        <v>46150</v>
      </c>
      <c r="G70" s="4">
        <v>0</v>
      </c>
      <c r="H70" s="3">
        <v>46157</v>
      </c>
      <c r="I70" s="5">
        <v>258.37</v>
      </c>
      <c r="J70" s="2" t="s">
        <v>15</v>
      </c>
      <c r="K70" s="2" t="s">
        <v>556</v>
      </c>
      <c r="N70" s="15"/>
      <c r="O70" s="15">
        <f t="shared" si="13"/>
        <v>46157</v>
      </c>
      <c r="P70" s="16">
        <f t="shared" si="14"/>
        <v>75.216885007278023</v>
      </c>
    </row>
    <row r="71" spans="1:16" hidden="1" outlineLevel="1" x14ac:dyDescent="0.3">
      <c r="A71" s="2" t="s">
        <v>209</v>
      </c>
      <c r="B71" s="2" t="s">
        <v>237</v>
      </c>
      <c r="C71" s="2" t="s">
        <v>238</v>
      </c>
      <c r="D71" s="2" t="s">
        <v>239</v>
      </c>
      <c r="E71" s="2" t="s">
        <v>14</v>
      </c>
      <c r="F71" s="3">
        <v>46150</v>
      </c>
      <c r="G71" s="4">
        <v>0</v>
      </c>
      <c r="H71" s="3">
        <v>46157</v>
      </c>
      <c r="I71" s="5">
        <v>135.69999999999999</v>
      </c>
      <c r="J71" s="2" t="s">
        <v>15</v>
      </c>
      <c r="K71" s="2" t="s">
        <v>556</v>
      </c>
      <c r="N71" s="15"/>
      <c r="O71" s="15">
        <f t="shared" si="13"/>
        <v>46157</v>
      </c>
      <c r="P71" s="16">
        <f t="shared" si="14"/>
        <v>39.50509461426492</v>
      </c>
    </row>
    <row r="72" spans="1:16" hidden="1" outlineLevel="1" x14ac:dyDescent="0.3">
      <c r="A72" s="2" t="s">
        <v>209</v>
      </c>
      <c r="B72" s="2" t="s">
        <v>240</v>
      </c>
      <c r="C72" s="2" t="s">
        <v>241</v>
      </c>
      <c r="D72" s="2" t="s">
        <v>242</v>
      </c>
      <c r="E72" s="2" t="s">
        <v>14</v>
      </c>
      <c r="F72" s="3">
        <v>46153</v>
      </c>
      <c r="G72" s="6">
        <v>-3</v>
      </c>
      <c r="H72" s="3">
        <v>46160</v>
      </c>
      <c r="I72" s="5">
        <v>185.5</v>
      </c>
      <c r="J72" s="2" t="s">
        <v>15</v>
      </c>
      <c r="K72" s="2" t="s">
        <v>556</v>
      </c>
      <c r="N72" s="15"/>
      <c r="O72" s="15">
        <f t="shared" si="13"/>
        <v>46160</v>
      </c>
      <c r="P72" s="16">
        <f t="shared" si="14"/>
        <v>54.002911208151382</v>
      </c>
    </row>
    <row r="73" spans="1:16" hidden="1" outlineLevel="1" x14ac:dyDescent="0.3">
      <c r="A73" s="2" t="s">
        <v>209</v>
      </c>
      <c r="B73" s="2" t="s">
        <v>243</v>
      </c>
      <c r="C73" s="2" t="s">
        <v>244</v>
      </c>
      <c r="D73" s="2" t="s">
        <v>245</v>
      </c>
      <c r="E73" s="2" t="s">
        <v>14</v>
      </c>
      <c r="F73" s="3">
        <v>46153</v>
      </c>
      <c r="G73" s="6">
        <v>-3</v>
      </c>
      <c r="H73" s="3">
        <v>46160</v>
      </c>
      <c r="I73" s="5">
        <v>47.2</v>
      </c>
      <c r="J73" s="2" t="s">
        <v>15</v>
      </c>
      <c r="K73" s="2" t="s">
        <v>556</v>
      </c>
      <c r="N73" s="15"/>
      <c r="O73" s="15">
        <f t="shared" si="13"/>
        <v>46160</v>
      </c>
      <c r="P73" s="16">
        <f t="shared" si="14"/>
        <v>13.74090247452693</v>
      </c>
    </row>
    <row r="74" spans="1:16" hidden="1" outlineLevel="1" x14ac:dyDescent="0.3">
      <c r="A74" s="2" t="s">
        <v>209</v>
      </c>
      <c r="B74" s="2" t="s">
        <v>246</v>
      </c>
      <c r="C74" s="2" t="s">
        <v>247</v>
      </c>
      <c r="D74" s="2" t="s">
        <v>248</v>
      </c>
      <c r="E74" s="2" t="s">
        <v>14</v>
      </c>
      <c r="F74" s="3">
        <v>46154</v>
      </c>
      <c r="G74" s="6">
        <v>-4</v>
      </c>
      <c r="H74" s="3">
        <v>46161</v>
      </c>
      <c r="I74" s="5">
        <v>1310.74</v>
      </c>
      <c r="J74" s="2" t="s">
        <v>15</v>
      </c>
      <c r="K74" s="2" t="s">
        <v>556</v>
      </c>
      <c r="N74" s="15"/>
      <c r="O74" s="15">
        <f t="shared" si="13"/>
        <v>46161</v>
      </c>
      <c r="P74" s="16">
        <f t="shared" si="14"/>
        <v>381.58369723435226</v>
      </c>
    </row>
    <row r="75" spans="1:16" hidden="1" outlineLevel="1" x14ac:dyDescent="0.3">
      <c r="A75" s="2" t="s">
        <v>209</v>
      </c>
      <c r="B75" s="2" t="s">
        <v>249</v>
      </c>
      <c r="C75" s="2" t="s">
        <v>250</v>
      </c>
      <c r="D75" s="2" t="s">
        <v>251</v>
      </c>
      <c r="E75" s="2" t="s">
        <v>14</v>
      </c>
      <c r="F75" s="3">
        <v>46154</v>
      </c>
      <c r="G75" s="6">
        <v>-4</v>
      </c>
      <c r="H75" s="3">
        <v>46161</v>
      </c>
      <c r="I75" s="5">
        <v>188.8</v>
      </c>
      <c r="J75" s="2" t="s">
        <v>15</v>
      </c>
      <c r="K75" s="2" t="s">
        <v>556</v>
      </c>
      <c r="N75" s="15"/>
      <c r="O75" s="15">
        <f t="shared" si="13"/>
        <v>46161</v>
      </c>
      <c r="P75" s="16">
        <f t="shared" si="14"/>
        <v>54.96360989810772</v>
      </c>
    </row>
    <row r="76" spans="1:16" hidden="1" outlineLevel="1" x14ac:dyDescent="0.3">
      <c r="A76" s="2" t="s">
        <v>209</v>
      </c>
      <c r="B76" s="2" t="s">
        <v>252</v>
      </c>
      <c r="C76" s="2" t="s">
        <v>253</v>
      </c>
      <c r="D76" s="2" t="s">
        <v>254</v>
      </c>
      <c r="E76" s="2" t="s">
        <v>14</v>
      </c>
      <c r="F76" s="3">
        <v>46155</v>
      </c>
      <c r="G76" s="6">
        <v>-5</v>
      </c>
      <c r="H76" s="3">
        <v>46162</v>
      </c>
      <c r="I76" s="5">
        <v>550.78</v>
      </c>
      <c r="J76" s="2" t="s">
        <v>15</v>
      </c>
      <c r="K76" s="2" t="s">
        <v>556</v>
      </c>
      <c r="N76" s="15"/>
      <c r="O76" s="15">
        <f t="shared" si="13"/>
        <v>46162</v>
      </c>
      <c r="P76" s="16">
        <f t="shared" si="14"/>
        <v>160.34352256186315</v>
      </c>
    </row>
    <row r="77" spans="1:16" hidden="1" outlineLevel="1" x14ac:dyDescent="0.3">
      <c r="A77" s="2" t="s">
        <v>209</v>
      </c>
      <c r="B77" s="2" t="s">
        <v>255</v>
      </c>
      <c r="C77" s="2" t="s">
        <v>256</v>
      </c>
      <c r="D77" s="2" t="s">
        <v>257</v>
      </c>
      <c r="E77" s="2" t="s">
        <v>14</v>
      </c>
      <c r="F77" s="3">
        <v>46155</v>
      </c>
      <c r="G77" s="6">
        <v>-5</v>
      </c>
      <c r="H77" s="3">
        <v>46162</v>
      </c>
      <c r="I77" s="5">
        <v>188.8</v>
      </c>
      <c r="J77" s="2" t="s">
        <v>15</v>
      </c>
      <c r="K77" s="2" t="s">
        <v>556</v>
      </c>
      <c r="N77" s="15"/>
      <c r="O77" s="15">
        <f t="shared" si="13"/>
        <v>46162</v>
      </c>
      <c r="P77" s="16">
        <f t="shared" si="14"/>
        <v>54.96360989810772</v>
      </c>
    </row>
    <row r="78" spans="1:16" hidden="1" outlineLevel="1" x14ac:dyDescent="0.3">
      <c r="A78" s="2" t="s">
        <v>209</v>
      </c>
      <c r="B78" s="2" t="s">
        <v>258</v>
      </c>
      <c r="C78" s="2" t="s">
        <v>259</v>
      </c>
      <c r="D78" s="2" t="s">
        <v>260</v>
      </c>
      <c r="E78" s="2" t="s">
        <v>14</v>
      </c>
      <c r="F78" s="3">
        <v>46155</v>
      </c>
      <c r="G78" s="6">
        <v>-5</v>
      </c>
      <c r="H78" s="3">
        <v>46162</v>
      </c>
      <c r="I78" s="5">
        <v>730.66</v>
      </c>
      <c r="J78" s="2" t="s">
        <v>15</v>
      </c>
      <c r="K78" s="2" t="s">
        <v>556</v>
      </c>
      <c r="N78" s="15"/>
      <c r="O78" s="15">
        <f t="shared" si="13"/>
        <v>46162</v>
      </c>
      <c r="P78" s="16">
        <f t="shared" si="14"/>
        <v>212.71033478893739</v>
      </c>
    </row>
    <row r="79" spans="1:16" hidden="1" outlineLevel="1" x14ac:dyDescent="0.3">
      <c r="A79" s="2" t="s">
        <v>209</v>
      </c>
      <c r="B79" s="2" t="s">
        <v>261</v>
      </c>
      <c r="C79" s="2" t="s">
        <v>262</v>
      </c>
      <c r="D79" s="2" t="s">
        <v>263</v>
      </c>
      <c r="E79" s="2" t="s">
        <v>14</v>
      </c>
      <c r="F79" s="3">
        <v>46155</v>
      </c>
      <c r="G79" s="6">
        <v>-5</v>
      </c>
      <c r="H79" s="3">
        <v>46162</v>
      </c>
      <c r="I79" s="5">
        <v>94.4</v>
      </c>
      <c r="J79" s="2" t="s">
        <v>15</v>
      </c>
      <c r="K79" s="2" t="s">
        <v>556</v>
      </c>
      <c r="N79" s="15"/>
      <c r="O79" s="15">
        <f t="shared" si="13"/>
        <v>46162</v>
      </c>
      <c r="P79" s="16">
        <f t="shared" si="14"/>
        <v>27.48180494905386</v>
      </c>
    </row>
    <row r="80" spans="1:16" hidden="1" outlineLevel="1" x14ac:dyDescent="0.3">
      <c r="A80" s="2" t="s">
        <v>209</v>
      </c>
      <c r="B80" s="2" t="s">
        <v>264</v>
      </c>
      <c r="C80" s="2" t="s">
        <v>265</v>
      </c>
      <c r="D80" s="2" t="s">
        <v>266</v>
      </c>
      <c r="E80" s="2" t="s">
        <v>14</v>
      </c>
      <c r="F80" s="3">
        <v>46155</v>
      </c>
      <c r="G80" s="6">
        <v>-5</v>
      </c>
      <c r="H80" s="3">
        <v>46162</v>
      </c>
      <c r="I80" s="5">
        <v>635.36</v>
      </c>
      <c r="J80" s="2" t="s">
        <v>15</v>
      </c>
      <c r="K80" s="2" t="s">
        <v>556</v>
      </c>
      <c r="N80" s="15"/>
      <c r="O80" s="15">
        <f t="shared" si="13"/>
        <v>46162</v>
      </c>
      <c r="P80" s="16">
        <f t="shared" si="14"/>
        <v>184.96652110625911</v>
      </c>
    </row>
    <row r="81" spans="1:18" hidden="1" outlineLevel="1" x14ac:dyDescent="0.3">
      <c r="A81" s="2" t="s">
        <v>209</v>
      </c>
      <c r="B81" s="2" t="s">
        <v>267</v>
      </c>
      <c r="C81" s="2" t="s">
        <v>268</v>
      </c>
      <c r="D81" s="2" t="s">
        <v>269</v>
      </c>
      <c r="E81" s="2" t="s">
        <v>14</v>
      </c>
      <c r="F81" s="3">
        <v>46155</v>
      </c>
      <c r="G81" s="6">
        <v>-5</v>
      </c>
      <c r="H81" s="3">
        <v>46162</v>
      </c>
      <c r="I81" s="5">
        <v>212.4</v>
      </c>
      <c r="J81" s="2" t="s">
        <v>15</v>
      </c>
      <c r="K81" s="2" t="s">
        <v>556</v>
      </c>
      <c r="N81" s="15"/>
      <c r="O81" s="15">
        <f t="shared" si="13"/>
        <v>46162</v>
      </c>
      <c r="P81" s="16">
        <f t="shared" si="14"/>
        <v>61.834061135371179</v>
      </c>
    </row>
    <row r="82" spans="1:18" hidden="1" outlineLevel="1" x14ac:dyDescent="0.3">
      <c r="A82" s="2" t="s">
        <v>209</v>
      </c>
      <c r="B82" s="2" t="s">
        <v>270</v>
      </c>
      <c r="C82" s="2" t="s">
        <v>271</v>
      </c>
      <c r="D82" s="2" t="s">
        <v>272</v>
      </c>
      <c r="E82" s="2" t="s">
        <v>14</v>
      </c>
      <c r="F82" s="3">
        <v>46156</v>
      </c>
      <c r="G82" s="6">
        <v>-6</v>
      </c>
      <c r="H82" s="3">
        <v>46163</v>
      </c>
      <c r="I82" s="5">
        <v>318.36</v>
      </c>
      <c r="J82" s="2" t="s">
        <v>15</v>
      </c>
      <c r="K82" s="2" t="s">
        <v>556</v>
      </c>
      <c r="N82" s="15"/>
      <c r="O82" s="15">
        <f t="shared" si="13"/>
        <v>46163</v>
      </c>
      <c r="P82" s="16">
        <f t="shared" si="14"/>
        <v>92.681222707423586</v>
      </c>
    </row>
    <row r="83" spans="1:18" hidden="1" outlineLevel="1" x14ac:dyDescent="0.3">
      <c r="A83" s="2" t="s">
        <v>209</v>
      </c>
      <c r="B83" s="2" t="s">
        <v>273</v>
      </c>
      <c r="C83" s="2" t="s">
        <v>274</v>
      </c>
      <c r="D83" s="2" t="s">
        <v>275</v>
      </c>
      <c r="E83" s="2" t="s">
        <v>14</v>
      </c>
      <c r="F83" s="3">
        <v>46156</v>
      </c>
      <c r="G83" s="6">
        <v>-6</v>
      </c>
      <c r="H83" s="3">
        <v>46163</v>
      </c>
      <c r="I83" s="5">
        <v>47.2</v>
      </c>
      <c r="J83" s="2" t="s">
        <v>15</v>
      </c>
      <c r="K83" s="2" t="s">
        <v>556</v>
      </c>
      <c r="N83" s="15"/>
      <c r="O83" s="15">
        <f t="shared" si="13"/>
        <v>46163</v>
      </c>
      <c r="P83" s="16">
        <f t="shared" si="14"/>
        <v>13.74090247452693</v>
      </c>
    </row>
    <row r="84" spans="1:18" hidden="1" outlineLevel="1" x14ac:dyDescent="0.3">
      <c r="A84" s="2" t="s">
        <v>209</v>
      </c>
      <c r="B84" s="2" t="s">
        <v>276</v>
      </c>
      <c r="C84" s="2" t="s">
        <v>277</v>
      </c>
      <c r="D84" s="2" t="s">
        <v>278</v>
      </c>
      <c r="E84" s="2" t="s">
        <v>14</v>
      </c>
      <c r="F84" s="3">
        <v>46156</v>
      </c>
      <c r="G84" s="6">
        <v>-6</v>
      </c>
      <c r="H84" s="3">
        <v>46163</v>
      </c>
      <c r="I84" s="5">
        <v>657.5</v>
      </c>
      <c r="J84" s="2" t="s">
        <v>15</v>
      </c>
      <c r="K84" s="2" t="s">
        <v>556</v>
      </c>
      <c r="N84" s="15"/>
      <c r="O84" s="15">
        <f t="shared" si="13"/>
        <v>46163</v>
      </c>
      <c r="P84" s="16">
        <f t="shared" si="14"/>
        <v>191.41193595342068</v>
      </c>
    </row>
    <row r="85" spans="1:18" hidden="1" outlineLevel="1" x14ac:dyDescent="0.3">
      <c r="A85" s="2" t="s">
        <v>209</v>
      </c>
      <c r="B85" s="2" t="s">
        <v>279</v>
      </c>
      <c r="C85" s="2" t="s">
        <v>280</v>
      </c>
      <c r="D85" s="2" t="s">
        <v>281</v>
      </c>
      <c r="E85" s="2" t="s">
        <v>14</v>
      </c>
      <c r="F85" s="3">
        <v>46156</v>
      </c>
      <c r="G85" s="6">
        <v>-6</v>
      </c>
      <c r="H85" s="3">
        <v>46163</v>
      </c>
      <c r="I85" s="5">
        <v>194.7</v>
      </c>
      <c r="J85" s="2" t="s">
        <v>15</v>
      </c>
      <c r="K85" s="2" t="s">
        <v>556</v>
      </c>
      <c r="N85" s="15"/>
      <c r="O85" s="15">
        <f t="shared" si="13"/>
        <v>46163</v>
      </c>
      <c r="P85" s="16">
        <f t="shared" si="14"/>
        <v>56.681222707423579</v>
      </c>
    </row>
    <row r="86" spans="1:18" hidden="1" outlineLevel="1" x14ac:dyDescent="0.3">
      <c r="A86" s="2" t="s">
        <v>209</v>
      </c>
      <c r="B86" s="2" t="s">
        <v>282</v>
      </c>
      <c r="C86" s="2" t="s">
        <v>283</v>
      </c>
      <c r="D86" s="2" t="s">
        <v>284</v>
      </c>
      <c r="E86" s="2" t="s">
        <v>14</v>
      </c>
      <c r="F86" s="3">
        <v>46157</v>
      </c>
      <c r="G86" s="6">
        <v>-7</v>
      </c>
      <c r="H86" s="3">
        <v>46164</v>
      </c>
      <c r="I86" s="5">
        <v>1100.47</v>
      </c>
      <c r="J86" s="2" t="s">
        <v>15</v>
      </c>
      <c r="K86" s="2" t="s">
        <v>556</v>
      </c>
      <c r="N86" s="15"/>
      <c r="O86" s="15">
        <f t="shared" si="13"/>
        <v>46164</v>
      </c>
      <c r="P86" s="16">
        <f t="shared" si="14"/>
        <v>320.36972343522564</v>
      </c>
    </row>
    <row r="87" spans="1:18" hidden="1" outlineLevel="1" x14ac:dyDescent="0.3">
      <c r="A87" s="2" t="s">
        <v>209</v>
      </c>
      <c r="B87" s="2" t="s">
        <v>285</v>
      </c>
      <c r="C87" s="2" t="s">
        <v>286</v>
      </c>
      <c r="D87" s="2" t="s">
        <v>287</v>
      </c>
      <c r="E87" s="2" t="s">
        <v>14</v>
      </c>
      <c r="F87" s="3">
        <v>46157</v>
      </c>
      <c r="G87" s="6">
        <v>-7</v>
      </c>
      <c r="H87" s="3">
        <v>46164</v>
      </c>
      <c r="I87" s="5">
        <v>118</v>
      </c>
      <c r="J87" s="2" t="s">
        <v>15</v>
      </c>
      <c r="K87" s="2" t="s">
        <v>556</v>
      </c>
      <c r="N87" s="15"/>
      <c r="O87" s="15">
        <f t="shared" si="13"/>
        <v>46164</v>
      </c>
      <c r="P87" s="16">
        <f t="shared" si="14"/>
        <v>34.352256186317319</v>
      </c>
    </row>
    <row r="88" spans="1:18" hidden="1" outlineLevel="1" x14ac:dyDescent="0.3">
      <c r="A88" s="2" t="s">
        <v>209</v>
      </c>
      <c r="B88" s="2" t="s">
        <v>288</v>
      </c>
      <c r="C88" s="2" t="s">
        <v>289</v>
      </c>
      <c r="D88" s="2" t="s">
        <v>290</v>
      </c>
      <c r="E88" s="2" t="s">
        <v>14</v>
      </c>
      <c r="F88" s="3">
        <v>46157</v>
      </c>
      <c r="G88" s="6">
        <v>-7</v>
      </c>
      <c r="H88" s="3">
        <v>46164</v>
      </c>
      <c r="I88" s="5">
        <v>577.87</v>
      </c>
      <c r="J88" s="2" t="s">
        <v>15</v>
      </c>
      <c r="K88" s="2" t="s">
        <v>556</v>
      </c>
      <c r="N88" s="15"/>
      <c r="O88" s="15">
        <f t="shared" si="13"/>
        <v>46164</v>
      </c>
      <c r="P88" s="16">
        <f t="shared" si="14"/>
        <v>168.22998544395924</v>
      </c>
    </row>
    <row r="89" spans="1:18" hidden="1" outlineLevel="1" x14ac:dyDescent="0.3">
      <c r="A89" s="2" t="s">
        <v>209</v>
      </c>
      <c r="B89" s="2" t="s">
        <v>291</v>
      </c>
      <c r="C89" s="2" t="s">
        <v>292</v>
      </c>
      <c r="D89" s="2" t="s">
        <v>293</v>
      </c>
      <c r="E89" s="2" t="s">
        <v>14</v>
      </c>
      <c r="F89" s="3">
        <v>46157</v>
      </c>
      <c r="G89" s="6">
        <v>-7</v>
      </c>
      <c r="H89" s="3">
        <v>46164</v>
      </c>
      <c r="I89" s="5">
        <v>159.30000000000001</v>
      </c>
      <c r="J89" s="2" t="s">
        <v>15</v>
      </c>
      <c r="K89" s="2" t="s">
        <v>556</v>
      </c>
      <c r="N89" s="15"/>
      <c r="O89" s="15">
        <f t="shared" si="13"/>
        <v>46164</v>
      </c>
      <c r="P89" s="16">
        <f t="shared" si="14"/>
        <v>46.375545851528386</v>
      </c>
    </row>
    <row r="90" spans="1:18" hidden="1" outlineLevel="1" x14ac:dyDescent="0.3">
      <c r="A90" s="2" t="s">
        <v>294</v>
      </c>
      <c r="B90" s="2" t="s">
        <v>296</v>
      </c>
      <c r="C90" s="2" t="s">
        <v>297</v>
      </c>
      <c r="D90" s="2" t="s">
        <v>580</v>
      </c>
      <c r="E90" s="2" t="s">
        <v>102</v>
      </c>
      <c r="F90" s="3">
        <v>46109</v>
      </c>
      <c r="G90" s="4">
        <v>3</v>
      </c>
      <c r="H90" s="3">
        <v>46154</v>
      </c>
      <c r="I90" s="5">
        <v>70913.070000000007</v>
      </c>
      <c r="J90" s="2" t="s">
        <v>65</v>
      </c>
      <c r="K90" s="2" t="s">
        <v>560</v>
      </c>
      <c r="L90" s="15">
        <f t="shared" ref="L90:L98" si="15">F90+45</f>
        <v>46154</v>
      </c>
      <c r="M90" s="17">
        <f t="shared" ref="M90:M98" ca="1" si="16">TODAY()-N90</f>
        <v>6</v>
      </c>
      <c r="N90" s="15">
        <v>46154</v>
      </c>
      <c r="O90" s="15">
        <v>46164</v>
      </c>
      <c r="P90" s="10">
        <f t="shared" ref="P90:P98" si="17">I90</f>
        <v>70913.070000000007</v>
      </c>
      <c r="Q90" s="17">
        <f t="shared" ref="Q90:Q98" ca="1" si="18">TODAY()-F90</f>
        <v>51</v>
      </c>
      <c r="R90" t="s">
        <v>574</v>
      </c>
    </row>
    <row r="91" spans="1:18" hidden="1" outlineLevel="1" x14ac:dyDescent="0.3">
      <c r="A91" s="2" t="s">
        <v>294</v>
      </c>
      <c r="B91" s="2" t="s">
        <v>298</v>
      </c>
      <c r="C91" s="2" t="s">
        <v>299</v>
      </c>
      <c r="D91" s="2" t="s">
        <v>300</v>
      </c>
      <c r="E91" s="2" t="s">
        <v>102</v>
      </c>
      <c r="F91" s="3">
        <v>46120</v>
      </c>
      <c r="G91" s="6">
        <v>-8</v>
      </c>
      <c r="H91" s="3">
        <v>46165</v>
      </c>
      <c r="I91" s="5">
        <v>175000</v>
      </c>
      <c r="J91" s="2" t="s">
        <v>65</v>
      </c>
      <c r="K91" s="2" t="s">
        <v>560</v>
      </c>
      <c r="L91" s="15">
        <f t="shared" si="15"/>
        <v>46165</v>
      </c>
      <c r="M91" s="17">
        <f t="shared" ca="1" si="16"/>
        <v>-5</v>
      </c>
      <c r="N91" s="15">
        <v>46165</v>
      </c>
      <c r="O91" s="15">
        <f t="shared" si="13"/>
        <v>46165</v>
      </c>
      <c r="P91" s="10">
        <f t="shared" si="17"/>
        <v>175000</v>
      </c>
      <c r="Q91" s="17">
        <f t="shared" ca="1" si="18"/>
        <v>40</v>
      </c>
      <c r="R91" t="s">
        <v>575</v>
      </c>
    </row>
    <row r="92" spans="1:18" outlineLevel="1" x14ac:dyDescent="0.3">
      <c r="A92" s="2" t="s">
        <v>294</v>
      </c>
      <c r="B92" s="2" t="s">
        <v>301</v>
      </c>
      <c r="C92" s="2" t="s">
        <v>302</v>
      </c>
      <c r="D92" s="2" t="s">
        <v>303</v>
      </c>
      <c r="E92" s="2" t="s">
        <v>181</v>
      </c>
      <c r="F92" s="3">
        <v>46140</v>
      </c>
      <c r="G92" s="4">
        <v>0</v>
      </c>
      <c r="H92" s="3">
        <v>46142</v>
      </c>
      <c r="I92" s="7">
        <v>-36224</v>
      </c>
      <c r="J92" s="2" t="s">
        <v>65</v>
      </c>
      <c r="K92" s="2" t="s">
        <v>560</v>
      </c>
      <c r="L92" s="15">
        <f t="shared" si="15"/>
        <v>46185</v>
      </c>
      <c r="M92" s="17">
        <f t="shared" ca="1" si="16"/>
        <v>20</v>
      </c>
      <c r="N92" s="15">
        <f>F92</f>
        <v>46140</v>
      </c>
      <c r="O92" s="15">
        <f t="shared" ref="O92:O93" si="19">F92</f>
        <v>46140</v>
      </c>
      <c r="P92" s="10">
        <f t="shared" si="17"/>
        <v>-36224</v>
      </c>
      <c r="Q92" s="17">
        <f t="shared" ca="1" si="18"/>
        <v>20</v>
      </c>
      <c r="R92" t="s">
        <v>575</v>
      </c>
    </row>
    <row r="93" spans="1:18" outlineLevel="1" x14ac:dyDescent="0.3">
      <c r="A93" s="2" t="s">
        <v>294</v>
      </c>
      <c r="B93" s="2" t="s">
        <v>304</v>
      </c>
      <c r="C93" s="2" t="s">
        <v>305</v>
      </c>
      <c r="D93" s="2" t="s">
        <v>306</v>
      </c>
      <c r="E93" s="2" t="s">
        <v>181</v>
      </c>
      <c r="F93" s="3">
        <v>46155</v>
      </c>
      <c r="G93" s="4">
        <v>0</v>
      </c>
      <c r="H93" s="3">
        <v>46173</v>
      </c>
      <c r="I93" s="7">
        <v>-36370</v>
      </c>
      <c r="J93" s="2" t="s">
        <v>65</v>
      </c>
      <c r="K93" s="2" t="s">
        <v>560</v>
      </c>
      <c r="L93" s="15">
        <f t="shared" si="15"/>
        <v>46200</v>
      </c>
      <c r="M93" s="17">
        <f t="shared" ca="1" si="16"/>
        <v>5</v>
      </c>
      <c r="N93" s="15">
        <f>F93</f>
        <v>46155</v>
      </c>
      <c r="O93" s="15">
        <f t="shared" si="19"/>
        <v>46155</v>
      </c>
      <c r="P93" s="10">
        <f t="shared" si="17"/>
        <v>-36370</v>
      </c>
      <c r="Q93" s="17">
        <f t="shared" ca="1" si="18"/>
        <v>5</v>
      </c>
      <c r="R93" t="s">
        <v>575</v>
      </c>
    </row>
    <row r="94" spans="1:18" hidden="1" outlineLevel="1" x14ac:dyDescent="0.3">
      <c r="A94" s="2" t="s">
        <v>307</v>
      </c>
      <c r="B94" s="2" t="s">
        <v>308</v>
      </c>
      <c r="C94" s="2" t="s">
        <v>309</v>
      </c>
      <c r="D94" s="2" t="s">
        <v>310</v>
      </c>
      <c r="E94" s="2" t="s">
        <v>102</v>
      </c>
      <c r="F94" s="3">
        <v>46138</v>
      </c>
      <c r="G94" s="6">
        <v>-26</v>
      </c>
      <c r="H94" s="3">
        <v>46183</v>
      </c>
      <c r="I94" s="5">
        <v>105300</v>
      </c>
      <c r="J94" s="2" t="s">
        <v>65</v>
      </c>
      <c r="K94" s="2" t="s">
        <v>560</v>
      </c>
      <c r="L94" s="15">
        <f t="shared" si="15"/>
        <v>46183</v>
      </c>
      <c r="M94" s="17">
        <f t="shared" ca="1" si="16"/>
        <v>-23</v>
      </c>
      <c r="N94" s="15">
        <v>46183</v>
      </c>
      <c r="O94" s="15">
        <f t="shared" si="13"/>
        <v>46183</v>
      </c>
      <c r="P94" s="10">
        <f t="shared" si="17"/>
        <v>105300</v>
      </c>
      <c r="Q94" s="17">
        <f t="shared" ca="1" si="18"/>
        <v>22</v>
      </c>
      <c r="R94" t="s">
        <v>575</v>
      </c>
    </row>
    <row r="95" spans="1:18" hidden="1" outlineLevel="1" x14ac:dyDescent="0.3">
      <c r="A95" s="2" t="s">
        <v>307</v>
      </c>
      <c r="B95" s="2" t="s">
        <v>311</v>
      </c>
      <c r="C95" s="2" t="s">
        <v>312</v>
      </c>
      <c r="D95" s="2" t="s">
        <v>313</v>
      </c>
      <c r="E95" s="2" t="s">
        <v>102</v>
      </c>
      <c r="F95" s="3">
        <v>46154</v>
      </c>
      <c r="G95" s="6">
        <v>-42</v>
      </c>
      <c r="H95" s="3">
        <v>46199</v>
      </c>
      <c r="I95" s="5">
        <v>420417</v>
      </c>
      <c r="J95" s="2" t="s">
        <v>65</v>
      </c>
      <c r="K95" s="2" t="s">
        <v>560</v>
      </c>
      <c r="L95" s="15">
        <f t="shared" si="15"/>
        <v>46199</v>
      </c>
      <c r="M95" s="17">
        <f t="shared" ca="1" si="16"/>
        <v>-39</v>
      </c>
      <c r="N95" s="15">
        <v>46199</v>
      </c>
      <c r="O95" s="15">
        <f t="shared" si="13"/>
        <v>46199</v>
      </c>
      <c r="P95" s="10">
        <f t="shared" si="17"/>
        <v>420417</v>
      </c>
      <c r="Q95" s="17">
        <f t="shared" ca="1" si="18"/>
        <v>6</v>
      </c>
      <c r="R95" t="s">
        <v>575</v>
      </c>
    </row>
    <row r="96" spans="1:18" outlineLevel="1" x14ac:dyDescent="0.3">
      <c r="A96" s="2" t="s">
        <v>314</v>
      </c>
      <c r="B96" s="2" t="s">
        <v>315</v>
      </c>
      <c r="C96" s="2" t="s">
        <v>316</v>
      </c>
      <c r="D96" s="2" t="s">
        <v>317</v>
      </c>
      <c r="E96" s="2" t="s">
        <v>181</v>
      </c>
      <c r="F96" s="3">
        <v>46155</v>
      </c>
      <c r="G96" s="4">
        <v>0</v>
      </c>
      <c r="H96" s="3">
        <v>46173</v>
      </c>
      <c r="I96" s="7">
        <v>-223726</v>
      </c>
      <c r="J96" s="2" t="s">
        <v>65</v>
      </c>
      <c r="K96" s="2" t="s">
        <v>560</v>
      </c>
      <c r="L96" s="15">
        <f t="shared" si="15"/>
        <v>46200</v>
      </c>
      <c r="M96" s="17">
        <f t="shared" ca="1" si="16"/>
        <v>5</v>
      </c>
      <c r="N96" s="15">
        <f>F96</f>
        <v>46155</v>
      </c>
      <c r="O96" s="15">
        <f t="shared" ref="O96:O97" si="20">F96</f>
        <v>46155</v>
      </c>
      <c r="P96" s="10">
        <f t="shared" si="17"/>
        <v>-223726</v>
      </c>
      <c r="Q96" s="17">
        <f t="shared" ca="1" si="18"/>
        <v>5</v>
      </c>
      <c r="R96" t="s">
        <v>575</v>
      </c>
    </row>
    <row r="97" spans="1:18" outlineLevel="1" x14ac:dyDescent="0.3">
      <c r="A97" s="2" t="s">
        <v>318</v>
      </c>
      <c r="B97" s="2" t="s">
        <v>319</v>
      </c>
      <c r="C97" s="2" t="s">
        <v>320</v>
      </c>
      <c r="D97" s="2" t="s">
        <v>321</v>
      </c>
      <c r="E97" s="2" t="s">
        <v>118</v>
      </c>
      <c r="F97" s="3">
        <v>46138</v>
      </c>
      <c r="G97" s="4">
        <v>0</v>
      </c>
      <c r="H97" s="3">
        <v>46138</v>
      </c>
      <c r="I97" s="7">
        <v>-4560</v>
      </c>
      <c r="J97" s="2" t="s">
        <v>65</v>
      </c>
      <c r="K97" s="2" t="s">
        <v>560</v>
      </c>
      <c r="L97" s="15">
        <f t="shared" si="15"/>
        <v>46183</v>
      </c>
      <c r="M97" s="17">
        <f t="shared" ca="1" si="16"/>
        <v>22</v>
      </c>
      <c r="N97" s="15">
        <f>F97</f>
        <v>46138</v>
      </c>
      <c r="O97" s="15">
        <f t="shared" si="20"/>
        <v>46138</v>
      </c>
      <c r="P97" s="10">
        <f t="shared" si="17"/>
        <v>-4560</v>
      </c>
      <c r="Q97" s="17">
        <f t="shared" ca="1" si="18"/>
        <v>22</v>
      </c>
      <c r="R97" t="s">
        <v>575</v>
      </c>
    </row>
    <row r="98" spans="1:18" hidden="1" outlineLevel="1" x14ac:dyDescent="0.3">
      <c r="A98" s="2" t="s">
        <v>318</v>
      </c>
      <c r="B98" s="2" t="s">
        <v>322</v>
      </c>
      <c r="C98" s="2" t="s">
        <v>323</v>
      </c>
      <c r="D98" s="2" t="s">
        <v>324</v>
      </c>
      <c r="E98" s="2" t="s">
        <v>102</v>
      </c>
      <c r="F98" s="3">
        <v>46141</v>
      </c>
      <c r="G98" s="6">
        <v>-29</v>
      </c>
      <c r="H98" s="3">
        <v>46186</v>
      </c>
      <c r="I98" s="5">
        <v>396900</v>
      </c>
      <c r="J98" s="2" t="s">
        <v>65</v>
      </c>
      <c r="K98" s="2" t="s">
        <v>560</v>
      </c>
      <c r="L98" s="15">
        <f t="shared" si="15"/>
        <v>46186</v>
      </c>
      <c r="M98" s="17">
        <f t="shared" ca="1" si="16"/>
        <v>-26</v>
      </c>
      <c r="N98" s="15">
        <v>46186</v>
      </c>
      <c r="O98" s="15">
        <f t="shared" si="13"/>
        <v>46186</v>
      </c>
      <c r="P98" s="10">
        <f t="shared" si="17"/>
        <v>396900</v>
      </c>
      <c r="Q98" s="17">
        <f t="shared" ca="1" si="18"/>
        <v>19</v>
      </c>
      <c r="R98" t="s">
        <v>575</v>
      </c>
    </row>
    <row r="99" spans="1:18" hidden="1" outlineLevel="1" x14ac:dyDescent="0.3">
      <c r="A99" s="2" t="s">
        <v>325</v>
      </c>
      <c r="B99" s="2" t="s">
        <v>326</v>
      </c>
      <c r="C99" s="2" t="s">
        <v>327</v>
      </c>
      <c r="D99" s="2" t="s">
        <v>328</v>
      </c>
      <c r="E99" s="2" t="s">
        <v>14</v>
      </c>
      <c r="F99" s="3">
        <v>45964</v>
      </c>
      <c r="G99" s="4">
        <v>186</v>
      </c>
      <c r="H99" s="3">
        <v>45971</v>
      </c>
      <c r="I99" s="5">
        <v>1403.26</v>
      </c>
      <c r="J99" s="2" t="s">
        <v>15</v>
      </c>
      <c r="K99" s="2" t="s">
        <v>557</v>
      </c>
      <c r="N99" s="15"/>
      <c r="O99" s="15">
        <f>H99</f>
        <v>45971</v>
      </c>
      <c r="P99" s="16">
        <f>I99/3.435</f>
        <v>408.51819505094613</v>
      </c>
    </row>
    <row r="100" spans="1:18" hidden="1" outlineLevel="1" x14ac:dyDescent="0.3">
      <c r="A100" s="2" t="s">
        <v>325</v>
      </c>
      <c r="B100" s="2" t="s">
        <v>329</v>
      </c>
      <c r="C100" s="2" t="s">
        <v>330</v>
      </c>
      <c r="D100" s="2" t="s">
        <v>331</v>
      </c>
      <c r="E100" s="2" t="s">
        <v>14</v>
      </c>
      <c r="F100" s="3">
        <v>45964</v>
      </c>
      <c r="G100" s="4">
        <v>186</v>
      </c>
      <c r="H100" s="3">
        <v>45971</v>
      </c>
      <c r="I100" s="5">
        <v>141.6</v>
      </c>
      <c r="J100" s="2" t="s">
        <v>15</v>
      </c>
      <c r="K100" s="2" t="s">
        <v>557</v>
      </c>
      <c r="N100" s="15"/>
      <c r="O100" s="15">
        <f t="shared" ref="O100:O121" si="21">H100</f>
        <v>45971</v>
      </c>
      <c r="P100" s="16">
        <f t="shared" ref="P100:P114" si="22">I100/3.435</f>
        <v>41.222707423580786</v>
      </c>
    </row>
    <row r="101" spans="1:18" hidden="1" outlineLevel="1" x14ac:dyDescent="0.3">
      <c r="A101" s="2" t="s">
        <v>325</v>
      </c>
      <c r="B101" s="2" t="s">
        <v>332</v>
      </c>
      <c r="C101" s="2" t="s">
        <v>333</v>
      </c>
      <c r="D101" s="2" t="s">
        <v>334</v>
      </c>
      <c r="E101" s="2" t="s">
        <v>14</v>
      </c>
      <c r="F101" s="3">
        <v>45967</v>
      </c>
      <c r="G101" s="4">
        <v>183</v>
      </c>
      <c r="H101" s="3">
        <v>45974</v>
      </c>
      <c r="I101" s="5">
        <v>1193.22</v>
      </c>
      <c r="J101" s="2" t="s">
        <v>15</v>
      </c>
      <c r="K101" s="2" t="s">
        <v>557</v>
      </c>
      <c r="N101" s="15"/>
      <c r="O101" s="15">
        <f t="shared" si="21"/>
        <v>45974</v>
      </c>
      <c r="P101" s="16">
        <f t="shared" si="22"/>
        <v>347.3711790393013</v>
      </c>
    </row>
    <row r="102" spans="1:18" hidden="1" outlineLevel="1" x14ac:dyDescent="0.3">
      <c r="A102" s="2" t="s">
        <v>325</v>
      </c>
      <c r="B102" s="2" t="s">
        <v>335</v>
      </c>
      <c r="C102" s="2" t="s">
        <v>336</v>
      </c>
      <c r="D102" s="2" t="s">
        <v>337</v>
      </c>
      <c r="E102" s="2" t="s">
        <v>14</v>
      </c>
      <c r="F102" s="3">
        <v>45967</v>
      </c>
      <c r="G102" s="4">
        <v>183</v>
      </c>
      <c r="H102" s="3">
        <v>45974</v>
      </c>
      <c r="I102" s="5">
        <v>106.2</v>
      </c>
      <c r="J102" s="2" t="s">
        <v>15</v>
      </c>
      <c r="K102" s="2" t="s">
        <v>557</v>
      </c>
      <c r="N102" s="15"/>
      <c r="O102" s="15">
        <f t="shared" si="21"/>
        <v>45974</v>
      </c>
      <c r="P102" s="16">
        <f t="shared" si="22"/>
        <v>30.91703056768559</v>
      </c>
    </row>
    <row r="103" spans="1:18" hidden="1" outlineLevel="1" x14ac:dyDescent="0.3">
      <c r="A103" s="2" t="s">
        <v>325</v>
      </c>
      <c r="B103" s="2" t="s">
        <v>338</v>
      </c>
      <c r="C103" s="2" t="s">
        <v>339</v>
      </c>
      <c r="D103" s="2" t="s">
        <v>340</v>
      </c>
      <c r="E103" s="2" t="s">
        <v>14</v>
      </c>
      <c r="F103" s="3">
        <v>46148</v>
      </c>
      <c r="G103" s="4">
        <v>2</v>
      </c>
      <c r="H103" s="3">
        <v>46155</v>
      </c>
      <c r="I103" s="5">
        <v>23.6</v>
      </c>
      <c r="J103" s="2" t="s">
        <v>15</v>
      </c>
      <c r="K103" s="2" t="s">
        <v>557</v>
      </c>
      <c r="N103" s="15"/>
      <c r="O103" s="15">
        <f t="shared" si="21"/>
        <v>46155</v>
      </c>
      <c r="P103" s="16">
        <f t="shared" si="22"/>
        <v>6.870451237263465</v>
      </c>
    </row>
    <row r="104" spans="1:18" hidden="1" outlineLevel="1" x14ac:dyDescent="0.3">
      <c r="A104" s="2" t="s">
        <v>325</v>
      </c>
      <c r="B104" s="2" t="s">
        <v>341</v>
      </c>
      <c r="C104" s="2" t="s">
        <v>342</v>
      </c>
      <c r="D104" s="2" t="s">
        <v>343</v>
      </c>
      <c r="E104" s="2" t="s">
        <v>14</v>
      </c>
      <c r="F104" s="3">
        <v>46148</v>
      </c>
      <c r="G104" s="4">
        <v>2</v>
      </c>
      <c r="H104" s="3">
        <v>46155</v>
      </c>
      <c r="I104" s="5">
        <v>261.49</v>
      </c>
      <c r="J104" s="2" t="s">
        <v>15</v>
      </c>
      <c r="K104" s="2" t="s">
        <v>557</v>
      </c>
      <c r="N104" s="15"/>
      <c r="O104" s="15">
        <f t="shared" si="21"/>
        <v>46155</v>
      </c>
      <c r="P104" s="16">
        <f t="shared" si="22"/>
        <v>76.125181950509457</v>
      </c>
    </row>
    <row r="105" spans="1:18" hidden="1" outlineLevel="1" x14ac:dyDescent="0.3">
      <c r="A105" s="2" t="s">
        <v>325</v>
      </c>
      <c r="B105" s="2" t="s">
        <v>344</v>
      </c>
      <c r="C105" s="2" t="s">
        <v>345</v>
      </c>
      <c r="D105" s="2" t="s">
        <v>346</v>
      </c>
      <c r="E105" s="2" t="s">
        <v>14</v>
      </c>
      <c r="F105" s="3">
        <v>46148</v>
      </c>
      <c r="G105" s="4">
        <v>2</v>
      </c>
      <c r="H105" s="3">
        <v>46155</v>
      </c>
      <c r="I105" s="5">
        <v>387.51</v>
      </c>
      <c r="J105" s="2" t="s">
        <v>15</v>
      </c>
      <c r="K105" s="2" t="s">
        <v>557</v>
      </c>
      <c r="N105" s="15"/>
      <c r="O105" s="15">
        <f t="shared" si="21"/>
        <v>46155</v>
      </c>
      <c r="P105" s="16">
        <f t="shared" si="22"/>
        <v>112.81222707423581</v>
      </c>
    </row>
    <row r="106" spans="1:18" hidden="1" outlineLevel="1" x14ac:dyDescent="0.3">
      <c r="A106" s="2" t="s">
        <v>325</v>
      </c>
      <c r="B106" s="2" t="s">
        <v>347</v>
      </c>
      <c r="C106" s="2" t="s">
        <v>348</v>
      </c>
      <c r="D106" s="2" t="s">
        <v>349</v>
      </c>
      <c r="E106" s="2" t="s">
        <v>14</v>
      </c>
      <c r="F106" s="3">
        <v>46148</v>
      </c>
      <c r="G106" s="4">
        <v>2</v>
      </c>
      <c r="H106" s="3">
        <v>46155</v>
      </c>
      <c r="I106" s="5">
        <v>35.4</v>
      </c>
      <c r="J106" s="2" t="s">
        <v>15</v>
      </c>
      <c r="K106" s="2" t="s">
        <v>557</v>
      </c>
      <c r="N106" s="15"/>
      <c r="O106" s="15">
        <f t="shared" si="21"/>
        <v>46155</v>
      </c>
      <c r="P106" s="16">
        <f t="shared" si="22"/>
        <v>10.305676855895197</v>
      </c>
    </row>
    <row r="107" spans="1:18" hidden="1" outlineLevel="1" x14ac:dyDescent="0.3">
      <c r="A107" s="2" t="s">
        <v>325</v>
      </c>
      <c r="B107" s="2" t="s">
        <v>350</v>
      </c>
      <c r="C107" s="2" t="s">
        <v>351</v>
      </c>
      <c r="D107" s="2" t="s">
        <v>352</v>
      </c>
      <c r="E107" s="2" t="s">
        <v>14</v>
      </c>
      <c r="F107" s="3">
        <v>46154</v>
      </c>
      <c r="G107" s="6">
        <v>-4</v>
      </c>
      <c r="H107" s="3">
        <v>46161</v>
      </c>
      <c r="I107" s="5">
        <v>482.86</v>
      </c>
      <c r="J107" s="2" t="s">
        <v>15</v>
      </c>
      <c r="K107" s="2" t="s">
        <v>557</v>
      </c>
      <c r="N107" s="15"/>
      <c r="O107" s="15">
        <f t="shared" si="21"/>
        <v>46161</v>
      </c>
      <c r="P107" s="16">
        <f t="shared" si="22"/>
        <v>140.57059679767104</v>
      </c>
    </row>
    <row r="108" spans="1:18" hidden="1" outlineLevel="1" x14ac:dyDescent="0.3">
      <c r="A108" s="2" t="s">
        <v>325</v>
      </c>
      <c r="B108" s="2" t="s">
        <v>353</v>
      </c>
      <c r="C108" s="2" t="s">
        <v>354</v>
      </c>
      <c r="D108" s="2" t="s">
        <v>355</v>
      </c>
      <c r="E108" s="2" t="s">
        <v>14</v>
      </c>
      <c r="F108" s="3">
        <v>46154</v>
      </c>
      <c r="G108" s="6">
        <v>-4</v>
      </c>
      <c r="H108" s="3">
        <v>46161</v>
      </c>
      <c r="I108" s="5">
        <v>47.2</v>
      </c>
      <c r="J108" s="2" t="s">
        <v>15</v>
      </c>
      <c r="K108" s="2" t="s">
        <v>557</v>
      </c>
      <c r="N108" s="15"/>
      <c r="O108" s="15">
        <f t="shared" si="21"/>
        <v>46161</v>
      </c>
      <c r="P108" s="16">
        <f t="shared" si="22"/>
        <v>13.74090247452693</v>
      </c>
    </row>
    <row r="109" spans="1:18" hidden="1" outlineLevel="1" x14ac:dyDescent="0.3">
      <c r="A109" s="2" t="s">
        <v>356</v>
      </c>
      <c r="B109" s="2" t="s">
        <v>357</v>
      </c>
      <c r="C109" s="2" t="s">
        <v>358</v>
      </c>
      <c r="D109" s="2" t="s">
        <v>359</v>
      </c>
      <c r="E109" s="2" t="s">
        <v>14</v>
      </c>
      <c r="F109" s="3">
        <v>46140</v>
      </c>
      <c r="G109" s="4">
        <v>17</v>
      </c>
      <c r="H109" s="3">
        <v>46140</v>
      </c>
      <c r="I109" s="5">
        <v>59</v>
      </c>
      <c r="J109" s="2" t="s">
        <v>15</v>
      </c>
      <c r="K109" s="2" t="s">
        <v>556</v>
      </c>
      <c r="N109" s="15"/>
      <c r="O109" s="15">
        <f t="shared" si="21"/>
        <v>46140</v>
      </c>
      <c r="P109" s="16">
        <f t="shared" si="22"/>
        <v>17.17612809315866</v>
      </c>
    </row>
    <row r="110" spans="1:18" hidden="1" outlineLevel="1" x14ac:dyDescent="0.3">
      <c r="A110" s="2" t="s">
        <v>356</v>
      </c>
      <c r="B110" s="2" t="s">
        <v>360</v>
      </c>
      <c r="C110" s="2" t="s">
        <v>361</v>
      </c>
      <c r="D110" s="2" t="s">
        <v>362</v>
      </c>
      <c r="E110" s="2" t="s">
        <v>14</v>
      </c>
      <c r="F110" s="3">
        <v>46140</v>
      </c>
      <c r="G110" s="4">
        <v>17</v>
      </c>
      <c r="H110" s="3">
        <v>46140</v>
      </c>
      <c r="I110" s="5">
        <v>716.71</v>
      </c>
      <c r="J110" s="2" t="s">
        <v>15</v>
      </c>
      <c r="K110" s="2" t="s">
        <v>556</v>
      </c>
      <c r="N110" s="15"/>
      <c r="O110" s="15">
        <f t="shared" si="21"/>
        <v>46140</v>
      </c>
      <c r="P110" s="16">
        <f t="shared" si="22"/>
        <v>208.64919941775838</v>
      </c>
    </row>
    <row r="111" spans="1:18" hidden="1" outlineLevel="1" x14ac:dyDescent="0.3">
      <c r="A111" s="2" t="s">
        <v>356</v>
      </c>
      <c r="B111" s="2" t="s">
        <v>363</v>
      </c>
      <c r="C111" s="2" t="s">
        <v>364</v>
      </c>
      <c r="D111" s="2" t="s">
        <v>365</v>
      </c>
      <c r="E111" s="2" t="s">
        <v>14</v>
      </c>
      <c r="F111" s="3">
        <v>46140</v>
      </c>
      <c r="G111" s="4">
        <v>17</v>
      </c>
      <c r="H111" s="3">
        <v>46140</v>
      </c>
      <c r="I111" s="5">
        <v>129.80000000000001</v>
      </c>
      <c r="J111" s="2" t="s">
        <v>15</v>
      </c>
      <c r="K111" s="2" t="s">
        <v>556</v>
      </c>
      <c r="N111" s="15"/>
      <c r="O111" s="15">
        <f t="shared" si="21"/>
        <v>46140</v>
      </c>
      <c r="P111" s="16">
        <f t="shared" si="22"/>
        <v>37.78748180494906</v>
      </c>
    </row>
    <row r="112" spans="1:18" hidden="1" outlineLevel="1" x14ac:dyDescent="0.3">
      <c r="A112" s="2" t="s">
        <v>356</v>
      </c>
      <c r="B112" s="2" t="s">
        <v>366</v>
      </c>
      <c r="C112" s="2" t="s">
        <v>367</v>
      </c>
      <c r="D112" s="2" t="s">
        <v>368</v>
      </c>
      <c r="E112" s="2" t="s">
        <v>118</v>
      </c>
      <c r="F112" s="3">
        <v>46140</v>
      </c>
      <c r="G112" s="4">
        <v>17</v>
      </c>
      <c r="H112" s="3">
        <v>46140</v>
      </c>
      <c r="I112" s="5">
        <v>422.56</v>
      </c>
      <c r="J112" s="2" t="s">
        <v>15</v>
      </c>
      <c r="K112" s="2" t="s">
        <v>556</v>
      </c>
      <c r="N112" s="15"/>
      <c r="O112" s="15">
        <f t="shared" si="21"/>
        <v>46140</v>
      </c>
      <c r="P112" s="16">
        <f t="shared" si="22"/>
        <v>123.0160116448326</v>
      </c>
    </row>
    <row r="113" spans="1:18" hidden="1" outlineLevel="1" x14ac:dyDescent="0.3">
      <c r="A113" s="2" t="s">
        <v>356</v>
      </c>
      <c r="B113" s="2" t="s">
        <v>369</v>
      </c>
      <c r="C113" s="2" t="s">
        <v>370</v>
      </c>
      <c r="D113" s="2" t="s">
        <v>371</v>
      </c>
      <c r="E113" s="2" t="s">
        <v>14</v>
      </c>
      <c r="F113" s="3">
        <v>46154</v>
      </c>
      <c r="G113" s="4">
        <v>3</v>
      </c>
      <c r="H113" s="3">
        <v>46154</v>
      </c>
      <c r="I113" s="5">
        <v>404.98</v>
      </c>
      <c r="J113" s="2" t="s">
        <v>15</v>
      </c>
      <c r="K113" s="2" t="s">
        <v>556</v>
      </c>
      <c r="N113" s="15"/>
      <c r="O113" s="15">
        <f t="shared" si="21"/>
        <v>46154</v>
      </c>
      <c r="P113" s="16">
        <f t="shared" si="22"/>
        <v>117.89810771470161</v>
      </c>
    </row>
    <row r="114" spans="1:18" hidden="1" outlineLevel="1" x14ac:dyDescent="0.3">
      <c r="A114" s="2" t="s">
        <v>356</v>
      </c>
      <c r="B114" s="2" t="s">
        <v>372</v>
      </c>
      <c r="C114" s="2" t="s">
        <v>373</v>
      </c>
      <c r="D114" s="2" t="s">
        <v>374</v>
      </c>
      <c r="E114" s="2" t="s">
        <v>14</v>
      </c>
      <c r="F114" s="3">
        <v>46154</v>
      </c>
      <c r="G114" s="4">
        <v>3</v>
      </c>
      <c r="H114" s="3">
        <v>46154</v>
      </c>
      <c r="I114" s="5">
        <v>59</v>
      </c>
      <c r="J114" s="2" t="s">
        <v>15</v>
      </c>
      <c r="K114" s="2" t="s">
        <v>556</v>
      </c>
      <c r="N114" s="15"/>
      <c r="O114" s="15">
        <f t="shared" si="21"/>
        <v>46154</v>
      </c>
      <c r="P114" s="16">
        <f t="shared" si="22"/>
        <v>17.17612809315866</v>
      </c>
    </row>
    <row r="115" spans="1:18" outlineLevel="1" x14ac:dyDescent="0.3">
      <c r="A115" s="2" t="s">
        <v>375</v>
      </c>
      <c r="B115" s="2" t="s">
        <v>376</v>
      </c>
      <c r="C115" s="2" t="s">
        <v>377</v>
      </c>
      <c r="D115" s="2" t="s">
        <v>378</v>
      </c>
      <c r="E115" s="2" t="s">
        <v>181</v>
      </c>
      <c r="F115" s="3">
        <v>46148</v>
      </c>
      <c r="G115" s="4">
        <v>0</v>
      </c>
      <c r="H115" s="3">
        <v>46173</v>
      </c>
      <c r="I115" s="7">
        <v>-33334</v>
      </c>
      <c r="J115" s="2" t="s">
        <v>65</v>
      </c>
      <c r="K115" s="2" t="s">
        <v>560</v>
      </c>
      <c r="L115" s="15">
        <f t="shared" ref="L115:L121" si="23">F115+45</f>
        <v>46193</v>
      </c>
      <c r="M115" s="17">
        <f t="shared" ref="M115:M121" ca="1" si="24">TODAY()-N115</f>
        <v>12</v>
      </c>
      <c r="N115" s="15">
        <f>F115</f>
        <v>46148</v>
      </c>
      <c r="O115" s="15">
        <f t="shared" ref="O115:O116" si="25">F115</f>
        <v>46148</v>
      </c>
      <c r="P115" s="10">
        <f t="shared" ref="P115:P121" si="26">I115</f>
        <v>-33334</v>
      </c>
      <c r="Q115" s="17">
        <f t="shared" ref="Q115:Q121" ca="1" si="27">TODAY()-F115</f>
        <v>12</v>
      </c>
      <c r="R115" t="s">
        <v>575</v>
      </c>
    </row>
    <row r="116" spans="1:18" outlineLevel="1" x14ac:dyDescent="0.3">
      <c r="A116" s="2" t="s">
        <v>375</v>
      </c>
      <c r="B116" s="2" t="s">
        <v>379</v>
      </c>
      <c r="C116" s="2" t="s">
        <v>380</v>
      </c>
      <c r="D116" s="2" t="s">
        <v>381</v>
      </c>
      <c r="E116" s="2" t="s">
        <v>181</v>
      </c>
      <c r="F116" s="3">
        <v>46148</v>
      </c>
      <c r="G116" s="4">
        <v>0</v>
      </c>
      <c r="H116" s="3">
        <v>46173</v>
      </c>
      <c r="I116" s="7">
        <v>-16692</v>
      </c>
      <c r="J116" s="2" t="s">
        <v>65</v>
      </c>
      <c r="K116" s="2" t="s">
        <v>560</v>
      </c>
      <c r="L116" s="15">
        <f t="shared" si="23"/>
        <v>46193</v>
      </c>
      <c r="M116" s="17">
        <f t="shared" ca="1" si="24"/>
        <v>12</v>
      </c>
      <c r="N116" s="15">
        <f>F116</f>
        <v>46148</v>
      </c>
      <c r="O116" s="15">
        <f t="shared" si="25"/>
        <v>46148</v>
      </c>
      <c r="P116" s="10">
        <f t="shared" si="26"/>
        <v>-16692</v>
      </c>
      <c r="Q116" s="17">
        <f t="shared" ca="1" si="27"/>
        <v>12</v>
      </c>
      <c r="R116" t="s">
        <v>575</v>
      </c>
    </row>
    <row r="117" spans="1:18" hidden="1" outlineLevel="1" x14ac:dyDescent="0.3">
      <c r="A117" s="2" t="s">
        <v>382</v>
      </c>
      <c r="B117" s="2" t="s">
        <v>383</v>
      </c>
      <c r="C117" s="2" t="s">
        <v>384</v>
      </c>
      <c r="D117" s="2" t="s">
        <v>385</v>
      </c>
      <c r="E117" s="2" t="s">
        <v>102</v>
      </c>
      <c r="F117" s="3">
        <v>46110</v>
      </c>
      <c r="G117" s="4">
        <v>2</v>
      </c>
      <c r="H117" s="3">
        <v>46155</v>
      </c>
      <c r="I117" s="5">
        <v>76700</v>
      </c>
      <c r="J117" s="2" t="s">
        <v>65</v>
      </c>
      <c r="K117" s="2" t="s">
        <v>560</v>
      </c>
      <c r="L117" s="15">
        <f t="shared" si="23"/>
        <v>46155</v>
      </c>
      <c r="M117" s="17">
        <f t="shared" ca="1" si="24"/>
        <v>5</v>
      </c>
      <c r="N117" s="15">
        <v>46155</v>
      </c>
      <c r="O117" s="15">
        <v>46163</v>
      </c>
      <c r="P117" s="10">
        <f t="shared" si="26"/>
        <v>76700</v>
      </c>
      <c r="Q117" s="17">
        <f t="shared" ca="1" si="27"/>
        <v>50</v>
      </c>
      <c r="R117" t="s">
        <v>574</v>
      </c>
    </row>
    <row r="118" spans="1:18" hidden="1" outlineLevel="1" x14ac:dyDescent="0.3">
      <c r="A118" s="2" t="s">
        <v>382</v>
      </c>
      <c r="B118" s="2" t="s">
        <v>386</v>
      </c>
      <c r="C118" s="2" t="s">
        <v>387</v>
      </c>
      <c r="D118" s="2" t="s">
        <v>388</v>
      </c>
      <c r="E118" s="2" t="s">
        <v>102</v>
      </c>
      <c r="F118" s="3">
        <v>46124</v>
      </c>
      <c r="G118" s="6">
        <v>-12</v>
      </c>
      <c r="H118" s="3">
        <v>46169</v>
      </c>
      <c r="I118" s="5">
        <v>36400</v>
      </c>
      <c r="J118" s="2" t="s">
        <v>65</v>
      </c>
      <c r="K118" s="2" t="s">
        <v>560</v>
      </c>
      <c r="L118" s="15">
        <f t="shared" si="23"/>
        <v>46169</v>
      </c>
      <c r="M118" s="17">
        <f t="shared" ca="1" si="24"/>
        <v>-9</v>
      </c>
      <c r="N118" s="15">
        <v>46169</v>
      </c>
      <c r="O118" s="15">
        <f t="shared" si="21"/>
        <v>46169</v>
      </c>
      <c r="P118" s="10">
        <f t="shared" si="26"/>
        <v>36400</v>
      </c>
      <c r="Q118" s="17">
        <f t="shared" ca="1" si="27"/>
        <v>36</v>
      </c>
      <c r="R118" t="s">
        <v>575</v>
      </c>
    </row>
    <row r="119" spans="1:18" hidden="1" outlineLevel="1" x14ac:dyDescent="0.3">
      <c r="A119" s="2" t="s">
        <v>382</v>
      </c>
      <c r="B119" s="2" t="s">
        <v>389</v>
      </c>
      <c r="C119" s="2" t="s">
        <v>390</v>
      </c>
      <c r="D119" s="2" t="s">
        <v>391</v>
      </c>
      <c r="E119" s="2" t="s">
        <v>102</v>
      </c>
      <c r="F119" s="3">
        <v>46124</v>
      </c>
      <c r="G119" s="6">
        <v>-27</v>
      </c>
      <c r="H119" s="3">
        <v>46184</v>
      </c>
      <c r="I119" s="5">
        <v>80600</v>
      </c>
      <c r="J119" s="2" t="s">
        <v>65</v>
      </c>
      <c r="K119" s="2" t="s">
        <v>560</v>
      </c>
      <c r="L119" s="15">
        <f t="shared" si="23"/>
        <v>46169</v>
      </c>
      <c r="M119" s="17">
        <f t="shared" ca="1" si="24"/>
        <v>-24</v>
      </c>
      <c r="N119" s="15">
        <v>46184</v>
      </c>
      <c r="O119" s="15">
        <f t="shared" si="21"/>
        <v>46184</v>
      </c>
      <c r="P119" s="10">
        <f t="shared" si="26"/>
        <v>80600</v>
      </c>
      <c r="Q119" s="17">
        <f t="shared" ca="1" si="27"/>
        <v>36</v>
      </c>
      <c r="R119" t="s">
        <v>575</v>
      </c>
    </row>
    <row r="120" spans="1:18" hidden="1" outlineLevel="1" x14ac:dyDescent="0.3">
      <c r="A120" s="2" t="s">
        <v>382</v>
      </c>
      <c r="B120" s="2" t="s">
        <v>392</v>
      </c>
      <c r="C120" s="2" t="s">
        <v>393</v>
      </c>
      <c r="D120" s="2" t="s">
        <v>394</v>
      </c>
      <c r="E120" s="2" t="s">
        <v>102</v>
      </c>
      <c r="F120" s="3">
        <v>46134</v>
      </c>
      <c r="G120" s="6">
        <v>-22</v>
      </c>
      <c r="H120" s="3">
        <v>46179</v>
      </c>
      <c r="I120" s="5">
        <v>36400</v>
      </c>
      <c r="J120" s="2" t="s">
        <v>65</v>
      </c>
      <c r="K120" s="2" t="s">
        <v>560</v>
      </c>
      <c r="L120" s="15">
        <f t="shared" si="23"/>
        <v>46179</v>
      </c>
      <c r="M120" s="17">
        <f t="shared" ca="1" si="24"/>
        <v>-19</v>
      </c>
      <c r="N120" s="15">
        <v>46179</v>
      </c>
      <c r="O120" s="15">
        <f t="shared" si="21"/>
        <v>46179</v>
      </c>
      <c r="P120" s="10">
        <f t="shared" si="26"/>
        <v>36400</v>
      </c>
      <c r="Q120" s="17">
        <f t="shared" ca="1" si="27"/>
        <v>26</v>
      </c>
      <c r="R120" t="s">
        <v>575</v>
      </c>
    </row>
    <row r="121" spans="1:18" hidden="1" outlineLevel="1" x14ac:dyDescent="0.3">
      <c r="A121" s="2" t="s">
        <v>382</v>
      </c>
      <c r="B121" s="2" t="s">
        <v>395</v>
      </c>
      <c r="C121" s="2" t="s">
        <v>396</v>
      </c>
      <c r="D121" s="2" t="s">
        <v>397</v>
      </c>
      <c r="E121" s="2" t="s">
        <v>102</v>
      </c>
      <c r="F121" s="3">
        <v>46139</v>
      </c>
      <c r="G121" s="6">
        <v>-27</v>
      </c>
      <c r="H121" s="3">
        <v>46184</v>
      </c>
      <c r="I121" s="5">
        <v>36400</v>
      </c>
      <c r="J121" s="2" t="s">
        <v>65</v>
      </c>
      <c r="K121" s="2" t="s">
        <v>560</v>
      </c>
      <c r="L121" s="15">
        <f t="shared" si="23"/>
        <v>46184</v>
      </c>
      <c r="M121" s="17">
        <f t="shared" ca="1" si="24"/>
        <v>-24</v>
      </c>
      <c r="N121" s="15">
        <v>46184</v>
      </c>
      <c r="O121" s="15">
        <f t="shared" si="21"/>
        <v>46184</v>
      </c>
      <c r="P121" s="10">
        <f t="shared" si="26"/>
        <v>36400</v>
      </c>
      <c r="Q121" s="17">
        <f t="shared" ca="1" si="27"/>
        <v>21</v>
      </c>
      <c r="R121" t="s">
        <v>575</v>
      </c>
    </row>
    <row r="122" spans="1:18" hidden="1" outlineLevel="1" x14ac:dyDescent="0.3">
      <c r="A122" s="2" t="s">
        <v>398</v>
      </c>
      <c r="B122" s="2" t="s">
        <v>399</v>
      </c>
      <c r="C122" s="2" t="s">
        <v>400</v>
      </c>
      <c r="D122" s="2" t="s">
        <v>401</v>
      </c>
      <c r="E122" s="2" t="s">
        <v>118</v>
      </c>
      <c r="F122" s="3">
        <v>45951</v>
      </c>
      <c r="G122" s="4">
        <v>206</v>
      </c>
      <c r="H122" s="3">
        <v>45951</v>
      </c>
      <c r="I122" s="5">
        <v>4460</v>
      </c>
      <c r="J122" s="2" t="s">
        <v>15</v>
      </c>
      <c r="K122" s="2" t="s">
        <v>558</v>
      </c>
      <c r="N122" s="15"/>
      <c r="O122" s="15">
        <f>H122</f>
        <v>45951</v>
      </c>
      <c r="P122" s="16">
        <f>I122/3.435</f>
        <v>1298.3988355167394</v>
      </c>
    </row>
    <row r="123" spans="1:18" hidden="1" outlineLevel="1" x14ac:dyDescent="0.3">
      <c r="A123" s="2" t="s">
        <v>398</v>
      </c>
      <c r="B123" s="2" t="s">
        <v>402</v>
      </c>
      <c r="C123" s="2" t="s">
        <v>403</v>
      </c>
      <c r="D123" s="2" t="s">
        <v>404</v>
      </c>
      <c r="E123" s="2" t="s">
        <v>14</v>
      </c>
      <c r="F123" s="3">
        <v>45965</v>
      </c>
      <c r="G123" s="4">
        <v>185</v>
      </c>
      <c r="H123" s="3">
        <v>45972</v>
      </c>
      <c r="I123" s="5">
        <v>7097.98</v>
      </c>
      <c r="J123" s="2" t="s">
        <v>15</v>
      </c>
      <c r="K123" s="2" t="s">
        <v>558</v>
      </c>
      <c r="N123" s="15"/>
      <c r="O123" s="15">
        <f t="shared" ref="O123:O137" si="28">H123</f>
        <v>45972</v>
      </c>
      <c r="P123" s="16">
        <f t="shared" ref="P123:P137" si="29">I123/3.435</f>
        <v>2066.3697234352253</v>
      </c>
    </row>
    <row r="124" spans="1:18" hidden="1" outlineLevel="1" x14ac:dyDescent="0.3">
      <c r="A124" s="2" t="s">
        <v>398</v>
      </c>
      <c r="B124" s="2" t="s">
        <v>405</v>
      </c>
      <c r="C124" s="2" t="s">
        <v>406</v>
      </c>
      <c r="D124" s="2" t="s">
        <v>407</v>
      </c>
      <c r="E124" s="2" t="s">
        <v>14</v>
      </c>
      <c r="F124" s="3">
        <v>46053</v>
      </c>
      <c r="G124" s="4">
        <v>97</v>
      </c>
      <c r="H124" s="3">
        <v>46060</v>
      </c>
      <c r="I124" s="5">
        <v>4003.46</v>
      </c>
      <c r="J124" s="2" t="s">
        <v>15</v>
      </c>
      <c r="K124" s="2" t="s">
        <v>558</v>
      </c>
      <c r="N124" s="15"/>
      <c r="O124" s="15">
        <f t="shared" si="28"/>
        <v>46060</v>
      </c>
      <c r="P124" s="16">
        <f t="shared" si="29"/>
        <v>1165.490538573508</v>
      </c>
    </row>
    <row r="125" spans="1:18" hidden="1" outlineLevel="1" x14ac:dyDescent="0.3">
      <c r="A125" s="2" t="s">
        <v>398</v>
      </c>
      <c r="B125" s="2" t="s">
        <v>408</v>
      </c>
      <c r="C125" s="2" t="s">
        <v>409</v>
      </c>
      <c r="D125" s="2" t="s">
        <v>410</v>
      </c>
      <c r="E125" s="2" t="s">
        <v>14</v>
      </c>
      <c r="F125" s="3">
        <v>46084</v>
      </c>
      <c r="G125" s="4">
        <v>66</v>
      </c>
      <c r="H125" s="3">
        <v>46091</v>
      </c>
      <c r="I125" s="5">
        <v>4956</v>
      </c>
      <c r="J125" s="2" t="s">
        <v>15</v>
      </c>
      <c r="K125" s="2" t="s">
        <v>558</v>
      </c>
      <c r="N125" s="15"/>
      <c r="O125" s="15">
        <f t="shared" si="28"/>
        <v>46091</v>
      </c>
      <c r="P125" s="16">
        <f t="shared" si="29"/>
        <v>1442.7947598253274</v>
      </c>
    </row>
    <row r="126" spans="1:18" hidden="1" outlineLevel="1" x14ac:dyDescent="0.3">
      <c r="A126" s="2" t="s">
        <v>411</v>
      </c>
      <c r="B126" s="2" t="s">
        <v>412</v>
      </c>
      <c r="C126" s="2" t="s">
        <v>413</v>
      </c>
      <c r="D126" s="2" t="s">
        <v>414</v>
      </c>
      <c r="E126" s="2" t="s">
        <v>14</v>
      </c>
      <c r="F126" s="3">
        <v>46144</v>
      </c>
      <c r="G126" s="4">
        <v>6</v>
      </c>
      <c r="H126" s="3">
        <v>46151</v>
      </c>
      <c r="I126" s="5">
        <v>427.21</v>
      </c>
      <c r="J126" s="2" t="s">
        <v>15</v>
      </c>
      <c r="K126" s="2" t="s">
        <v>556</v>
      </c>
      <c r="N126" s="15"/>
      <c r="O126" s="15">
        <f t="shared" si="28"/>
        <v>46151</v>
      </c>
      <c r="P126" s="16">
        <f t="shared" si="29"/>
        <v>124.36972343522561</v>
      </c>
    </row>
    <row r="127" spans="1:18" hidden="1" outlineLevel="1" x14ac:dyDescent="0.3">
      <c r="A127" s="2" t="s">
        <v>411</v>
      </c>
      <c r="B127" s="2" t="s">
        <v>415</v>
      </c>
      <c r="C127" s="2" t="s">
        <v>416</v>
      </c>
      <c r="D127" s="2" t="s">
        <v>417</v>
      </c>
      <c r="E127" s="2" t="s">
        <v>14</v>
      </c>
      <c r="F127" s="3">
        <v>46144</v>
      </c>
      <c r="G127" s="4">
        <v>6</v>
      </c>
      <c r="H127" s="3">
        <v>46151</v>
      </c>
      <c r="I127" s="5">
        <v>153.4</v>
      </c>
      <c r="J127" s="2" t="s">
        <v>15</v>
      </c>
      <c r="K127" s="2" t="s">
        <v>556</v>
      </c>
      <c r="N127" s="15"/>
      <c r="O127" s="15">
        <f t="shared" si="28"/>
        <v>46151</v>
      </c>
      <c r="P127" s="16">
        <f t="shared" si="29"/>
        <v>44.65793304221252</v>
      </c>
    </row>
    <row r="128" spans="1:18" hidden="1" outlineLevel="1" x14ac:dyDescent="0.3">
      <c r="A128" s="2" t="s">
        <v>411</v>
      </c>
      <c r="B128" s="2" t="s">
        <v>418</v>
      </c>
      <c r="C128" s="2" t="s">
        <v>419</v>
      </c>
      <c r="D128" s="2" t="s">
        <v>420</v>
      </c>
      <c r="E128" s="2" t="s">
        <v>14</v>
      </c>
      <c r="F128" s="3">
        <v>46146</v>
      </c>
      <c r="G128" s="4">
        <v>4</v>
      </c>
      <c r="H128" s="3">
        <v>46153</v>
      </c>
      <c r="I128" s="5">
        <v>903.31</v>
      </c>
      <c r="J128" s="2" t="s">
        <v>15</v>
      </c>
      <c r="K128" s="2" t="s">
        <v>556</v>
      </c>
      <c r="N128" s="15"/>
      <c r="O128" s="15">
        <f t="shared" si="28"/>
        <v>46153</v>
      </c>
      <c r="P128" s="16">
        <f t="shared" si="29"/>
        <v>262.97234352256186</v>
      </c>
    </row>
    <row r="129" spans="1:18" hidden="1" outlineLevel="1" x14ac:dyDescent="0.3">
      <c r="A129" s="2" t="s">
        <v>411</v>
      </c>
      <c r="B129" s="2" t="s">
        <v>421</v>
      </c>
      <c r="C129" s="2" t="s">
        <v>422</v>
      </c>
      <c r="D129" s="2" t="s">
        <v>423</v>
      </c>
      <c r="E129" s="2" t="s">
        <v>14</v>
      </c>
      <c r="F129" s="3">
        <v>46146</v>
      </c>
      <c r="G129" s="4">
        <v>4</v>
      </c>
      <c r="H129" s="3">
        <v>46153</v>
      </c>
      <c r="I129" s="5">
        <v>247.8</v>
      </c>
      <c r="J129" s="2" t="s">
        <v>15</v>
      </c>
      <c r="K129" s="2" t="s">
        <v>556</v>
      </c>
      <c r="N129" s="15"/>
      <c r="O129" s="15">
        <f t="shared" si="28"/>
        <v>46153</v>
      </c>
      <c r="P129" s="16">
        <f t="shared" si="29"/>
        <v>72.139737991266372</v>
      </c>
    </row>
    <row r="130" spans="1:18" hidden="1" outlineLevel="1" x14ac:dyDescent="0.3">
      <c r="A130" s="2" t="s">
        <v>411</v>
      </c>
      <c r="B130" s="2" t="s">
        <v>424</v>
      </c>
      <c r="C130" s="2" t="s">
        <v>425</v>
      </c>
      <c r="D130" s="2" t="s">
        <v>426</v>
      </c>
      <c r="E130" s="2" t="s">
        <v>14</v>
      </c>
      <c r="F130" s="3">
        <v>46149</v>
      </c>
      <c r="G130" s="4">
        <v>1</v>
      </c>
      <c r="H130" s="3">
        <v>46156</v>
      </c>
      <c r="I130" s="5">
        <v>330.4</v>
      </c>
      <c r="J130" s="2" t="s">
        <v>15</v>
      </c>
      <c r="K130" s="2" t="s">
        <v>556</v>
      </c>
      <c r="N130" s="15"/>
      <c r="O130" s="15">
        <f t="shared" si="28"/>
        <v>46156</v>
      </c>
      <c r="P130" s="16">
        <f t="shared" si="29"/>
        <v>96.186317321688492</v>
      </c>
    </row>
    <row r="131" spans="1:18" hidden="1" outlineLevel="1" x14ac:dyDescent="0.3">
      <c r="A131" s="2" t="s">
        <v>411</v>
      </c>
      <c r="B131" s="2" t="s">
        <v>427</v>
      </c>
      <c r="C131" s="2" t="s">
        <v>428</v>
      </c>
      <c r="D131" s="2" t="s">
        <v>429</v>
      </c>
      <c r="E131" s="2" t="s">
        <v>14</v>
      </c>
      <c r="F131" s="3">
        <v>46149</v>
      </c>
      <c r="G131" s="4">
        <v>1</v>
      </c>
      <c r="H131" s="3">
        <v>46156</v>
      </c>
      <c r="I131" s="5">
        <v>1130.96</v>
      </c>
      <c r="J131" s="2" t="s">
        <v>15</v>
      </c>
      <c r="K131" s="2" t="s">
        <v>556</v>
      </c>
      <c r="N131" s="15"/>
      <c r="O131" s="15">
        <f t="shared" si="28"/>
        <v>46156</v>
      </c>
      <c r="P131" s="16">
        <f t="shared" si="29"/>
        <v>329.24599708879185</v>
      </c>
    </row>
    <row r="132" spans="1:18" hidden="1" outlineLevel="1" x14ac:dyDescent="0.3">
      <c r="A132" s="2" t="s">
        <v>411</v>
      </c>
      <c r="B132" s="2" t="s">
        <v>430</v>
      </c>
      <c r="C132" s="2" t="s">
        <v>431</v>
      </c>
      <c r="D132" s="2" t="s">
        <v>432</v>
      </c>
      <c r="E132" s="2" t="s">
        <v>14</v>
      </c>
      <c r="F132" s="3">
        <v>46150</v>
      </c>
      <c r="G132" s="4">
        <v>0</v>
      </c>
      <c r="H132" s="3">
        <v>46157</v>
      </c>
      <c r="I132" s="5">
        <v>194.7</v>
      </c>
      <c r="J132" s="2" t="s">
        <v>15</v>
      </c>
      <c r="K132" s="2" t="s">
        <v>556</v>
      </c>
      <c r="N132" s="15"/>
      <c r="O132" s="15">
        <f t="shared" si="28"/>
        <v>46157</v>
      </c>
      <c r="P132" s="16">
        <f t="shared" si="29"/>
        <v>56.681222707423579</v>
      </c>
    </row>
    <row r="133" spans="1:18" hidden="1" outlineLevel="1" x14ac:dyDescent="0.3">
      <c r="A133" s="2" t="s">
        <v>411</v>
      </c>
      <c r="B133" s="2" t="s">
        <v>433</v>
      </c>
      <c r="C133" s="2" t="s">
        <v>434</v>
      </c>
      <c r="D133" s="2" t="s">
        <v>435</v>
      </c>
      <c r="E133" s="2" t="s">
        <v>14</v>
      </c>
      <c r="F133" s="3">
        <v>46150</v>
      </c>
      <c r="G133" s="4">
        <v>0</v>
      </c>
      <c r="H133" s="3">
        <v>46157</v>
      </c>
      <c r="I133" s="5">
        <v>807.5</v>
      </c>
      <c r="J133" s="2" t="s">
        <v>15</v>
      </c>
      <c r="K133" s="2" t="s">
        <v>556</v>
      </c>
      <c r="N133" s="15"/>
      <c r="O133" s="15">
        <f t="shared" si="28"/>
        <v>46157</v>
      </c>
      <c r="P133" s="16">
        <f t="shared" si="29"/>
        <v>235.08005822416303</v>
      </c>
    </row>
    <row r="134" spans="1:18" hidden="1" outlineLevel="1" x14ac:dyDescent="0.3">
      <c r="A134" s="2" t="s">
        <v>411</v>
      </c>
      <c r="B134" s="2" t="s">
        <v>436</v>
      </c>
      <c r="C134" s="2" t="s">
        <v>437</v>
      </c>
      <c r="D134" s="2" t="s">
        <v>438</v>
      </c>
      <c r="E134" s="2" t="s">
        <v>14</v>
      </c>
      <c r="F134" s="3">
        <v>46154</v>
      </c>
      <c r="G134" s="6">
        <v>-4</v>
      </c>
      <c r="H134" s="3">
        <v>46161</v>
      </c>
      <c r="I134" s="5">
        <v>666.42</v>
      </c>
      <c r="J134" s="2" t="s">
        <v>15</v>
      </c>
      <c r="K134" s="2" t="s">
        <v>556</v>
      </c>
      <c r="N134" s="15"/>
      <c r="O134" s="15">
        <f t="shared" si="28"/>
        <v>46161</v>
      </c>
      <c r="P134" s="16">
        <f t="shared" si="29"/>
        <v>194.00873362445412</v>
      </c>
    </row>
    <row r="135" spans="1:18" hidden="1" outlineLevel="1" x14ac:dyDescent="0.3">
      <c r="A135" s="2" t="s">
        <v>411</v>
      </c>
      <c r="B135" s="2" t="s">
        <v>439</v>
      </c>
      <c r="C135" s="2" t="s">
        <v>440</v>
      </c>
      <c r="D135" s="2" t="s">
        <v>441</v>
      </c>
      <c r="E135" s="2" t="s">
        <v>14</v>
      </c>
      <c r="F135" s="3">
        <v>46154</v>
      </c>
      <c r="G135" s="6">
        <v>-4</v>
      </c>
      <c r="H135" s="3">
        <v>46161</v>
      </c>
      <c r="I135" s="5">
        <v>194.7</v>
      </c>
      <c r="J135" s="2" t="s">
        <v>15</v>
      </c>
      <c r="K135" s="2" t="s">
        <v>556</v>
      </c>
      <c r="N135" s="15"/>
      <c r="O135" s="15">
        <f t="shared" si="28"/>
        <v>46161</v>
      </c>
      <c r="P135" s="16">
        <f t="shared" si="29"/>
        <v>56.681222707423579</v>
      </c>
    </row>
    <row r="136" spans="1:18" hidden="1" outlineLevel="1" x14ac:dyDescent="0.3">
      <c r="A136" s="2" t="s">
        <v>411</v>
      </c>
      <c r="B136" s="2" t="s">
        <v>442</v>
      </c>
      <c r="C136" s="2" t="s">
        <v>443</v>
      </c>
      <c r="D136" s="2" t="s">
        <v>444</v>
      </c>
      <c r="E136" s="2" t="s">
        <v>14</v>
      </c>
      <c r="F136" s="3">
        <v>46156</v>
      </c>
      <c r="G136" s="6">
        <v>-6</v>
      </c>
      <c r="H136" s="3">
        <v>46163</v>
      </c>
      <c r="I136" s="5">
        <v>1906.41</v>
      </c>
      <c r="J136" s="2" t="s">
        <v>15</v>
      </c>
      <c r="K136" s="2" t="s">
        <v>556</v>
      </c>
      <c r="N136" s="15"/>
      <c r="O136" s="15">
        <f t="shared" si="28"/>
        <v>46163</v>
      </c>
      <c r="P136" s="16">
        <f t="shared" si="29"/>
        <v>554.99563318777291</v>
      </c>
    </row>
    <row r="137" spans="1:18" hidden="1" outlineLevel="1" x14ac:dyDescent="0.3">
      <c r="A137" s="2" t="s">
        <v>411</v>
      </c>
      <c r="B137" s="2" t="s">
        <v>445</v>
      </c>
      <c r="C137" s="2" t="s">
        <v>446</v>
      </c>
      <c r="D137" s="2" t="s">
        <v>447</v>
      </c>
      <c r="E137" s="2" t="s">
        <v>14</v>
      </c>
      <c r="F137" s="3">
        <v>46156</v>
      </c>
      <c r="G137" s="6">
        <v>-6</v>
      </c>
      <c r="H137" s="3">
        <v>46163</v>
      </c>
      <c r="I137" s="5">
        <v>566.4</v>
      </c>
      <c r="J137" s="2" t="s">
        <v>15</v>
      </c>
      <c r="K137" s="2" t="s">
        <v>556</v>
      </c>
      <c r="N137" s="15"/>
      <c r="O137" s="15">
        <f t="shared" si="28"/>
        <v>46163</v>
      </c>
      <c r="P137" s="16">
        <f t="shared" si="29"/>
        <v>164.89082969432314</v>
      </c>
    </row>
    <row r="138" spans="1:18" outlineLevel="1" x14ac:dyDescent="0.3">
      <c r="A138" s="2" t="s">
        <v>448</v>
      </c>
      <c r="B138" s="2" t="s">
        <v>449</v>
      </c>
      <c r="C138" s="2" t="s">
        <v>450</v>
      </c>
      <c r="D138" s="2" t="s">
        <v>451</v>
      </c>
      <c r="E138" s="2" t="s">
        <v>118</v>
      </c>
      <c r="F138" s="3">
        <v>46134</v>
      </c>
      <c r="G138" s="4">
        <v>0</v>
      </c>
      <c r="H138" s="3">
        <v>46134</v>
      </c>
      <c r="I138" s="7">
        <v>-7645</v>
      </c>
      <c r="J138" s="2" t="s">
        <v>65</v>
      </c>
      <c r="K138" s="2" t="s">
        <v>560</v>
      </c>
      <c r="L138" s="15">
        <f>F138+45</f>
        <v>46179</v>
      </c>
      <c r="M138" s="17">
        <f ca="1">TODAY()-N138</f>
        <v>26</v>
      </c>
      <c r="N138" s="15">
        <f>F138</f>
        <v>46134</v>
      </c>
      <c r="O138" s="15">
        <f>F138</f>
        <v>46134</v>
      </c>
      <c r="P138" s="10">
        <f>I138</f>
        <v>-7645</v>
      </c>
      <c r="Q138" s="17">
        <f ca="1">TODAY()-F138</f>
        <v>26</v>
      </c>
      <c r="R138" t="s">
        <v>575</v>
      </c>
    </row>
    <row r="139" spans="1:18" hidden="1" outlineLevel="1" x14ac:dyDescent="0.3">
      <c r="A139" s="2" t="s">
        <v>452</v>
      </c>
      <c r="B139" s="2" t="s">
        <v>453</v>
      </c>
      <c r="C139" s="2" t="s">
        <v>454</v>
      </c>
      <c r="D139" s="2" t="s">
        <v>455</v>
      </c>
      <c r="E139" s="2" t="s">
        <v>14</v>
      </c>
      <c r="F139" s="3">
        <v>45937</v>
      </c>
      <c r="G139" s="4">
        <v>213</v>
      </c>
      <c r="H139" s="3">
        <v>45944</v>
      </c>
      <c r="I139" s="5">
        <v>790</v>
      </c>
      <c r="J139" s="2" t="s">
        <v>15</v>
      </c>
      <c r="K139" s="2" t="s">
        <v>559</v>
      </c>
      <c r="N139" s="15"/>
      <c r="O139" s="15">
        <f>H139</f>
        <v>45944</v>
      </c>
      <c r="P139" s="16">
        <f>I139/3.435</f>
        <v>229.98544395924307</v>
      </c>
    </row>
    <row r="140" spans="1:18" hidden="1" outlineLevel="1" x14ac:dyDescent="0.3">
      <c r="A140" s="2" t="s">
        <v>456</v>
      </c>
      <c r="B140" s="2" t="s">
        <v>457</v>
      </c>
      <c r="C140" s="2" t="s">
        <v>458</v>
      </c>
      <c r="D140" s="2" t="s">
        <v>459</v>
      </c>
      <c r="E140" s="2" t="s">
        <v>118</v>
      </c>
      <c r="F140" s="3">
        <v>46141</v>
      </c>
      <c r="G140" s="4">
        <v>16</v>
      </c>
      <c r="H140" s="3">
        <v>46141</v>
      </c>
      <c r="I140" s="5">
        <v>123265</v>
      </c>
      <c r="J140" s="2" t="s">
        <v>65</v>
      </c>
      <c r="K140" s="2" t="s">
        <v>560</v>
      </c>
      <c r="L140" s="15">
        <f t="shared" ref="L140:L142" si="30">F140+45</f>
        <v>46186</v>
      </c>
      <c r="M140" s="17">
        <f t="shared" ref="M140:M142" ca="1" si="31">TODAY()-N140</f>
        <v>-26</v>
      </c>
      <c r="N140" s="15">
        <v>46186</v>
      </c>
      <c r="O140" s="15">
        <v>46186</v>
      </c>
      <c r="P140" s="10">
        <f t="shared" ref="P140:P142" si="32">I140</f>
        <v>123265</v>
      </c>
      <c r="Q140" s="17">
        <f t="shared" ref="Q140:Q142" ca="1" si="33">TODAY()-F140</f>
        <v>19</v>
      </c>
      <c r="R140" t="s">
        <v>575</v>
      </c>
    </row>
    <row r="141" spans="1:18" hidden="1" outlineLevel="1" x14ac:dyDescent="0.3">
      <c r="A141" s="2" t="s">
        <v>456</v>
      </c>
      <c r="B141" s="2" t="s">
        <v>460</v>
      </c>
      <c r="C141" s="2" t="s">
        <v>461</v>
      </c>
      <c r="D141" s="2" t="s">
        <v>462</v>
      </c>
      <c r="E141" s="2" t="s">
        <v>118</v>
      </c>
      <c r="F141" s="3">
        <v>46141</v>
      </c>
      <c r="G141" s="4">
        <v>16</v>
      </c>
      <c r="H141" s="3">
        <v>46141</v>
      </c>
      <c r="I141" s="5">
        <v>162355</v>
      </c>
      <c r="J141" s="2" t="s">
        <v>65</v>
      </c>
      <c r="K141" s="2" t="s">
        <v>560</v>
      </c>
      <c r="L141" s="15">
        <f t="shared" si="30"/>
        <v>46186</v>
      </c>
      <c r="M141" s="17">
        <f t="shared" ca="1" si="31"/>
        <v>-26</v>
      </c>
      <c r="N141" s="15">
        <v>46186</v>
      </c>
      <c r="O141" s="15">
        <v>46186</v>
      </c>
      <c r="P141" s="10">
        <f t="shared" si="32"/>
        <v>162355</v>
      </c>
      <c r="Q141" s="17">
        <f t="shared" ca="1" si="33"/>
        <v>19</v>
      </c>
      <c r="R141" t="s">
        <v>575</v>
      </c>
    </row>
    <row r="142" spans="1:18" hidden="1" outlineLevel="1" x14ac:dyDescent="0.3">
      <c r="A142" s="2" t="s">
        <v>456</v>
      </c>
      <c r="B142" s="2" t="s">
        <v>463</v>
      </c>
      <c r="C142" s="2" t="s">
        <v>464</v>
      </c>
      <c r="D142" s="2" t="s">
        <v>465</v>
      </c>
      <c r="E142" s="2" t="s">
        <v>118</v>
      </c>
      <c r="F142" s="3">
        <v>46142</v>
      </c>
      <c r="G142" s="4">
        <v>15</v>
      </c>
      <c r="H142" s="3">
        <v>46142</v>
      </c>
      <c r="I142" s="5">
        <v>77257</v>
      </c>
      <c r="J142" s="2" t="s">
        <v>65</v>
      </c>
      <c r="K142" s="2" t="s">
        <v>560</v>
      </c>
      <c r="L142" s="15">
        <f t="shared" si="30"/>
        <v>46187</v>
      </c>
      <c r="M142" s="17">
        <f t="shared" ca="1" si="31"/>
        <v>-24</v>
      </c>
      <c r="N142" s="15">
        <v>46184</v>
      </c>
      <c r="O142" s="15">
        <v>46186</v>
      </c>
      <c r="P142" s="10">
        <f t="shared" si="32"/>
        <v>77257</v>
      </c>
      <c r="Q142" s="17">
        <f t="shared" ca="1" si="33"/>
        <v>18</v>
      </c>
      <c r="R142" t="s">
        <v>575</v>
      </c>
    </row>
    <row r="143" spans="1:18" hidden="1" outlineLevel="1" x14ac:dyDescent="0.3">
      <c r="A143" s="2" t="s">
        <v>466</v>
      </c>
      <c r="B143" s="2" t="s">
        <v>467</v>
      </c>
      <c r="C143" s="2" t="s">
        <v>468</v>
      </c>
      <c r="D143" s="2" t="s">
        <v>469</v>
      </c>
      <c r="E143" s="2" t="s">
        <v>14</v>
      </c>
      <c r="F143" s="3">
        <v>46154</v>
      </c>
      <c r="G143" s="6">
        <v>-4</v>
      </c>
      <c r="H143" s="3">
        <v>46161</v>
      </c>
      <c r="I143" s="5">
        <v>590</v>
      </c>
      <c r="J143" s="2" t="s">
        <v>15</v>
      </c>
      <c r="K143" s="2" t="s">
        <v>556</v>
      </c>
      <c r="N143" s="15"/>
      <c r="O143" s="15">
        <f t="shared" ref="O143:O148" si="34">H143</f>
        <v>46161</v>
      </c>
      <c r="P143" s="16">
        <f t="shared" ref="P143:P145" si="35">I143/3.435</f>
        <v>171.76128093158661</v>
      </c>
    </row>
    <row r="144" spans="1:18" hidden="1" outlineLevel="1" x14ac:dyDescent="0.3">
      <c r="A144" s="2" t="s">
        <v>466</v>
      </c>
      <c r="B144" s="2" t="s">
        <v>470</v>
      </c>
      <c r="C144" s="2" t="s">
        <v>471</v>
      </c>
      <c r="D144" s="2" t="s">
        <v>472</v>
      </c>
      <c r="E144" s="2" t="s">
        <v>14</v>
      </c>
      <c r="F144" s="3">
        <v>46155</v>
      </c>
      <c r="G144" s="6">
        <v>-5</v>
      </c>
      <c r="H144" s="3">
        <v>46162</v>
      </c>
      <c r="I144" s="5">
        <v>590</v>
      </c>
      <c r="J144" s="2" t="s">
        <v>15</v>
      </c>
      <c r="K144" s="2" t="s">
        <v>556</v>
      </c>
      <c r="N144" s="15"/>
      <c r="O144" s="15">
        <f t="shared" si="34"/>
        <v>46162</v>
      </c>
      <c r="P144" s="16">
        <f t="shared" si="35"/>
        <v>171.76128093158661</v>
      </c>
    </row>
    <row r="145" spans="1:18" hidden="1" outlineLevel="1" x14ac:dyDescent="0.3">
      <c r="A145" s="2" t="s">
        <v>466</v>
      </c>
      <c r="B145" s="2" t="s">
        <v>473</v>
      </c>
      <c r="C145" s="2" t="s">
        <v>474</v>
      </c>
      <c r="D145" s="2" t="s">
        <v>475</v>
      </c>
      <c r="E145" s="2" t="s">
        <v>14</v>
      </c>
      <c r="F145" s="3">
        <v>46157</v>
      </c>
      <c r="G145" s="6">
        <v>-7</v>
      </c>
      <c r="H145" s="3">
        <v>46164</v>
      </c>
      <c r="I145" s="5">
        <v>590</v>
      </c>
      <c r="J145" s="2" t="s">
        <v>15</v>
      </c>
      <c r="K145" s="2" t="s">
        <v>556</v>
      </c>
      <c r="N145" s="15"/>
      <c r="O145" s="15">
        <f t="shared" si="34"/>
        <v>46164</v>
      </c>
      <c r="P145" s="16">
        <f t="shared" si="35"/>
        <v>171.76128093158661</v>
      </c>
    </row>
    <row r="146" spans="1:18" hidden="1" outlineLevel="1" x14ac:dyDescent="0.3">
      <c r="A146" s="2" t="s">
        <v>476</v>
      </c>
      <c r="B146" s="2" t="s">
        <v>477</v>
      </c>
      <c r="C146" s="2" t="s">
        <v>478</v>
      </c>
      <c r="D146" s="2" t="s">
        <v>479</v>
      </c>
      <c r="E146" s="2" t="s">
        <v>118</v>
      </c>
      <c r="F146" s="3">
        <v>46139</v>
      </c>
      <c r="G146" s="4">
        <v>18</v>
      </c>
      <c r="H146" s="3">
        <v>46139</v>
      </c>
      <c r="I146" s="5">
        <v>116670</v>
      </c>
      <c r="J146" s="2" t="s">
        <v>65</v>
      </c>
      <c r="K146" s="2" t="s">
        <v>560</v>
      </c>
      <c r="L146" s="15">
        <f t="shared" ref="L146:L148" si="36">F146+45</f>
        <v>46184</v>
      </c>
      <c r="M146" s="17">
        <f t="shared" ref="M146:M148" ca="1" si="37">TODAY()-N146</f>
        <v>-24</v>
      </c>
      <c r="N146" s="15">
        <v>46184</v>
      </c>
      <c r="O146" s="15">
        <v>46184</v>
      </c>
      <c r="P146" s="10">
        <f t="shared" ref="P146:P148" si="38">I146</f>
        <v>116670</v>
      </c>
      <c r="Q146" s="17">
        <f t="shared" ref="Q146:Q148" ca="1" si="39">TODAY()-F146</f>
        <v>21</v>
      </c>
      <c r="R146" t="s">
        <v>575</v>
      </c>
    </row>
    <row r="147" spans="1:18" hidden="1" outlineLevel="1" x14ac:dyDescent="0.3">
      <c r="A147" s="2" t="s">
        <v>480</v>
      </c>
      <c r="B147" s="2" t="s">
        <v>481</v>
      </c>
      <c r="C147" s="2" t="s">
        <v>482</v>
      </c>
      <c r="D147" s="2" t="s">
        <v>483</v>
      </c>
      <c r="E147" s="2" t="s">
        <v>118</v>
      </c>
      <c r="F147" s="3">
        <v>46141</v>
      </c>
      <c r="G147" s="4">
        <v>16</v>
      </c>
      <c r="H147" s="3">
        <v>46141</v>
      </c>
      <c r="I147" s="5">
        <v>56785</v>
      </c>
      <c r="J147" s="2" t="s">
        <v>65</v>
      </c>
      <c r="K147" s="2" t="s">
        <v>560</v>
      </c>
      <c r="L147" s="15">
        <f t="shared" si="36"/>
        <v>46186</v>
      </c>
      <c r="M147" s="17">
        <f t="shared" ca="1" si="37"/>
        <v>-26</v>
      </c>
      <c r="N147" s="15">
        <v>46186</v>
      </c>
      <c r="O147" s="15">
        <v>46186</v>
      </c>
      <c r="P147" s="10">
        <f t="shared" si="38"/>
        <v>56785</v>
      </c>
      <c r="Q147" s="17">
        <f t="shared" ca="1" si="39"/>
        <v>19</v>
      </c>
      <c r="R147" t="s">
        <v>575</v>
      </c>
    </row>
    <row r="148" spans="1:18" outlineLevel="1" x14ac:dyDescent="0.3">
      <c r="A148" s="2" t="s">
        <v>480</v>
      </c>
      <c r="B148" s="2" t="s">
        <v>484</v>
      </c>
      <c r="C148" s="2" t="s">
        <v>485</v>
      </c>
      <c r="D148" s="2" t="s">
        <v>486</v>
      </c>
      <c r="E148" s="2" t="s">
        <v>181</v>
      </c>
      <c r="F148" s="3">
        <v>46150</v>
      </c>
      <c r="G148" s="4">
        <v>0</v>
      </c>
      <c r="H148" s="3">
        <v>46173</v>
      </c>
      <c r="I148" s="7">
        <v>-23675</v>
      </c>
      <c r="J148" s="2" t="s">
        <v>65</v>
      </c>
      <c r="K148" s="2" t="s">
        <v>560</v>
      </c>
      <c r="L148" s="15">
        <f t="shared" si="36"/>
        <v>46195</v>
      </c>
      <c r="M148" s="17">
        <f t="shared" ca="1" si="37"/>
        <v>10</v>
      </c>
      <c r="N148" s="15">
        <f>F148</f>
        <v>46150</v>
      </c>
      <c r="O148" s="15">
        <f>F148</f>
        <v>46150</v>
      </c>
      <c r="P148" s="10">
        <f t="shared" si="38"/>
        <v>-23675</v>
      </c>
      <c r="Q148" s="17">
        <f t="shared" ca="1" si="39"/>
        <v>10</v>
      </c>
      <c r="R148" t="s">
        <v>575</v>
      </c>
    </row>
    <row r="149" spans="1:18" hidden="1" outlineLevel="1" x14ac:dyDescent="0.3">
      <c r="A149" s="2" t="s">
        <v>487</v>
      </c>
      <c r="B149" s="2" t="s">
        <v>488</v>
      </c>
      <c r="C149" s="2" t="s">
        <v>489</v>
      </c>
      <c r="D149" s="2" t="s">
        <v>490</v>
      </c>
      <c r="E149" s="2" t="s">
        <v>14</v>
      </c>
      <c r="F149" s="3">
        <v>46155</v>
      </c>
      <c r="G149" s="6">
        <v>-5</v>
      </c>
      <c r="H149" s="3">
        <v>46162</v>
      </c>
      <c r="I149" s="5">
        <v>665.76</v>
      </c>
      <c r="J149" s="2" t="s">
        <v>15</v>
      </c>
      <c r="K149" s="2" t="s">
        <v>556</v>
      </c>
      <c r="N149" s="15"/>
      <c r="O149" s="15">
        <f t="shared" ref="O149:O150" si="40">H149</f>
        <v>46162</v>
      </c>
      <c r="P149" s="16">
        <f t="shared" ref="P149:P151" si="41">I149/3.435</f>
        <v>193.81659388646287</v>
      </c>
    </row>
    <row r="150" spans="1:18" hidden="1" outlineLevel="1" x14ac:dyDescent="0.3">
      <c r="A150" s="2" t="s">
        <v>487</v>
      </c>
      <c r="B150" s="2" t="s">
        <v>491</v>
      </c>
      <c r="C150" s="2" t="s">
        <v>492</v>
      </c>
      <c r="D150" s="2" t="s">
        <v>493</v>
      </c>
      <c r="E150" s="2" t="s">
        <v>14</v>
      </c>
      <c r="F150" s="3">
        <v>46155</v>
      </c>
      <c r="G150" s="6">
        <v>-5</v>
      </c>
      <c r="H150" s="3">
        <v>46162</v>
      </c>
      <c r="I150" s="5">
        <v>123.9</v>
      </c>
      <c r="J150" s="2" t="s">
        <v>15</v>
      </c>
      <c r="K150" s="2" t="s">
        <v>556</v>
      </c>
      <c r="N150" s="15"/>
      <c r="O150" s="15">
        <f t="shared" si="40"/>
        <v>46162</v>
      </c>
      <c r="P150" s="16">
        <f t="shared" si="41"/>
        <v>36.069868995633186</v>
      </c>
    </row>
    <row r="151" spans="1:18" hidden="1" outlineLevel="1" x14ac:dyDescent="0.3">
      <c r="A151" s="2" t="s">
        <v>494</v>
      </c>
      <c r="B151" s="2" t="s">
        <v>495</v>
      </c>
      <c r="C151" s="2" t="s">
        <v>496</v>
      </c>
      <c r="D151" s="2" t="s">
        <v>497</v>
      </c>
      <c r="E151" s="2" t="s">
        <v>14</v>
      </c>
      <c r="F151" s="3">
        <v>46149</v>
      </c>
      <c r="G151" s="4">
        <v>1</v>
      </c>
      <c r="H151" s="3">
        <v>46156</v>
      </c>
      <c r="I151" s="5">
        <v>1189.44</v>
      </c>
      <c r="J151" s="2" t="s">
        <v>15</v>
      </c>
      <c r="K151" s="2" t="s">
        <v>556</v>
      </c>
      <c r="N151" s="15"/>
      <c r="O151" s="15">
        <f>H151</f>
        <v>46156</v>
      </c>
      <c r="P151" s="16">
        <f t="shared" si="41"/>
        <v>346.27074235807862</v>
      </c>
    </row>
    <row r="152" spans="1:18" hidden="1" outlineLevel="1" x14ac:dyDescent="0.3">
      <c r="A152" s="2" t="s">
        <v>498</v>
      </c>
      <c r="B152" s="2" t="s">
        <v>500</v>
      </c>
      <c r="C152" s="2" t="s">
        <v>501</v>
      </c>
      <c r="D152" s="2" t="s">
        <v>502</v>
      </c>
      <c r="E152" s="2" t="s">
        <v>102</v>
      </c>
      <c r="F152" s="3">
        <v>46120</v>
      </c>
      <c r="G152" s="6">
        <v>-8</v>
      </c>
      <c r="H152" s="3">
        <v>46165</v>
      </c>
      <c r="I152" s="5">
        <v>180000</v>
      </c>
      <c r="J152" s="2" t="s">
        <v>65</v>
      </c>
      <c r="K152" s="2" t="s">
        <v>560</v>
      </c>
      <c r="L152" s="15">
        <f t="shared" ref="L152:L167" si="42">F152+45</f>
        <v>46165</v>
      </c>
      <c r="M152" s="17">
        <f t="shared" ref="M152:M167" ca="1" si="43">TODAY()-N152</f>
        <v>-5</v>
      </c>
      <c r="N152" s="15">
        <v>46165</v>
      </c>
      <c r="O152" s="15">
        <f t="shared" ref="O152:O167" si="44">H152</f>
        <v>46165</v>
      </c>
      <c r="P152" s="10">
        <f t="shared" ref="P152:P167" si="45">I152</f>
        <v>180000</v>
      </c>
      <c r="Q152" s="17">
        <f t="shared" ref="Q152:Q167" ca="1" si="46">TODAY()-F152</f>
        <v>40</v>
      </c>
      <c r="R152" t="s">
        <v>575</v>
      </c>
    </row>
    <row r="153" spans="1:18" hidden="1" outlineLevel="1" x14ac:dyDescent="0.3">
      <c r="A153" s="2" t="s">
        <v>498</v>
      </c>
      <c r="B153" s="2" t="s">
        <v>503</v>
      </c>
      <c r="C153" s="2" t="s">
        <v>504</v>
      </c>
      <c r="D153" s="2" t="s">
        <v>505</v>
      </c>
      <c r="E153" s="2" t="s">
        <v>102</v>
      </c>
      <c r="F153" s="3">
        <v>46137</v>
      </c>
      <c r="G153" s="6">
        <v>-25</v>
      </c>
      <c r="H153" s="3">
        <v>46182</v>
      </c>
      <c r="I153" s="5">
        <v>35520</v>
      </c>
      <c r="J153" s="2" t="s">
        <v>65</v>
      </c>
      <c r="K153" s="2" t="s">
        <v>560</v>
      </c>
      <c r="L153" s="15">
        <f t="shared" si="42"/>
        <v>46182</v>
      </c>
      <c r="M153" s="17">
        <f t="shared" ca="1" si="43"/>
        <v>-22</v>
      </c>
      <c r="N153" s="15">
        <v>46182</v>
      </c>
      <c r="O153" s="15">
        <f t="shared" si="44"/>
        <v>46182</v>
      </c>
      <c r="P153" s="10">
        <f t="shared" si="45"/>
        <v>35520</v>
      </c>
      <c r="Q153" s="17">
        <f t="shared" ca="1" si="46"/>
        <v>23</v>
      </c>
      <c r="R153" t="s">
        <v>575</v>
      </c>
    </row>
    <row r="154" spans="1:18" hidden="1" outlineLevel="1" x14ac:dyDescent="0.3">
      <c r="A154" s="2" t="s">
        <v>498</v>
      </c>
      <c r="B154" s="2" t="s">
        <v>506</v>
      </c>
      <c r="C154" s="2" t="s">
        <v>507</v>
      </c>
      <c r="D154" s="2" t="s">
        <v>508</v>
      </c>
      <c r="E154" s="2" t="s">
        <v>102</v>
      </c>
      <c r="F154" s="3">
        <v>46137</v>
      </c>
      <c r="G154" s="6">
        <v>-25</v>
      </c>
      <c r="H154" s="3">
        <v>46182</v>
      </c>
      <c r="I154" s="5">
        <v>41760</v>
      </c>
      <c r="J154" s="2" t="s">
        <v>65</v>
      </c>
      <c r="K154" s="2" t="s">
        <v>560</v>
      </c>
      <c r="L154" s="15">
        <f t="shared" si="42"/>
        <v>46182</v>
      </c>
      <c r="M154" s="17">
        <f t="shared" ca="1" si="43"/>
        <v>-22</v>
      </c>
      <c r="N154" s="15">
        <v>46182</v>
      </c>
      <c r="O154" s="15">
        <f t="shared" si="44"/>
        <v>46182</v>
      </c>
      <c r="P154" s="10">
        <f t="shared" si="45"/>
        <v>41760</v>
      </c>
      <c r="Q154" s="17">
        <f t="shared" ca="1" si="46"/>
        <v>23</v>
      </c>
      <c r="R154" t="s">
        <v>575</v>
      </c>
    </row>
    <row r="155" spans="1:18" hidden="1" outlineLevel="1" x14ac:dyDescent="0.3">
      <c r="A155" s="2" t="s">
        <v>498</v>
      </c>
      <c r="B155" s="2" t="s">
        <v>509</v>
      </c>
      <c r="C155" s="2" t="s">
        <v>510</v>
      </c>
      <c r="D155" s="2" t="s">
        <v>511</v>
      </c>
      <c r="E155" s="2" t="s">
        <v>102</v>
      </c>
      <c r="F155" s="3">
        <v>46141</v>
      </c>
      <c r="G155" s="6">
        <v>-29</v>
      </c>
      <c r="H155" s="3">
        <v>46186</v>
      </c>
      <c r="I155" s="5">
        <v>53360</v>
      </c>
      <c r="J155" s="2" t="s">
        <v>65</v>
      </c>
      <c r="K155" s="2" t="s">
        <v>560</v>
      </c>
      <c r="L155" s="15">
        <f t="shared" si="42"/>
        <v>46186</v>
      </c>
      <c r="M155" s="17">
        <f t="shared" ca="1" si="43"/>
        <v>-26</v>
      </c>
      <c r="N155" s="15">
        <v>46186</v>
      </c>
      <c r="O155" s="15">
        <f t="shared" si="44"/>
        <v>46186</v>
      </c>
      <c r="P155" s="10">
        <f t="shared" si="45"/>
        <v>53360</v>
      </c>
      <c r="Q155" s="17">
        <f t="shared" ca="1" si="46"/>
        <v>19</v>
      </c>
      <c r="R155" t="s">
        <v>575</v>
      </c>
    </row>
    <row r="156" spans="1:18" hidden="1" outlineLevel="1" x14ac:dyDescent="0.3">
      <c r="A156" s="2" t="s">
        <v>498</v>
      </c>
      <c r="B156" s="2" t="s">
        <v>512</v>
      </c>
      <c r="C156" s="2" t="s">
        <v>513</v>
      </c>
      <c r="D156" s="2" t="s">
        <v>514</v>
      </c>
      <c r="E156" s="2" t="s">
        <v>102</v>
      </c>
      <c r="F156" s="3">
        <v>46141</v>
      </c>
      <c r="G156" s="6">
        <v>-29</v>
      </c>
      <c r="H156" s="3">
        <v>46186</v>
      </c>
      <c r="I156" s="5">
        <v>163070</v>
      </c>
      <c r="J156" s="2" t="s">
        <v>65</v>
      </c>
      <c r="K156" s="2" t="s">
        <v>560</v>
      </c>
      <c r="L156" s="15">
        <f t="shared" si="42"/>
        <v>46186</v>
      </c>
      <c r="M156" s="17">
        <f t="shared" ca="1" si="43"/>
        <v>-26</v>
      </c>
      <c r="N156" s="15">
        <v>46186</v>
      </c>
      <c r="O156" s="15">
        <f t="shared" si="44"/>
        <v>46186</v>
      </c>
      <c r="P156" s="10">
        <f t="shared" si="45"/>
        <v>163070</v>
      </c>
      <c r="Q156" s="17">
        <f t="shared" ca="1" si="46"/>
        <v>19</v>
      </c>
      <c r="R156" t="s">
        <v>575</v>
      </c>
    </row>
    <row r="157" spans="1:18" hidden="1" outlineLevel="1" x14ac:dyDescent="0.3">
      <c r="A157" s="2" t="s">
        <v>498</v>
      </c>
      <c r="B157" s="2" t="s">
        <v>515</v>
      </c>
      <c r="C157" s="2" t="s">
        <v>516</v>
      </c>
      <c r="D157" s="2" t="s">
        <v>517</v>
      </c>
      <c r="E157" s="2" t="s">
        <v>102</v>
      </c>
      <c r="F157" s="3">
        <v>46141</v>
      </c>
      <c r="G157" s="6">
        <v>-29</v>
      </c>
      <c r="H157" s="3">
        <v>46186</v>
      </c>
      <c r="I157" s="5">
        <v>52800</v>
      </c>
      <c r="J157" s="2" t="s">
        <v>65</v>
      </c>
      <c r="K157" s="2" t="s">
        <v>560</v>
      </c>
      <c r="L157" s="15">
        <f t="shared" si="42"/>
        <v>46186</v>
      </c>
      <c r="M157" s="17">
        <f t="shared" ca="1" si="43"/>
        <v>-26</v>
      </c>
      <c r="N157" s="15">
        <v>46186</v>
      </c>
      <c r="O157" s="15">
        <f t="shared" si="44"/>
        <v>46186</v>
      </c>
      <c r="P157" s="10">
        <f t="shared" si="45"/>
        <v>52800</v>
      </c>
      <c r="Q157" s="17">
        <f t="shared" ca="1" si="46"/>
        <v>19</v>
      </c>
      <c r="R157" t="s">
        <v>575</v>
      </c>
    </row>
    <row r="158" spans="1:18" hidden="1" outlineLevel="1" x14ac:dyDescent="0.3">
      <c r="A158" s="2" t="s">
        <v>498</v>
      </c>
      <c r="B158" s="2" t="s">
        <v>518</v>
      </c>
      <c r="C158" s="2" t="s">
        <v>519</v>
      </c>
      <c r="D158" s="2" t="s">
        <v>520</v>
      </c>
      <c r="E158" s="2" t="s">
        <v>102</v>
      </c>
      <c r="F158" s="3">
        <v>46141</v>
      </c>
      <c r="G158" s="6">
        <v>-29</v>
      </c>
      <c r="H158" s="3">
        <v>46186</v>
      </c>
      <c r="I158" s="5">
        <v>55680</v>
      </c>
      <c r="J158" s="2" t="s">
        <v>65</v>
      </c>
      <c r="K158" s="2" t="s">
        <v>560</v>
      </c>
      <c r="L158" s="15">
        <f t="shared" si="42"/>
        <v>46186</v>
      </c>
      <c r="M158" s="17">
        <f t="shared" ca="1" si="43"/>
        <v>-26</v>
      </c>
      <c r="N158" s="15">
        <v>46186</v>
      </c>
      <c r="O158" s="15">
        <f t="shared" si="44"/>
        <v>46186</v>
      </c>
      <c r="P158" s="10">
        <f t="shared" si="45"/>
        <v>55680</v>
      </c>
      <c r="Q158" s="17">
        <f t="shared" ca="1" si="46"/>
        <v>19</v>
      </c>
      <c r="R158" t="s">
        <v>575</v>
      </c>
    </row>
    <row r="159" spans="1:18" outlineLevel="1" x14ac:dyDescent="0.3">
      <c r="A159" s="2" t="s">
        <v>521</v>
      </c>
      <c r="B159" s="2" t="s">
        <v>522</v>
      </c>
      <c r="C159" s="2" t="s">
        <v>523</v>
      </c>
      <c r="D159" s="2" t="s">
        <v>524</v>
      </c>
      <c r="E159" s="2" t="s">
        <v>181</v>
      </c>
      <c r="F159" s="3">
        <v>46142</v>
      </c>
      <c r="G159" s="4">
        <v>0</v>
      </c>
      <c r="H159" s="3">
        <v>46142</v>
      </c>
      <c r="I159" s="7">
        <v>-6675</v>
      </c>
      <c r="J159" s="2" t="s">
        <v>65</v>
      </c>
      <c r="K159" s="2" t="s">
        <v>560</v>
      </c>
      <c r="L159" s="15">
        <f t="shared" si="42"/>
        <v>46187</v>
      </c>
      <c r="M159" s="17">
        <f t="shared" ca="1" si="43"/>
        <v>18</v>
      </c>
      <c r="N159" s="15">
        <f>F159</f>
        <v>46142</v>
      </c>
      <c r="O159" s="15">
        <f t="shared" ref="O159:O161" si="47">F159</f>
        <v>46142</v>
      </c>
      <c r="P159" s="10">
        <f t="shared" si="45"/>
        <v>-6675</v>
      </c>
      <c r="Q159" s="17">
        <f t="shared" ca="1" si="46"/>
        <v>18</v>
      </c>
      <c r="R159" t="s">
        <v>575</v>
      </c>
    </row>
    <row r="160" spans="1:18" outlineLevel="1" x14ac:dyDescent="0.3">
      <c r="A160" s="2" t="s">
        <v>525</v>
      </c>
      <c r="B160" s="2" t="s">
        <v>526</v>
      </c>
      <c r="C160" s="2" t="s">
        <v>527</v>
      </c>
      <c r="D160" s="2" t="s">
        <v>528</v>
      </c>
      <c r="E160" s="2" t="s">
        <v>181</v>
      </c>
      <c r="F160" s="3">
        <v>46148</v>
      </c>
      <c r="G160" s="4">
        <v>0</v>
      </c>
      <c r="H160" s="3">
        <v>46173</v>
      </c>
      <c r="I160" s="7">
        <v>-13316.5</v>
      </c>
      <c r="J160" s="2" t="s">
        <v>65</v>
      </c>
      <c r="K160" s="2" t="s">
        <v>560</v>
      </c>
      <c r="L160" s="15">
        <f t="shared" si="42"/>
        <v>46193</v>
      </c>
      <c r="M160" s="17">
        <f t="shared" ca="1" si="43"/>
        <v>12</v>
      </c>
      <c r="N160" s="15">
        <f>F160</f>
        <v>46148</v>
      </c>
      <c r="O160" s="15">
        <f t="shared" si="47"/>
        <v>46148</v>
      </c>
      <c r="P160" s="10">
        <f t="shared" si="45"/>
        <v>-13316.5</v>
      </c>
      <c r="Q160" s="17">
        <f t="shared" ca="1" si="46"/>
        <v>12</v>
      </c>
      <c r="R160" t="s">
        <v>575</v>
      </c>
    </row>
    <row r="161" spans="1:18" outlineLevel="1" x14ac:dyDescent="0.3">
      <c r="A161" s="2" t="s">
        <v>529</v>
      </c>
      <c r="B161" s="2" t="s">
        <v>530</v>
      </c>
      <c r="C161" s="2" t="s">
        <v>531</v>
      </c>
      <c r="D161" s="2" t="s">
        <v>532</v>
      </c>
      <c r="E161" s="2" t="s">
        <v>181</v>
      </c>
      <c r="F161" s="3">
        <v>46142</v>
      </c>
      <c r="G161" s="4">
        <v>0</v>
      </c>
      <c r="H161" s="3">
        <v>46142</v>
      </c>
      <c r="I161" s="7">
        <v>-74009</v>
      </c>
      <c r="J161" s="2" t="s">
        <v>65</v>
      </c>
      <c r="K161" s="2" t="s">
        <v>560</v>
      </c>
      <c r="L161" s="15">
        <f t="shared" si="42"/>
        <v>46187</v>
      </c>
      <c r="M161" s="17">
        <f t="shared" ca="1" si="43"/>
        <v>18</v>
      </c>
      <c r="N161" s="15">
        <f>F161</f>
        <v>46142</v>
      </c>
      <c r="O161" s="15">
        <f t="shared" si="47"/>
        <v>46142</v>
      </c>
      <c r="P161" s="10">
        <f t="shared" si="45"/>
        <v>-74009</v>
      </c>
      <c r="Q161" s="17">
        <f t="shared" ca="1" si="46"/>
        <v>18</v>
      </c>
      <c r="R161" t="s">
        <v>575</v>
      </c>
    </row>
    <row r="162" spans="1:18" hidden="1" outlineLevel="1" x14ac:dyDescent="0.3">
      <c r="A162" s="2" t="s">
        <v>533</v>
      </c>
      <c r="B162" s="2" t="s">
        <v>534</v>
      </c>
      <c r="C162" s="2" t="s">
        <v>535</v>
      </c>
      <c r="D162" s="2" t="s">
        <v>536</v>
      </c>
      <c r="E162" s="2" t="s">
        <v>102</v>
      </c>
      <c r="F162" s="3">
        <v>46136</v>
      </c>
      <c r="G162" s="6">
        <v>-24</v>
      </c>
      <c r="H162" s="3">
        <v>46181</v>
      </c>
      <c r="I162" s="5">
        <v>30250</v>
      </c>
      <c r="J162" s="2" t="s">
        <v>65</v>
      </c>
      <c r="K162" s="2" t="s">
        <v>560</v>
      </c>
      <c r="L162" s="15">
        <f t="shared" si="42"/>
        <v>46181</v>
      </c>
      <c r="M162" s="17">
        <f t="shared" ca="1" si="43"/>
        <v>-21</v>
      </c>
      <c r="N162" s="15">
        <v>46181</v>
      </c>
      <c r="O162" s="15">
        <f t="shared" si="44"/>
        <v>46181</v>
      </c>
      <c r="P162" s="10">
        <f t="shared" si="45"/>
        <v>30250</v>
      </c>
      <c r="Q162" s="17">
        <f t="shared" ca="1" si="46"/>
        <v>24</v>
      </c>
      <c r="R162" t="s">
        <v>575</v>
      </c>
    </row>
    <row r="163" spans="1:18" hidden="1" outlineLevel="1" x14ac:dyDescent="0.3">
      <c r="A163" s="2" t="s">
        <v>537</v>
      </c>
      <c r="B163" s="2" t="s">
        <v>538</v>
      </c>
      <c r="C163" s="2" t="s">
        <v>539</v>
      </c>
      <c r="D163" s="2" t="s">
        <v>540</v>
      </c>
      <c r="E163" s="2" t="s">
        <v>102</v>
      </c>
      <c r="F163" s="3">
        <v>46124</v>
      </c>
      <c r="G163" s="6">
        <v>-12</v>
      </c>
      <c r="H163" s="3">
        <v>46169</v>
      </c>
      <c r="I163" s="5">
        <v>94500</v>
      </c>
      <c r="J163" s="2" t="s">
        <v>65</v>
      </c>
      <c r="K163" s="2" t="s">
        <v>560</v>
      </c>
      <c r="L163" s="15">
        <f t="shared" si="42"/>
        <v>46169</v>
      </c>
      <c r="M163" s="17">
        <f t="shared" ca="1" si="43"/>
        <v>-9</v>
      </c>
      <c r="N163" s="15">
        <v>46169</v>
      </c>
      <c r="O163" s="15">
        <f t="shared" si="44"/>
        <v>46169</v>
      </c>
      <c r="P163" s="10">
        <f t="shared" si="45"/>
        <v>94500</v>
      </c>
      <c r="Q163" s="17">
        <f t="shared" ca="1" si="46"/>
        <v>36</v>
      </c>
      <c r="R163" t="s">
        <v>575</v>
      </c>
    </row>
    <row r="164" spans="1:18" hidden="1" outlineLevel="1" x14ac:dyDescent="0.3">
      <c r="A164" s="2" t="s">
        <v>537</v>
      </c>
      <c r="B164" s="2" t="s">
        <v>541</v>
      </c>
      <c r="C164" s="2" t="s">
        <v>542</v>
      </c>
      <c r="D164" s="2" t="s">
        <v>543</v>
      </c>
      <c r="E164" s="2" t="s">
        <v>118</v>
      </c>
      <c r="F164" s="3">
        <v>46124</v>
      </c>
      <c r="G164" s="4">
        <v>33</v>
      </c>
      <c r="H164" s="3">
        <v>46124</v>
      </c>
      <c r="I164" s="5">
        <v>5000</v>
      </c>
      <c r="J164" s="2" t="s">
        <v>65</v>
      </c>
      <c r="K164" s="2" t="s">
        <v>560</v>
      </c>
      <c r="L164" s="15">
        <f t="shared" si="42"/>
        <v>46169</v>
      </c>
      <c r="M164" s="17">
        <f t="shared" ca="1" si="43"/>
        <v>-9</v>
      </c>
      <c r="N164" s="15">
        <v>46169</v>
      </c>
      <c r="O164" s="15">
        <v>46169</v>
      </c>
      <c r="P164" s="10">
        <f t="shared" si="45"/>
        <v>5000</v>
      </c>
      <c r="Q164" s="17">
        <f t="shared" ca="1" si="46"/>
        <v>36</v>
      </c>
      <c r="R164" t="s">
        <v>575</v>
      </c>
    </row>
    <row r="165" spans="1:18" hidden="1" outlineLevel="1" x14ac:dyDescent="0.3">
      <c r="A165" s="2" t="s">
        <v>537</v>
      </c>
      <c r="B165" s="2" t="s">
        <v>544</v>
      </c>
      <c r="C165" s="2" t="s">
        <v>545</v>
      </c>
      <c r="D165" s="2" t="s">
        <v>546</v>
      </c>
      <c r="E165" s="2" t="s">
        <v>102</v>
      </c>
      <c r="F165" s="3">
        <v>46134</v>
      </c>
      <c r="G165" s="6">
        <v>-22</v>
      </c>
      <c r="H165" s="3">
        <v>46179</v>
      </c>
      <c r="I165" s="5">
        <v>95904</v>
      </c>
      <c r="J165" s="2" t="s">
        <v>65</v>
      </c>
      <c r="K165" s="2" t="s">
        <v>560</v>
      </c>
      <c r="L165" s="15">
        <f t="shared" si="42"/>
        <v>46179</v>
      </c>
      <c r="M165" s="17">
        <f t="shared" ca="1" si="43"/>
        <v>-19</v>
      </c>
      <c r="N165" s="15">
        <v>46179</v>
      </c>
      <c r="O165" s="15">
        <f t="shared" si="44"/>
        <v>46179</v>
      </c>
      <c r="P165" s="10">
        <f t="shared" si="45"/>
        <v>95904</v>
      </c>
      <c r="Q165" s="17">
        <f t="shared" ca="1" si="46"/>
        <v>26</v>
      </c>
      <c r="R165" t="s">
        <v>575</v>
      </c>
    </row>
    <row r="166" spans="1:18" outlineLevel="1" x14ac:dyDescent="0.3">
      <c r="A166" s="2" t="s">
        <v>547</v>
      </c>
      <c r="B166" s="2" t="s">
        <v>548</v>
      </c>
      <c r="C166" s="2" t="s">
        <v>549</v>
      </c>
      <c r="D166" s="2" t="s">
        <v>550</v>
      </c>
      <c r="E166" s="2" t="s">
        <v>181</v>
      </c>
      <c r="F166" s="3">
        <v>46154</v>
      </c>
      <c r="G166" s="4">
        <v>0</v>
      </c>
      <c r="H166" s="3">
        <v>46173</v>
      </c>
      <c r="I166" s="7">
        <v>-32801</v>
      </c>
      <c r="J166" s="2" t="s">
        <v>65</v>
      </c>
      <c r="K166" s="2" t="s">
        <v>560</v>
      </c>
      <c r="L166" s="15">
        <f t="shared" si="42"/>
        <v>46199</v>
      </c>
      <c r="M166" s="17">
        <f t="shared" ca="1" si="43"/>
        <v>6</v>
      </c>
      <c r="N166" s="15">
        <f>F166</f>
        <v>46154</v>
      </c>
      <c r="O166" s="15">
        <f>F166</f>
        <v>46154</v>
      </c>
      <c r="P166" s="10">
        <f t="shared" si="45"/>
        <v>-32801</v>
      </c>
      <c r="Q166" s="17">
        <f t="shared" ca="1" si="46"/>
        <v>6</v>
      </c>
      <c r="R166" t="s">
        <v>575</v>
      </c>
    </row>
    <row r="167" spans="1:18" outlineLevel="1" x14ac:dyDescent="0.3">
      <c r="A167" s="2" t="s">
        <v>551</v>
      </c>
      <c r="B167" s="2" t="s">
        <v>552</v>
      </c>
      <c r="C167" s="2" t="s">
        <v>553</v>
      </c>
      <c r="D167" s="2" t="s">
        <v>554</v>
      </c>
      <c r="E167" s="2" t="s">
        <v>181</v>
      </c>
      <c r="F167" s="3">
        <v>46154</v>
      </c>
      <c r="G167" s="4">
        <v>0</v>
      </c>
      <c r="H167" s="3">
        <v>46173</v>
      </c>
      <c r="I167" s="7">
        <v>-52139</v>
      </c>
      <c r="J167" s="2" t="s">
        <v>65</v>
      </c>
      <c r="K167" s="2" t="s">
        <v>560</v>
      </c>
      <c r="L167" s="15">
        <f t="shared" si="42"/>
        <v>46199</v>
      </c>
      <c r="M167" s="17">
        <f t="shared" ca="1" si="43"/>
        <v>6</v>
      </c>
      <c r="N167" s="15">
        <f>F167</f>
        <v>46154</v>
      </c>
      <c r="O167" s="15">
        <f t="shared" ref="O166:O167" si="48">F167</f>
        <v>46154</v>
      </c>
      <c r="P167" s="10">
        <f t="shared" si="45"/>
        <v>-52139</v>
      </c>
      <c r="Q167" s="17">
        <f t="shared" ca="1" si="46"/>
        <v>6</v>
      </c>
      <c r="R167" t="s">
        <v>575</v>
      </c>
    </row>
  </sheetData>
  <autoFilter ref="A1:R167" xr:uid="{00000000-0001-0000-0000-000000000000}">
    <filterColumn colId="10">
      <filters>
        <filter val="EXPORTACIÓN"/>
      </filters>
    </filterColumn>
    <filterColumn colId="15">
      <customFilters>
        <customFilter operator="lessThan" val="0"/>
      </custom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Hoja3</vt:lpstr>
      <vt:lpstr>DÍAS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Rodrigo Sebastian Martinez Montalvo (PFRO)</cp:lastModifiedBy>
  <cp:revision>1</cp:revision>
  <dcterms:created xsi:type="dcterms:W3CDTF">2026-05-19T02:23:44Z</dcterms:created>
  <dcterms:modified xsi:type="dcterms:W3CDTF">2026-05-19T03:22:02Z</dcterms:modified>
  <cp:category/>
</cp:coreProperties>
</file>