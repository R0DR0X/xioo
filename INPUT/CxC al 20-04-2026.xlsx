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485EB6BC-7511-493F-8F81-CA8FE19187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3" sheetId="5" state="hidden" r:id="rId2"/>
    <sheet name="DÍAS" sheetId="7" state="hidden" r:id="rId3"/>
    <sheet name="Data" sheetId="1" r:id="rId4"/>
  </sheets>
  <definedNames>
    <definedName name="_xlnm._FilterDatabase" localSheetId="3" hidden="1">Data!$A$1:$T$158</definedName>
  </definedNames>
  <calcPr calcId="191029"/>
  <pivotCaches>
    <pivotCache cacheId="10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2" i="1" l="1"/>
  <c r="P101" i="1"/>
  <c r="P157" i="1"/>
  <c r="P156" i="1"/>
  <c r="S94" i="1"/>
  <c r="R94" i="1"/>
  <c r="Q94" i="1"/>
  <c r="N94" i="1"/>
  <c r="S19" i="1"/>
  <c r="S102" i="1"/>
  <c r="R102" i="1"/>
  <c r="Q102" i="1"/>
  <c r="N102" i="1"/>
  <c r="S133" i="1"/>
  <c r="R133" i="1"/>
  <c r="Q133" i="1"/>
  <c r="N133" i="1"/>
  <c r="S132" i="1"/>
  <c r="R132" i="1"/>
  <c r="Q132" i="1"/>
  <c r="N132" i="1"/>
  <c r="S95" i="1"/>
  <c r="R95" i="1"/>
  <c r="Q95" i="1"/>
  <c r="N95" i="1"/>
  <c r="S158" i="1"/>
  <c r="S157" i="1"/>
  <c r="S156" i="1"/>
  <c r="S155" i="1"/>
  <c r="S154" i="1"/>
  <c r="S153" i="1"/>
  <c r="S152" i="1"/>
  <c r="S151" i="1"/>
  <c r="S150" i="1"/>
  <c r="S140" i="1"/>
  <c r="S139" i="1"/>
  <c r="S131" i="1"/>
  <c r="S127" i="1"/>
  <c r="S126" i="1"/>
  <c r="S125" i="1"/>
  <c r="S101" i="1"/>
  <c r="S100" i="1"/>
  <c r="S93" i="1"/>
  <c r="S92" i="1"/>
  <c r="S91" i="1"/>
  <c r="S90" i="1"/>
  <c r="S89" i="1"/>
  <c r="S40" i="1"/>
  <c r="S39" i="1"/>
  <c r="S38" i="1"/>
  <c r="S37" i="1"/>
  <c r="S36" i="1"/>
  <c r="S35" i="1"/>
  <c r="S34" i="1"/>
  <c r="O155" i="1"/>
  <c r="O154" i="1"/>
  <c r="O153" i="1"/>
  <c r="O152" i="1"/>
  <c r="O151" i="1"/>
  <c r="O150" i="1"/>
  <c r="O140" i="1"/>
  <c r="O127" i="1"/>
  <c r="O126" i="1"/>
  <c r="O125" i="1"/>
  <c r="O100" i="1"/>
  <c r="O92" i="1"/>
  <c r="O91" i="1"/>
  <c r="O90" i="1"/>
  <c r="O89" i="1"/>
  <c r="O40" i="1"/>
  <c r="O39" i="1"/>
  <c r="O38" i="1"/>
  <c r="O37" i="1"/>
  <c r="O36" i="1"/>
  <c r="O35" i="1"/>
  <c r="O34" i="1"/>
  <c r="N158" i="1"/>
  <c r="N157" i="1"/>
  <c r="N156" i="1"/>
  <c r="N155" i="1"/>
  <c r="N154" i="1"/>
  <c r="N153" i="1"/>
  <c r="N152" i="1"/>
  <c r="N151" i="1"/>
  <c r="N150" i="1"/>
  <c r="N140" i="1"/>
  <c r="N139" i="1"/>
  <c r="N131" i="1"/>
  <c r="N127" i="1"/>
  <c r="N126" i="1"/>
  <c r="N125" i="1"/>
  <c r="N101" i="1"/>
  <c r="N100" i="1"/>
  <c r="N93" i="1"/>
  <c r="N92" i="1"/>
  <c r="N91" i="1"/>
  <c r="N90" i="1"/>
  <c r="N89" i="1"/>
  <c r="N40" i="1"/>
  <c r="N39" i="1"/>
  <c r="N38" i="1"/>
  <c r="N37" i="1"/>
  <c r="N36" i="1"/>
  <c r="N35" i="1"/>
  <c r="N34" i="1"/>
  <c r="N19" i="1"/>
  <c r="Q158" i="1" l="1"/>
  <c r="Q157" i="1"/>
  <c r="Q156" i="1"/>
  <c r="Q155" i="1"/>
  <c r="Q154" i="1"/>
  <c r="Q153" i="1"/>
  <c r="Q152" i="1"/>
  <c r="Q151" i="1"/>
  <c r="Q150" i="1"/>
  <c r="Q140" i="1"/>
  <c r="Q139" i="1"/>
  <c r="Q131" i="1"/>
  <c r="Q101" i="1"/>
  <c r="Q100" i="1"/>
  <c r="Q93" i="1"/>
  <c r="Q92" i="1"/>
  <c r="Q91" i="1"/>
  <c r="Q90" i="1"/>
  <c r="Q40" i="1"/>
  <c r="Q39" i="1"/>
  <c r="Q38" i="1"/>
  <c r="Q37" i="1"/>
  <c r="Q36" i="1"/>
  <c r="Q35" i="1"/>
  <c r="Q34" i="1"/>
  <c r="R158" i="1"/>
  <c r="R157" i="1"/>
  <c r="R156" i="1"/>
  <c r="R155" i="1"/>
  <c r="R154" i="1"/>
  <c r="R153" i="1"/>
  <c r="R152" i="1"/>
  <c r="R151" i="1"/>
  <c r="R150" i="1"/>
  <c r="R140" i="1"/>
  <c r="R139" i="1"/>
  <c r="R131" i="1"/>
  <c r="R127" i="1"/>
  <c r="R126" i="1"/>
  <c r="R125" i="1"/>
  <c r="R101" i="1"/>
  <c r="R100" i="1"/>
  <c r="R93" i="1"/>
  <c r="R92" i="1"/>
  <c r="R91" i="1"/>
  <c r="R90" i="1"/>
  <c r="R89" i="1"/>
  <c r="R40" i="1"/>
  <c r="R39" i="1"/>
  <c r="R38" i="1"/>
  <c r="R37" i="1"/>
  <c r="R36" i="1"/>
  <c r="R35" i="1"/>
  <c r="R34" i="1"/>
  <c r="R19" i="1"/>
  <c r="R104" i="1"/>
  <c r="R105" i="1"/>
  <c r="R106" i="1"/>
  <c r="R103" i="1"/>
  <c r="Q104" i="1"/>
  <c r="Q105" i="1"/>
  <c r="Q106" i="1"/>
  <c r="Q103" i="1"/>
  <c r="R149" i="1"/>
  <c r="R148" i="1"/>
  <c r="R147" i="1"/>
  <c r="R146" i="1"/>
  <c r="R145" i="1"/>
  <c r="R144" i="1"/>
  <c r="R143" i="1"/>
  <c r="R142" i="1"/>
  <c r="R141" i="1"/>
  <c r="R138" i="1"/>
  <c r="R137" i="1"/>
  <c r="R136" i="1"/>
  <c r="R135" i="1"/>
  <c r="R134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149" i="1"/>
  <c r="Q148" i="1"/>
  <c r="Q147" i="1"/>
  <c r="Q146" i="1"/>
  <c r="Q145" i="1"/>
  <c r="Q144" i="1"/>
  <c r="Q143" i="1"/>
  <c r="Q142" i="1"/>
  <c r="Q141" i="1"/>
  <c r="Q138" i="1"/>
  <c r="Q137" i="1"/>
  <c r="Q136" i="1"/>
  <c r="Q135" i="1"/>
  <c r="Q134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R128" i="1"/>
  <c r="Q128" i="1"/>
  <c r="R130" i="1"/>
  <c r="R129" i="1"/>
  <c r="Q130" i="1"/>
  <c r="Q129" i="1"/>
  <c r="R97" i="1"/>
  <c r="R98" i="1"/>
  <c r="R99" i="1"/>
  <c r="R96" i="1"/>
  <c r="Q97" i="1"/>
  <c r="Q98" i="1"/>
  <c r="Q99" i="1"/>
  <c r="Q96" i="1"/>
</calcChain>
</file>

<file path=xl/sharedStrings.xml><?xml version="1.0" encoding="utf-8"?>
<sst xmlns="http://schemas.openxmlformats.org/spreadsheetml/2006/main" count="1632" uniqueCount="556">
  <si>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</si>
  <si>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</si>
  <si>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</si>
  <si>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</si>
  <si>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</si>
  <si>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</si>
  <si>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</si>
  <si>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</si>
  <si>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</si>
  <si>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</si>
  <si>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Doc.compensación</t>
  </si>
  <si>
    <t>Bloqueo de pago</t>
  </si>
  <si>
    <t>1000013966</t>
  </si>
  <si>
    <t>ARKANO TRADING SOCIEDAD ANONIMA CER</t>
  </si>
  <si>
    <t>1200005220</t>
  </si>
  <si>
    <t>01-0F101-0004694</t>
  </si>
  <si>
    <t>DF</t>
  </si>
  <si>
    <t>PEN</t>
  </si>
  <si>
    <t/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</si>
  <si>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</si>
  <si>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</si>
  <si>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</si>
  <si>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</si>
  <si>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</si>
  <si>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</si>
  <si>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</si>
  <si>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</si>
  <si>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</si>
  <si>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</si>
  <si>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</si>
  <si>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</si>
  <si>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</si>
  <si>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</si>
  <si>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</si>
  <si>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</si>
  <si>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</si>
  <si>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</si>
  <si>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</si>
  <si>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</si>
  <si>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</si>
  <si>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</si>
  <si>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</si>
  <si>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</si>
  <si>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</si>
  <si>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</si>
  <si>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</si>
  <si>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</si>
  <si>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</si>
  <si>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</si>
  <si>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</si>
  <si>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</si>
  <si>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</si>
  <si>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</si>
  <si>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</si>
  <si>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</si>
  <si>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</si>
  <si>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</si>
  <si>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</si>
  <si>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</si>
  <si>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</si>
  <si>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</si>
  <si>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</si>
  <si>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</si>
  <si>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</si>
  <si>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</si>
  <si>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</si>
  <si>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</si>
  <si>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2000001028</t>
  </si>
  <si>
    <t>AVANCE GROUP LTD</t>
  </si>
  <si>
    <t>DE</t>
  </si>
  <si>
    <t>USD</t>
  </si>
  <si>
    <t>AVANCE GROUP LTD</t>
  </si>
  <si>
    <t>1200000376</t>
  </si>
  <si>
    <t>01-0F002-0000251</t>
  </si>
  <si>
    <t>1000013676</t>
  </si>
  <si>
    <t>CARLOS ALBERTO MARTINEZ QUEREVALU</t>
  </si>
  <si>
    <t>1200000692</t>
  </si>
  <si>
    <t>03-0B001-0004349</t>
  </si>
  <si>
    <t>DB</t>
  </si>
  <si>
    <t>CARLOS ALBERTO MARTINEZ QUEREVALU</t>
  </si>
  <si>
    <t>1200000693</t>
  </si>
  <si>
    <t>03-0B001-0004350</t>
  </si>
  <si>
    <t>CARLOS ALBERTO MARTINEZ QUEREVALU</t>
  </si>
  <si>
    <t>1200000734</t>
  </si>
  <si>
    <t>03-0B001-0004357</t>
  </si>
  <si>
    <t>CARLOS ALBERTO MARTINEZ QUEREVALU</t>
  </si>
  <si>
    <t>1200000735</t>
  </si>
  <si>
    <t>03-0B001-0004358</t>
  </si>
  <si>
    <t>CARLOS ALBERTO MARTINEZ QUEREVALU</t>
  </si>
  <si>
    <t>1200000759</t>
  </si>
  <si>
    <t>03-0B001-0004367</t>
  </si>
  <si>
    <t>CARLOS ALBERTO MARTINEZ QUEREVALU</t>
  </si>
  <si>
    <t>1200000760</t>
  </si>
  <si>
    <t>03-0B001-0004368</t>
  </si>
  <si>
    <t>A</t>
  </si>
  <si>
    <t>1000013678</t>
  </si>
  <si>
    <t>CORPORACION NACIONAL PERU EXPORTACI</t>
  </si>
  <si>
    <t>1200000439</t>
  </si>
  <si>
    <t>01-0F101-0005458</t>
  </si>
  <si>
    <t>CORPORACION NACIONAL PERU EXPORTACI</t>
  </si>
  <si>
    <t>1200000453</t>
  </si>
  <si>
    <t>01-0F101-0005470</t>
  </si>
  <si>
    <t>CORPORACION NACIONAL PERU EXPORTACI</t>
  </si>
  <si>
    <t>1200000468</t>
  </si>
  <si>
    <t>01-0F101-0005482</t>
  </si>
  <si>
    <t>CORPORACION NACIONAL PERU EXPORTACI</t>
  </si>
  <si>
    <t>1200000582</t>
  </si>
  <si>
    <t>01-0F101-0005569</t>
  </si>
  <si>
    <t>CORPORACION NACIONAL PERU EXPORTACI</t>
  </si>
  <si>
    <t>1200000812</t>
  </si>
  <si>
    <t>01-0F101-0005730</t>
  </si>
  <si>
    <t>CORPORACION NACIONAL PERU EXPORTACI</t>
  </si>
  <si>
    <t>1200000824</t>
  </si>
  <si>
    <t>01-0F101-0005740</t>
  </si>
  <si>
    <t>1000002057</t>
  </si>
  <si>
    <t>CRISTO DE LA VICTORIA S.A.C.</t>
  </si>
  <si>
    <t>1200000818</t>
  </si>
  <si>
    <t>01-0F101-0005734</t>
  </si>
  <si>
    <t>CRISTO DE LA VICTORIA S.A.C.</t>
  </si>
  <si>
    <t>1200000819</t>
  </si>
  <si>
    <t>01-0F101-0005735</t>
  </si>
  <si>
    <t>2000001381</t>
  </si>
  <si>
    <t>DAIRECK SA</t>
  </si>
  <si>
    <t>DZ</t>
  </si>
  <si>
    <t>DAIRECK SA</t>
  </si>
  <si>
    <t>1200000495</t>
  </si>
  <si>
    <t>01-0F002-0000270</t>
  </si>
  <si>
    <t>DAIRECK SA</t>
  </si>
  <si>
    <t>1200000635</t>
  </si>
  <si>
    <t>01-0F002-0000281</t>
  </si>
  <si>
    <t>DAIRECK SA</t>
  </si>
  <si>
    <t>1200000638</t>
  </si>
  <si>
    <t>01-0F002-0000282</t>
  </si>
  <si>
    <t>DAIRECK SA</t>
  </si>
  <si>
    <t>1200000639</t>
  </si>
  <si>
    <t>01-0F002-0000283</t>
  </si>
  <si>
    <t>DAIRECK SA</t>
  </si>
  <si>
    <t>1200000641</t>
  </si>
  <si>
    <t>01-0F002-0000284</t>
  </si>
  <si>
    <t>DAIRECK SA</t>
  </si>
  <si>
    <t>1200000642</t>
  </si>
  <si>
    <t>01-0F002-0000285</t>
  </si>
  <si>
    <t>DAIRECK SA</t>
  </si>
  <si>
    <t>1200000643</t>
  </si>
  <si>
    <t>01-0F002-0000286</t>
  </si>
  <si>
    <t>SALDO A FAVOR</t>
  </si>
  <si>
    <t>ZV</t>
  </si>
  <si>
    <t>1000013754</t>
  </si>
  <si>
    <t>ELMER SIXTO SOJO ACARO</t>
  </si>
  <si>
    <t>1200000606</t>
  </si>
  <si>
    <t>03-0B001-0004347</t>
  </si>
  <si>
    <t>ELMER SIXTO SOJO ACARO</t>
  </si>
  <si>
    <t>1200000607</t>
  </si>
  <si>
    <t>03-0B001-0004348</t>
  </si>
  <si>
    <t>ELMER SIXTO SOJO ACARO</t>
  </si>
  <si>
    <t>1200000739</t>
  </si>
  <si>
    <t>03-0B001-0004359</t>
  </si>
  <si>
    <t>ELMER SIXTO SOJO ACARO</t>
  </si>
  <si>
    <t>1200000740</t>
  </si>
  <si>
    <t>03-0B001-0004360</t>
  </si>
  <si>
    <t>ELMER SIXTO SOJO ACARO</t>
  </si>
  <si>
    <t>1200000772</t>
  </si>
  <si>
    <t>03-0B001-0004369</t>
  </si>
  <si>
    <t>ELMER SIXTO SOJO ACARO</t>
  </si>
  <si>
    <t>1200000773</t>
  </si>
  <si>
    <t>03-0B001-0004370</t>
  </si>
  <si>
    <t>1000000875</t>
  </si>
  <si>
    <t>INVERSIONES JOCYMAS SOCIEDAD ANONIM</t>
  </si>
  <si>
    <t>1200000709</t>
  </si>
  <si>
    <t>01-0F101-0005653</t>
  </si>
  <si>
    <t>INVERSIONES JOCYMAS SOCIEDAD ANONIM</t>
  </si>
  <si>
    <t>1200000710</t>
  </si>
  <si>
    <t>01-0F101-0005654</t>
  </si>
  <si>
    <t>INVERSIONES JOCYMAS SOCIEDAD ANONIM</t>
  </si>
  <si>
    <t>1200000733</t>
  </si>
  <si>
    <t>01-0F101-0005675</t>
  </si>
  <si>
    <t>INVERSIONES JOCYMAS SOCIEDAD ANONIM</t>
  </si>
  <si>
    <t>1200000817</t>
  </si>
  <si>
    <t>01-0F101-0005733</t>
  </si>
  <si>
    <t>1000006830</t>
  </si>
  <si>
    <t>JAHFISH E.I.R.L.</t>
  </si>
  <si>
    <t>1200000128</t>
  </si>
  <si>
    <t>01-0F101-0005222</t>
  </si>
  <si>
    <t>JAHFISH E.I.R.L.</t>
  </si>
  <si>
    <t>1200000129</t>
  </si>
  <si>
    <t>01-0F101-0005223</t>
  </si>
  <si>
    <t>JAHFISH E.I.R.L.</t>
  </si>
  <si>
    <t>1200000167</t>
  </si>
  <si>
    <t>01-0F101-0005247</t>
  </si>
  <si>
    <t>JAHFISH E.I.R.L.</t>
  </si>
  <si>
    <t>1200000168</t>
  </si>
  <si>
    <t>01-0F101-0005248</t>
  </si>
  <si>
    <t>JAHFISH E.I.R.L.</t>
  </si>
  <si>
    <t>1200000207</t>
  </si>
  <si>
    <t>01-0F101-0005276</t>
  </si>
  <si>
    <t>JAHFISH E.I.R.L.</t>
  </si>
  <si>
    <t>1200000208</t>
  </si>
  <si>
    <t>01-0F101-0005277</t>
  </si>
  <si>
    <t>JAHFISH E.I.R.L.</t>
  </si>
  <si>
    <t>1200000466</t>
  </si>
  <si>
    <t>01-0F101-0005480</t>
  </si>
  <si>
    <t>JAHFISH E.I.R.L.</t>
  </si>
  <si>
    <t>1200000467</t>
  </si>
  <si>
    <t>01-0F101-0005481</t>
  </si>
  <si>
    <t>JAHFISH E.I.R.L.</t>
  </si>
  <si>
    <t>1200000489</t>
  </si>
  <si>
    <t>01-0F101-0005498</t>
  </si>
  <si>
    <t>JAHFISH E.I.R.L.</t>
  </si>
  <si>
    <t>1200000490</t>
  </si>
  <si>
    <t>01-0F101-0005499</t>
  </si>
  <si>
    <t>JAHFISH E.I.R.L.</t>
  </si>
  <si>
    <t>1200000503</t>
  </si>
  <si>
    <t>01-0F101-0005507</t>
  </si>
  <si>
    <t>JAHFISH E.I.R.L.</t>
  </si>
  <si>
    <t>1200000504</t>
  </si>
  <si>
    <t>01-0F101-0005508</t>
  </si>
  <si>
    <t>JAHFISH E.I.R.L.</t>
  </si>
  <si>
    <t>1200000511</t>
  </si>
  <si>
    <t>01-0F101-0005513</t>
  </si>
  <si>
    <t>JAHFISH E.I.R.L.</t>
  </si>
  <si>
    <t>1200000512</t>
  </si>
  <si>
    <t>01-0F101-0005514</t>
  </si>
  <si>
    <t>JAHFISH E.I.R.L.</t>
  </si>
  <si>
    <t>1200000583</t>
  </si>
  <si>
    <t>01-0F101-0005570</t>
  </si>
  <si>
    <t>JAHFISH E.I.R.L.</t>
  </si>
  <si>
    <t>1200000584</t>
  </si>
  <si>
    <t>01-0F101-0005571</t>
  </si>
  <si>
    <t>JAHFISH E.I.R.L.</t>
  </si>
  <si>
    <t>1200000608</t>
  </si>
  <si>
    <t>01-0F101-0005587</t>
  </si>
  <si>
    <t>JAHFISH E.I.R.L.</t>
  </si>
  <si>
    <t>1200000609</t>
  </si>
  <si>
    <t>01-0F101-0005588</t>
  </si>
  <si>
    <t>JAHFISH E.I.R.L.</t>
  </si>
  <si>
    <t>1200000620</t>
  </si>
  <si>
    <t>01-0F101-0005594</t>
  </si>
  <si>
    <t>JAHFISH E.I.R.L.</t>
  </si>
  <si>
    <t>1200000621</t>
  </si>
  <si>
    <t>01-0F101-0005595</t>
  </si>
  <si>
    <t>JAHFISH E.I.R.L.</t>
  </si>
  <si>
    <t>1200000658</t>
  </si>
  <si>
    <t>01-0F101-0005612</t>
  </si>
  <si>
    <t>JAHFISH E.I.R.L.</t>
  </si>
  <si>
    <t>1200000659</t>
  </si>
  <si>
    <t>01-0F101-0005613</t>
  </si>
  <si>
    <t>JAHFISH E.I.R.L.</t>
  </si>
  <si>
    <t>1200000671</t>
  </si>
  <si>
    <t>01-0F101-0005623</t>
  </si>
  <si>
    <t>JAHFISH E.I.R.L.</t>
  </si>
  <si>
    <t>1200000672</t>
  </si>
  <si>
    <t>01-0F101-0005624</t>
  </si>
  <si>
    <t>JAHFISH E.I.R.L.</t>
  </si>
  <si>
    <t>1200000694</t>
  </si>
  <si>
    <t>01-0F101-0005644</t>
  </si>
  <si>
    <t>JAHFISH E.I.R.L.</t>
  </si>
  <si>
    <t>1200000695</t>
  </si>
  <si>
    <t>01-0F101-0005645</t>
  </si>
  <si>
    <t>JAHFISH E.I.R.L.</t>
  </si>
  <si>
    <t>1200000713</t>
  </si>
  <si>
    <t>01-0F101-0005657</t>
  </si>
  <si>
    <t>JAHFISH E.I.R.L.</t>
  </si>
  <si>
    <t>1200000714</t>
  </si>
  <si>
    <t>01-0F101-0005658</t>
  </si>
  <si>
    <t>JAHFISH E.I.R.L.</t>
  </si>
  <si>
    <t>1200000728</t>
  </si>
  <si>
    <t>01-0F101-0005670</t>
  </si>
  <si>
    <t>JAHFISH E.I.R.L.</t>
  </si>
  <si>
    <t>1200000729</t>
  </si>
  <si>
    <t>01-0F101-0005671</t>
  </si>
  <si>
    <t>JAHFISH E.I.R.L.</t>
  </si>
  <si>
    <t>1200000762</t>
  </si>
  <si>
    <t>01-0F101-0005691</t>
  </si>
  <si>
    <t>JAHFISH E.I.R.L.</t>
  </si>
  <si>
    <t>1200000763</t>
  </si>
  <si>
    <t>01-0F101-0005692</t>
  </si>
  <si>
    <t>JAHFISH E.I.R.L.</t>
  </si>
  <si>
    <t>1200000764</t>
  </si>
  <si>
    <t>01-0F101-0005693</t>
  </si>
  <si>
    <t>JAHFISH E.I.R.L.</t>
  </si>
  <si>
    <t>1200000765</t>
  </si>
  <si>
    <t>01-0F101-0005694</t>
  </si>
  <si>
    <t>JAHFISH E.I.R.L.</t>
  </si>
  <si>
    <t>1200000820</t>
  </si>
  <si>
    <t>01-0F101-0005736</t>
  </si>
  <si>
    <t>JAHFISH E.I.R.L.</t>
  </si>
  <si>
    <t>1200000821</t>
  </si>
  <si>
    <t>01-0F101-0005737</t>
  </si>
  <si>
    <t>JAHFISH E.I.R.L.</t>
  </si>
  <si>
    <t>1200000827</t>
  </si>
  <si>
    <t>01-0F101-0005741</t>
  </si>
  <si>
    <t>JAHFISH E.I.R.L.</t>
  </si>
  <si>
    <t>1200000828</t>
  </si>
  <si>
    <t>01-0F101-0005742</t>
  </si>
  <si>
    <t>2000001172</t>
  </si>
  <si>
    <t>KULALIA SL</t>
  </si>
  <si>
    <t>1300001584</t>
  </si>
  <si>
    <t>FT-0F002-0000264</t>
  </si>
  <si>
    <t>KULALIA SL</t>
  </si>
  <si>
    <t>1200000623</t>
  </si>
  <si>
    <t>01-0F002-0000275</t>
  </si>
  <si>
    <t>KULALIA SL</t>
  </si>
  <si>
    <t>1200000754</t>
  </si>
  <si>
    <t>01-0F002-0000289</t>
  </si>
  <si>
    <t>2000000231</t>
  </si>
  <si>
    <t>LONGKOU JIABAO AQUATIC FOODSTUFFS</t>
  </si>
  <si>
    <t>1200000616</t>
  </si>
  <si>
    <t>01-0F002-0000273</t>
  </si>
  <si>
    <t>2000001409</t>
  </si>
  <si>
    <t>Longkou Yunfeng Aquatic Food Co.,Lt</t>
  </si>
  <si>
    <t>1300001581</t>
  </si>
  <si>
    <t>SALDO A FAVOR</t>
  </si>
  <si>
    <t>1300001598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</si>
  <si>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</si>
  <si>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</si>
  <si>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</si>
  <si>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</si>
  <si>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</si>
  <si>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</si>
  <si>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</si>
  <si>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</si>
  <si>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</si>
  <si>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</si>
  <si>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</si>
  <si>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</si>
  <si>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</si>
  <si>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2000001359</t>
  </si>
  <si>
    <t>OCEANUS FISH S.L.</t>
  </si>
  <si>
    <t>1200000644</t>
  </si>
  <si>
    <t>01-0F002-0000287</t>
  </si>
  <si>
    <t>2000001369</t>
  </si>
  <si>
    <t>OVERSEA ATLANTIC FISH S.L.</t>
  </si>
  <si>
    <t>OVERSEA ATLANTIC FISH S.L.</t>
  </si>
  <si>
    <t>1300001604</t>
  </si>
  <si>
    <t>SALDO A FAVOR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</si>
  <si>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</si>
  <si>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</si>
  <si>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</si>
  <si>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</si>
  <si>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</si>
  <si>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</si>
  <si>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</si>
  <si>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</si>
  <si>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</si>
  <si>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</si>
  <si>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</si>
  <si>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</si>
  <si>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</si>
  <si>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1000015185</t>
  </si>
  <si>
    <t>PESCACORD PERU SOCIEDAD ANONIMA CER</t>
  </si>
  <si>
    <t>1200000594</t>
  </si>
  <si>
    <t>01-0F101-0005579</t>
  </si>
  <si>
    <t>PESCACORD PERU SOCIEDAD ANONIMA CER</t>
  </si>
  <si>
    <t>1200000628</t>
  </si>
  <si>
    <t>01-0F101-0005599</t>
  </si>
  <si>
    <t>PESCACORD PERU SOCIEDAD ANONIMA CER</t>
  </si>
  <si>
    <t>1200000629</t>
  </si>
  <si>
    <t>01-0F101-0005600</t>
  </si>
  <si>
    <t>PESCACORD PERU SOCIEDAD ANONIMA CER</t>
  </si>
  <si>
    <t>1300001708</t>
  </si>
  <si>
    <t>FT-0F101-0005578</t>
  </si>
  <si>
    <t>PESCACORD PERU SOCIEDAD ANONIMA CER</t>
  </si>
  <si>
    <t>1300001728</t>
  </si>
  <si>
    <t>AB DX PESCACORD</t>
  </si>
  <si>
    <t>PESCACORD PERU SOCIEDAD ANONIMA CER</t>
  </si>
  <si>
    <t>1300001729</t>
  </si>
  <si>
    <t>AB DX PESCACORD</t>
  </si>
  <si>
    <t>PESCACORD PERU SOCIEDAD ANONIMA CER</t>
  </si>
  <si>
    <t>1300001730</t>
  </si>
  <si>
    <t>AB DX PESCACORD</t>
  </si>
  <si>
    <t>PESCACORD PERU SOCIEDAD ANONIMA CER</t>
  </si>
  <si>
    <t>1300001731</t>
  </si>
  <si>
    <t>AB DX PESCACORD</t>
  </si>
  <si>
    <t>PESCACORD PERU SOCIEDAD ANONIMA CER</t>
  </si>
  <si>
    <t>1300001732</t>
  </si>
  <si>
    <t>AB DX PESCACORD</t>
  </si>
  <si>
    <t>PESCACORD PERU SOCIEDAD ANONIMA CER</t>
  </si>
  <si>
    <t>1300001733</t>
  </si>
  <si>
    <t>AB DX PESCACORD</t>
  </si>
  <si>
    <t>PESCACORD PERU SOCIEDAD ANONIMA CER</t>
  </si>
  <si>
    <t>1200000689</t>
  </si>
  <si>
    <t>01-0F101-0005641</t>
  </si>
  <si>
    <t>PESCACORD PERU SOCIEDAD ANONIMA CER</t>
  </si>
  <si>
    <t>1200000690</t>
  </si>
  <si>
    <t>01-0F101-0005642</t>
  </si>
  <si>
    <t>PESCACORD PERU SOCIEDAD ANONIMA CER</t>
  </si>
  <si>
    <t>1200000721</t>
  </si>
  <si>
    <t>01-0F101-0005663</t>
  </si>
  <si>
    <t>PESCACORD PERU SOCIEDAD ANONIMA CER</t>
  </si>
  <si>
    <t>1200000722</t>
  </si>
  <si>
    <t>01-0F101-0005664</t>
  </si>
  <si>
    <t>PESCACORD PERU SOCIEDAD ANONIMA CER</t>
  </si>
  <si>
    <t>1200000785</t>
  </si>
  <si>
    <t>01-0F101-0005712</t>
  </si>
  <si>
    <t>PESCACORD PERU SOCIEDAD ANONIMA CER</t>
  </si>
  <si>
    <t>1200000786</t>
  </si>
  <si>
    <t>01-0F101-0005713</t>
  </si>
  <si>
    <t>PESCACORD PERU SOCIEDAD ANONIMA CER</t>
  </si>
  <si>
    <t>1200000794</t>
  </si>
  <si>
    <t>01-0F101-0005714</t>
  </si>
  <si>
    <t>PESCACORD PERU SOCIEDAD ANONIMA CER</t>
  </si>
  <si>
    <t>1200000795</t>
  </si>
  <si>
    <t>01-0F101-0005715</t>
  </si>
  <si>
    <t>2000001411</t>
  </si>
  <si>
    <t>Pesciro Asia International LTD.</t>
  </si>
  <si>
    <t>1300001585</t>
  </si>
  <si>
    <t>FT-0F002-0000260</t>
  </si>
  <si>
    <t>Pesciro Asia International LTD.</t>
  </si>
  <si>
    <t>1300001586</t>
  </si>
  <si>
    <t>FT-0F002-0000267</t>
  </si>
  <si>
    <t>2000000267</t>
  </si>
  <si>
    <t>PESCIRO SLU</t>
  </si>
  <si>
    <t>1300001587</t>
  </si>
  <si>
    <t>FT-0F002-0000265</t>
  </si>
  <si>
    <t>6000434</t>
  </si>
  <si>
    <t>PESQUERA HAYDUK S.A.</t>
  </si>
  <si>
    <t>1200004540</t>
  </si>
  <si>
    <t>01-0F003-0000083</t>
  </si>
  <si>
    <t>1000001607</t>
  </si>
  <si>
    <t>PROVEEDORA DE PRODUCTOS MARINOS</t>
  </si>
  <si>
    <t>1200000640</t>
  </si>
  <si>
    <t>01-0F003-0000179</t>
  </si>
  <si>
    <t>PROVEEDORA DE PRODUCTOS MARINOS</t>
  </si>
  <si>
    <t>1200000645</t>
  </si>
  <si>
    <t>01-0F003-0000180</t>
  </si>
  <si>
    <t>Qingdao Haiyujia International</t>
  </si>
  <si>
    <t>1300001727</t>
  </si>
  <si>
    <t>ANTICIPO QINGHAI</t>
  </si>
  <si>
    <t>1000001965</t>
  </si>
  <si>
    <t>SERVICIOS DIESEL EXPRESS E.I.R.L.</t>
  </si>
  <si>
    <t>1200000669</t>
  </si>
  <si>
    <t>01-0F101-0005621</t>
  </si>
  <si>
    <t>SERVICIOS DIESEL EXPRESS E.I.R.L.</t>
  </si>
  <si>
    <t>1200000691</t>
  </si>
  <si>
    <t>01-0F101-0005643</t>
  </si>
  <si>
    <t>SERVICIOS DIESEL EXPRESS E.I.R.L.</t>
  </si>
  <si>
    <t>1200000723</t>
  </si>
  <si>
    <t>01-0F101-0005665</t>
  </si>
  <si>
    <t>SERVICIOS DIESEL EXPRESS E.I.R.L.</t>
  </si>
  <si>
    <t>1200000761</t>
  </si>
  <si>
    <t>01-0F101-0005690</t>
  </si>
  <si>
    <t>SERVICIOS DIESEL EXPRESS E.I.R.L.</t>
  </si>
  <si>
    <t>1200000822</t>
  </si>
  <si>
    <t>01-0F101-0005738</t>
  </si>
  <si>
    <t>2000001418</t>
  </si>
  <si>
    <t>Shandong Sheenier Food Co., Ltd.</t>
  </si>
  <si>
    <t>1300001610</t>
  </si>
  <si>
    <t>ANTICIPO SHANSHE</t>
  </si>
  <si>
    <t>Shandong Sheenier Food Co., Ltd.</t>
  </si>
  <si>
    <t>1200000646</t>
  </si>
  <si>
    <t>01-0F002-0000288</t>
  </si>
  <si>
    <t>1000013801</t>
  </si>
  <si>
    <t>STL 5.0 S.A.C.</t>
  </si>
  <si>
    <t>1300001709</t>
  </si>
  <si>
    <t>SALDO A FAVOR</t>
  </si>
  <si>
    <t>STL 5.0 S.A.C.</t>
  </si>
  <si>
    <t>1200000667</t>
  </si>
  <si>
    <t>01-0F101-0005619</t>
  </si>
  <si>
    <t>STL 5.0 S.A.C.</t>
  </si>
  <si>
    <t>1200000668</t>
  </si>
  <si>
    <t>01-0F101-0005620</t>
  </si>
  <si>
    <t>STL 5.0 S.A.C.</t>
  </si>
  <si>
    <t>1200000704</t>
  </si>
  <si>
    <t>01-0F101-0005650</t>
  </si>
  <si>
    <t>STL 5.0 S.A.C.</t>
  </si>
  <si>
    <t>1200000751</t>
  </si>
  <si>
    <t>01-0F101-0005685</t>
  </si>
  <si>
    <t>STL 5.0 S.A.C.</t>
  </si>
  <si>
    <t>1200000752</t>
  </si>
  <si>
    <t>01-0F101-0005686</t>
  </si>
  <si>
    <t>STL 5.0 S.A.C.</t>
  </si>
  <si>
    <t>1200000753</t>
  </si>
  <si>
    <t>01-0F101-0005687</t>
  </si>
  <si>
    <t>1000013794</t>
  </si>
  <si>
    <t>TECAMPA EIRL</t>
  </si>
  <si>
    <t>1300005699</t>
  </si>
  <si>
    <t>FT-0F101-0004285</t>
  </si>
  <si>
    <t>1000013686</t>
  </si>
  <si>
    <t>TRANSPORTES O Y G S.A.C.</t>
  </si>
  <si>
    <t>1200000660</t>
  </si>
  <si>
    <t>01-0F101-0005614</t>
  </si>
  <si>
    <t>2000000786</t>
  </si>
  <si>
    <t>TSUJINO &amp; CO., LTD</t>
  </si>
  <si>
    <t>TSUJINO &amp; CO., LTD</t>
  </si>
  <si>
    <t>1200000614</t>
  </si>
  <si>
    <t>01-0F002-0000271</t>
  </si>
  <si>
    <t>TSUJINO &amp; CO., LTD</t>
  </si>
  <si>
    <t>1200000615</t>
  </si>
  <si>
    <t>01-0F002-0000272</t>
  </si>
  <si>
    <t>TSUJINO &amp; CO., LTD</t>
  </si>
  <si>
    <t>1200000624</t>
  </si>
  <si>
    <t>01-0F002-0000276</t>
  </si>
  <si>
    <t>TSUJINO &amp; CO., LTD</t>
  </si>
  <si>
    <t>1200000625</t>
  </si>
  <si>
    <t>01-0F002-0000277</t>
  </si>
  <si>
    <t>TSUJINO &amp; CO., LTD</t>
  </si>
  <si>
    <t>1200000630</t>
  </si>
  <si>
    <t>01-0F002-0000278</t>
  </si>
  <si>
    <t>TSUJINO &amp; CO., LTD</t>
  </si>
  <si>
    <t>1200000632</t>
  </si>
  <si>
    <t>01-0F002-0000280</t>
  </si>
  <si>
    <t>TSUJINO &amp; CO., LTD</t>
  </si>
  <si>
    <t>1200000802</t>
  </si>
  <si>
    <t>01-0F002-0000290</t>
  </si>
  <si>
    <t>TSUJINO &amp; CO., LTD</t>
  </si>
  <si>
    <t>1200000803</t>
  </si>
  <si>
    <t>01-0F002-0000291</t>
  </si>
  <si>
    <t>2000001069</t>
  </si>
  <si>
    <t>YANTAI TAIXI FOODSTUFF CO., LTD</t>
  </si>
  <si>
    <t>1300001606</t>
  </si>
  <si>
    <t>ANTICIPO YANTAIT</t>
  </si>
  <si>
    <t>UNIDAD DE NEGOCIO</t>
  </si>
  <si>
    <t>NACIONAL</t>
  </si>
  <si>
    <t>OTROS</t>
  </si>
  <si>
    <t>RESIDUOS</t>
  </si>
  <si>
    <t>CISTERNA</t>
  </si>
  <si>
    <t>RODRIGO</t>
  </si>
  <si>
    <t>Etiquetas de columna</t>
  </si>
  <si>
    <t>Etiquetas de fila</t>
  </si>
  <si>
    <t>Total general</t>
  </si>
  <si>
    <t>EXPORTACIÓN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</si>
  <si>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</si>
  <si>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</si>
  <si>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</si>
  <si>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</si>
  <si>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</si>
  <si>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</si>
  <si>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</si>
  <si>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</si>
  <si>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</si>
  <si>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(Todas)</t>
  </si>
  <si>
    <t>Mar</t>
  </si>
  <si>
    <t>Abr</t>
  </si>
  <si>
    <t>May</t>
  </si>
  <si>
    <t>(Varios elementos)</t>
  </si>
  <si>
    <t>Suma de USD HOMOL</t>
  </si>
  <si>
    <t>Suma de DÍAS VENCIDOS</t>
  </si>
  <si>
    <t>Suma de DÍAS ATRASADOS</t>
  </si>
  <si>
    <t>01-0F002-0000298</t>
  </si>
  <si>
    <t>ANTICIPO LONGYUN</t>
  </si>
  <si>
    <t>2026</t>
  </si>
  <si>
    <t>&lt;14/04/2026</t>
  </si>
  <si>
    <t>Total 2026</t>
  </si>
  <si>
    <t>Total Abr</t>
  </si>
  <si>
    <t>Total May</t>
  </si>
  <si>
    <t>14-Abr</t>
  </si>
  <si>
    <t>21-Abr</t>
  </si>
  <si>
    <t>29-Abr</t>
  </si>
  <si>
    <t>2-May</t>
  </si>
  <si>
    <t>5-May</t>
  </si>
  <si>
    <t>12-May</t>
  </si>
  <si>
    <t>13-May</t>
  </si>
  <si>
    <t>14-May</t>
  </si>
  <si>
    <t>23-May</t>
  </si>
  <si>
    <t>20-Abr</t>
  </si>
  <si>
    <t>28-May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</si>
</sst>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2" applyFont="1" applyFill="1" applyAlignment="1">
      <alignment vertical="top" wrapText="1"/>
    </xf>
    <xf numFmtId="0" fontId="4" fillId="5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0" fontId="3" fillId="0" borderId="0" xfId="0" applyFont="1" applyAlignment="1">
      <alignment horizontal="center" vertical="top"/>
    </xf>
    <xf numFmtId="43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5" fontId="0" fillId="5" borderId="0" xfId="0" applyNumberFormat="1" applyFill="1" applyAlignment="1">
      <alignment vertical="top"/>
    </xf>
    <xf numFmtId="165" fontId="0" fillId="6" borderId="0" xfId="0" applyNumberFormat="1" applyFill="1" applyAlignment="1">
      <alignment vertical="top"/>
    </xf>
    <xf numFmtId="165" fontId="0" fillId="0" borderId="0" xfId="0" applyNumberFormat="1" applyFill="1" applyAlignment="1">
      <alignment vertical="top"/>
    </xf>
  </cellXfs>
  <cellStyles count="3">
    <cellStyle name="Millares" xfId="1" builtinId="3"/>
    <cellStyle name="Normal" xfId="0" builtinId="0"/>
    <cellStyle name="Normal 2" xfId="2" xr:uid="{11C01E7A-EB1C-4537-B41D-B4CED5CDD78B}"/>
  </cellStyles>
  <dxfs count="194"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32.56547199074" createdVersion="8" refreshedVersion="8" minRefreshableVersion="3" recordCount="159" xr:uid="{AC103C0C-2808-4C4B-96E6-9AF66CE6D580}">
  <cacheSource type="worksheet">
    <worksheetSource ref="A1:T1048576" sheet="Data"/>
  </cacheSource>
  <cacheFields count="28">
    <cacheField name="Cliente" numFmtId="0">
      <sharedItems containsBlank="1" containsMixedTypes="1" containsNumber="1" containsInteger="1" minValue="2000001419" maxValue="2000001419"/>
    </cacheField>
    <cacheField name="Nombre de cliente" numFmtId="0">
      <sharedItems containsBlank="1" count="33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INVERSIONES JOCYMAS SOCIEDAD ANONIM"/>
        <s v="JAHFISH E.I.R.L."/>
        <s v="KULALIA SL"/>
        <s v="LONGKOU JIABAO AQUATIC FOODSTUFFS"/>
        <s v="Longkou Yunfeng Aquatic Food Co.,Lt"/>
        <s v="NAVAPEZ E.I.R.L."/>
        <s v="OCEANUS FISH S.L."/>
        <s v="OVERSEA ATLANTIC FISH S.L."/>
        <s v="PEGASUS ENTERPRISE S.A.C."/>
        <s v="PESCACORD PERU SOCIEDAD ANONIMA CER"/>
        <s v="Pesciro Asia International LTD."/>
        <s v="PESCIRO SLU"/>
        <s v="PESQUERA HAYDUK S.A."/>
        <s v="PROVEEDORA DE PRODUCTOS MARINOS"/>
        <s v="Qingdao Haiyujia International"/>
        <s v="SERVICIOS DIESEL EXPRESS E.I.R.L."/>
        <s v="Shandong Sheenier Food Co., Ltd."/>
        <s v="STL 5.0 S.A.C."/>
        <s v="TECAMPA EIRL"/>
        <s v="TRANSPORTES O Y G S.A.C."/>
        <s v="TSUJINO &amp; CO., LTD"/>
        <s v="YANTAI TAIXI FOODSTUFF CO., LTD"/>
        <m/>
        <s v="Hunan Jinyueyang Import and Export" u="1"/>
        <s v="LONGKOU BOHAI FOODSTUFF CO.," u="1"/>
        <s v="SACRAMENTO CO., LTD" u="1"/>
      </sharedItems>
    </cacheField>
    <cacheField name="Nº documento" numFmtId="0">
      <sharedItems containsBlank="1"/>
    </cacheField>
    <cacheField name="Referencia" numFmtId="0">
      <sharedItems containsBlank="1" count="157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1-0F002-0000251"/>
        <s v="03-0B001-0004349"/>
        <s v="03-0B001-0004350"/>
        <s v="03-0B001-0004357"/>
        <s v="03-0B001-0004358"/>
        <s v="03-0B001-0004367"/>
        <s v="03-0B001-0004368"/>
        <s v="01-0F101-0005458"/>
        <s v="01-0F101-0005470"/>
        <s v="01-0F101-0005482"/>
        <s v="01-0F101-0005569"/>
        <s v="01-0F101-0005730"/>
        <s v="01-0F101-0005740"/>
        <s v="01-0F101-0005734"/>
        <s v="01-0F101-0005735"/>
        <s v="01-0F002-0000270"/>
        <s v="01-0F002-0000281"/>
        <s v="01-0F002-0000282"/>
        <s v="01-0F002-0000283"/>
        <s v="01-0F002-0000284"/>
        <s v="01-0F002-0000285"/>
        <s v="01-0F002-0000286"/>
        <s v="03-0B001-0004347"/>
        <s v="03-0B001-0004348"/>
        <s v="03-0B001-0004359"/>
        <s v="03-0B001-0004360"/>
        <s v="03-0B001-0004369"/>
        <s v="03-0B001-0004370"/>
        <s v="01-0F101-0005653"/>
        <s v="01-0F101-0005654"/>
        <s v="01-0F101-0005675"/>
        <s v="01-0F101-0005733"/>
        <s v="01-0F101-0005222"/>
        <s v="01-0F101-0005223"/>
        <s v="01-0F101-0005247"/>
        <s v="01-0F101-0005248"/>
        <s v="01-0F101-0005276"/>
        <s v="01-0F101-0005277"/>
        <s v="01-0F101-0005480"/>
        <s v="01-0F101-0005481"/>
        <s v="01-0F101-0005498"/>
        <s v="01-0F101-0005499"/>
        <s v="01-0F101-0005507"/>
        <s v="01-0F101-0005508"/>
        <s v="01-0F101-0005513"/>
        <s v="01-0F101-0005514"/>
        <s v="01-0F101-0005570"/>
        <s v="01-0F101-0005571"/>
        <s v="01-0F101-0005587"/>
        <s v="01-0F101-0005588"/>
        <s v="01-0F101-0005594"/>
        <s v="01-0F101-0005595"/>
        <s v="01-0F101-0005612"/>
        <s v="01-0F101-0005613"/>
        <s v="01-0F101-0005623"/>
        <s v="01-0F101-0005624"/>
        <s v="01-0F101-0005644"/>
        <s v="01-0F101-0005645"/>
        <s v="01-0F101-0005657"/>
        <s v="01-0F101-0005658"/>
        <s v="01-0F101-0005670"/>
        <s v="01-0F101-0005671"/>
        <s v="01-0F101-0005691"/>
        <s v="01-0F101-0005692"/>
        <s v="01-0F101-0005693"/>
        <s v="01-0F101-0005694"/>
        <s v="01-0F101-0005736"/>
        <s v="01-0F101-0005737"/>
        <s v="01-0F101-0005741"/>
        <s v="01-0F101-0005742"/>
        <s v="FT-0F002-0000264"/>
        <s v="01-0F002-0000275"/>
        <s v="01-0F002-0000289"/>
        <s v="01-0F002-0000273"/>
        <s v="SALDO A FAVOR"/>
        <s v="ANTICIPO LONGYUN"/>
        <s v="01-0F101-0004638"/>
        <s v="01-0F101-0004639"/>
        <s v="01-0F101-0004653"/>
        <s v="01-0F101-0004654"/>
        <s v="01-0F002-0000287"/>
        <s v="01-0F002-0000298"/>
        <s v="FT-0F003-0000101"/>
        <s v="01-0F003-0000129"/>
        <s v="01-0F003-0000168"/>
        <s v="01-0F003-0000174"/>
        <s v="01-0F101-0005579"/>
        <s v="01-0F101-0005599"/>
        <s v="01-0F101-0005600"/>
        <s v="FT-0F101-0005578"/>
        <s v="AB DX PESCACORD"/>
        <s v="01-0F101-0005641"/>
        <s v="01-0F101-0005642"/>
        <s v="01-0F101-0005663"/>
        <s v="01-0F101-0005664"/>
        <s v="01-0F101-0005712"/>
        <s v="01-0F101-0005713"/>
        <s v="01-0F101-0005714"/>
        <s v="01-0F101-0005715"/>
        <s v="FT-0F002-0000260"/>
        <s v="FT-0F002-0000267"/>
        <s v="FT-0F002-0000265"/>
        <s v="01-0F003-0000083"/>
        <s v="01-0F003-0000179"/>
        <s v="01-0F003-0000180"/>
        <s v="ANTICIPO QINGHAI"/>
        <s v="01-0F101-0005621"/>
        <s v="01-0F101-0005643"/>
        <s v="01-0F101-0005665"/>
        <s v="01-0F101-0005690"/>
        <s v="01-0F101-0005738"/>
        <s v="ANTICIPO SHANSHE"/>
        <s v="01-0F002-0000288"/>
        <s v="01-0F101-0005619"/>
        <s v="01-0F101-0005620"/>
        <s v="01-0F101-0005650"/>
        <s v="01-0F101-0005685"/>
        <s v="01-0F101-0005686"/>
        <s v="01-0F101-0005687"/>
        <s v="FT-0F101-0004285"/>
        <s v="01-0F101-0005614"/>
        <s v="01-0F002-0000271"/>
        <s v="01-0F002-0000272"/>
        <s v="01-0F002-0000276"/>
        <s v="01-0F002-0000277"/>
        <s v="01-0F002-0000278"/>
        <s v="01-0F002-0000280"/>
        <s v="01-0F002-0000290"/>
        <s v="01-0F002-0000291"/>
        <s v="ANTICIPO YANTAIT"/>
        <m/>
        <s v="01-0F002-0000246" u="1"/>
        <s v="ANTICIPO DAIRECK" u="1"/>
        <s v="FT-0F002-0000252" u="1"/>
        <s v="01-0F002-0000274" u="1"/>
        <s v="FT-0F002-0000256" u="1"/>
        <s v="FT-0F002-0000257" u="1"/>
        <s v="FT-0F002-0000254" u="1"/>
        <s v="01-0F002-0000262" u="1"/>
        <s v="01-0F002-0000266" u="1"/>
      </sharedItems>
    </cacheField>
    <cacheField name="Clase de documento" numFmtId="0">
      <sharedItems containsBlank="1" count="6">
        <s v="DF"/>
        <s v="DE"/>
        <s v="DB"/>
        <s v="ZV"/>
        <s v="DZ"/>
        <m/>
      </sharedItems>
    </cacheField>
    <cacheField name="Fecha de documento" numFmtId="0">
      <sharedItems containsNonDate="0" containsDate="1" containsString="0" containsBlank="1" minDate="2025-10-07T00:00:00" maxDate="2026-04-21T00:00:00" count="53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2-28T00:00:00"/>
        <d v="2026-04-05T00:00:00"/>
        <d v="2026-04-07T00:00:00"/>
        <d v="2026-04-08T00:00:00"/>
        <d v="2026-03-17T00:00:00"/>
        <d v="2026-03-19T00:00:00"/>
        <d v="2026-03-21T00:00:00"/>
        <d v="2026-03-30T00:00:00"/>
        <d v="2026-04-09T00:00:00"/>
        <d v="2026-04-10T00:00:00"/>
        <d v="2026-03-29T00:00:00"/>
        <d v="2026-03-31T00:00:00"/>
        <d v="2026-04-06T00:00:00"/>
        <d v="2026-01-14T00:00:00"/>
        <d v="2026-01-29T00:00:00"/>
        <d v="2026-02-05T00:00:00"/>
        <d v="2026-03-23T00:00:00"/>
        <d v="2026-03-24T00:00:00"/>
        <d v="2026-04-01T00:00:00"/>
        <d v="2026-04-04T00:00:00"/>
        <d v="2026-03-15T00:00:00"/>
        <d v="2026-03-28T00:00:00"/>
        <d v="2026-04-14T00:00:00"/>
        <d v="2025-11-03T00:00:00"/>
        <d v="2025-11-06T00:00:00"/>
        <d v="2026-04-20T00:00:00"/>
        <d v="2026-04-13T00:00:00"/>
        <d v="2025-10-21T00:00:00"/>
        <d v="2025-11-04T00:00:00"/>
        <d v="2026-01-31T00:00:00"/>
        <d v="2026-03-03T00:00:00"/>
        <d v="2026-03-07T00:00:00"/>
        <d v="2026-03-18T00:00:00"/>
        <d v="2025-10-07T00:00:00"/>
        <d v="2026-04-15T00:00:00"/>
        <d v="2026-03-02T00:00:00"/>
        <d v="2025-10-12T00:00:00"/>
        <m/>
        <d v="2026-02-02T00:00:00" u="1"/>
        <d v="2026-02-23T00:00:00" u="1"/>
        <d v="2026-03-27T00:00:00" u="1"/>
        <d v="2026-03-26T00:00:00" u="1"/>
        <d v="2026-03-10T00:00:00" u="1"/>
      </sharedItems>
      <fieldGroup par="25"/>
    </cacheField>
    <cacheField name="Demora tras vencimiento neto" numFmtId="0">
      <sharedItems containsString="0" containsBlank="1" containsNumber="1" containsInteger="1" minValue="-40" maxValue="183"/>
    </cacheField>
    <cacheField name="Fecha de pago" numFmtId="0">
      <sharedItems containsNonDate="0" containsDate="1" containsString="0" containsBlank="1" minDate="2025-10-12T00:00:00" maxDate="2026-05-29T00:00:00"/>
    </cacheField>
    <cacheField name="Importe en moneda doc." numFmtId="0">
      <sharedItems containsString="0" containsBlank="1" containsNumber="1" minValue="-168395" maxValue="669600"/>
    </cacheField>
    <cacheField name="Moneda del documento" numFmtId="0">
      <sharedItems containsBlank="1"/>
    </cacheField>
    <cacheField name="UNIDAD DE NEGOCIO" numFmtId="0">
      <sharedItems containsBlank="1" count="7">
        <s v="NACIONAL"/>
        <s v="EXPORTACIÓN"/>
        <s v="RODRIGO"/>
        <s v="CISTERNA"/>
        <s v="OTROS"/>
        <s v="RESIDUOS"/>
        <m/>
      </sharedItems>
    </cacheField>
    <cacheField name="Doc.compensación" numFmtId="0">
      <sharedItems containsBlank="1"/>
    </cacheField>
    <cacheField name="Bloqueo de pago" numFmtId="0">
      <sharedItems containsBlank="1"/>
    </cacheField>
    <cacheField name="FECHA IDEAL DE PAGO" numFmtId="0">
      <sharedItems containsNonDate="0" containsDate="1" containsString="0" containsBlank="1" minDate="2026-04-14T00:00:00" maxDate="2026-06-05T00:00:00"/>
    </cacheField>
    <cacheField name="DÍAS VENCIDOS" numFmtId="0">
      <sharedItems containsString="0" containsBlank="1" containsNumber="1" containsInteger="1" minValue="1" maxValue="33"/>
    </cacheField>
    <cacheField name="Vcto finanzas SEMANA PASADA" numFmtId="0">
      <sharedItems containsNonDate="0" containsDate="1" containsString="0" containsBlank="1" minDate="2026-04-14T00:00:00" maxDate="2026-05-29T00:00:00" count="12">
        <m/>
        <d v="2026-04-14T00:00:00"/>
        <d v="2026-05-05T00:00:00"/>
        <d v="2026-05-13T00:00:00"/>
        <d v="2026-04-29T00:00:00"/>
        <d v="2026-05-12T00:00:00"/>
        <d v="2026-05-23T00:00:00"/>
        <d v="2026-04-20T00:00:00"/>
        <d v="2026-05-28T00:00:00"/>
        <d v="2026-04-21T00:00:00"/>
        <d v="2026-05-02T00:00:00"/>
        <d v="2026-05-14T00:00:00"/>
      </sharedItems>
      <fieldGroup par="27"/>
    </cacheField>
    <cacheField name="Vcto finanzas" numFmtId="0">
      <sharedItems containsNonDate="0" containsDate="1" containsString="0" containsBlank="1" minDate="2025-10-12T00:00:00" maxDate="2026-05-29T00:00:00" count="55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4-30T00:00:00"/>
        <d v="2026-04-12T00:00:00"/>
        <d v="2026-04-07T00:00:00"/>
        <d v="2026-04-08T00:00:00"/>
        <d v="2026-03-24T00:00:00"/>
        <d v="2026-03-26T00:00:00"/>
        <d v="2026-03-28T00:00:00"/>
        <d v="2026-04-06T00:00:00"/>
        <d v="2026-04-16T00:00:00"/>
        <d v="2026-04-17T00:00:00"/>
        <d v="2026-05-05T00:00:00"/>
        <d v="2026-05-13T00:00:00"/>
        <d v="2026-04-14T00:00:00"/>
        <d v="2026-04-15T00:00:00"/>
        <d v="2026-04-13T00:00:00"/>
        <d v="2026-04-09T00:00:00"/>
        <d v="2026-01-21T00:00:00"/>
        <d v="2026-02-05T00:00:00"/>
        <d v="2026-02-12T00:00:00"/>
        <d v="2026-03-30T00:00:00"/>
        <d v="2026-03-31T00:00:00"/>
        <d v="2026-04-11T00:00:00"/>
        <d v="2026-04-29T00:00:00"/>
        <d v="2026-05-12T00:00:00"/>
        <d v="2026-05-23T00:00:00"/>
        <d v="2026-03-17T00:00:00"/>
        <d v="2025-11-10T00:00:00"/>
        <d v="2025-11-13T00:00:00"/>
        <d v="2026-04-20T00:00:00"/>
        <d v="2026-05-28T00:00:00"/>
        <d v="2025-10-21T00:00:00"/>
        <d v="2025-11-11T00:00:00"/>
        <d v="2026-02-07T00:00:00"/>
        <d v="2026-03-10T00:00:00"/>
        <d v="2026-04-21T00:00:00"/>
        <d v="2026-05-02T00:00:00"/>
        <d v="2025-10-14T00:00:00"/>
        <d v="2026-04-03T00:00:00"/>
        <d v="2026-05-14T00:00:00"/>
        <d v="2026-03-23T00:00:00"/>
        <d v="2025-10-12T00:00:00"/>
        <m/>
        <d v="2026-02-02T00:00:00" u="1"/>
        <d v="2026-03-15T00:00:00" u="1"/>
        <d v="2026-04-24T00:00:00" u="1"/>
      </sharedItems>
      <fieldGroup par="22"/>
    </cacheField>
    <cacheField name="USD HOMOL" numFmtId="0">
      <sharedItems containsString="0" containsBlank="1" containsNumber="1" minValue="-168395" maxValue="669600"/>
    </cacheField>
    <cacheField name="DÍAS ATRASADOS" numFmtId="0">
      <sharedItems containsString="0" containsBlank="1" containsNumber="1" containsInteger="1" minValue="0" maxValue="51"/>
    </cacheField>
    <cacheField name="ANTIGÜEDAD" numFmtId="0">
      <sharedItems containsBlank="1" count="3">
        <m/>
        <s v="46-60"/>
        <s v="0-45"/>
      </sharedItems>
    </cacheField>
    <cacheField name="Meses (Vcto finanzas)" numFmtId="0" databaseField="0">
      <fieldGroup base="16">
        <rangePr groupBy="months" startDate="2025-10-12T00:00:00" endDate="2026-05-29T00:00:00"/>
        <groupItems count="14">
          <s v="&lt;12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9/05/2026"/>
        </groupItems>
      </fieldGroup>
    </cacheField>
    <cacheField name="Trimestres (Vcto finanzas)" numFmtId="0" databaseField="0">
      <fieldGroup base="16">
        <rangePr groupBy="quarters" startDate="2025-10-12T00:00:00" endDate="2026-05-29T00:00:00"/>
        <groupItems count="6">
          <s v="&lt;12/10/2025"/>
          <s v="Trim.1"/>
          <s v="Trim.2"/>
          <s v="Trim.3"/>
          <s v="Trim.4"/>
          <s v="&gt;29/05/2026"/>
        </groupItems>
      </fieldGroup>
    </cacheField>
    <cacheField name="Años (Vcto finanzas)" numFmtId="0" databaseField="0">
      <fieldGroup base="16">
        <rangePr groupBy="years" startDate="2025-10-12T00:00:00" endDate="2026-05-29T00:00:00"/>
        <groupItems count="4">
          <s v="&lt;12/10/2025"/>
          <s v="2025"/>
          <s v="2026"/>
          <s v="&gt;29/05/2026"/>
        </groupItems>
      </fieldGroup>
    </cacheField>
    <cacheField name="Meses (Fecha de documento)" numFmtId="0" databaseField="0">
      <fieldGroup base="5">
        <rangePr groupBy="months" startDate="2025-10-07T00:00:00" endDate="2026-04-21T00:00:00"/>
        <groupItems count="14">
          <s v="&lt;7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1/04/2026"/>
        </groupItems>
      </fieldGroup>
    </cacheField>
    <cacheField name="Trimestres (Fecha de documento)" numFmtId="0" databaseField="0">
      <fieldGroup base="5">
        <rangePr groupBy="quarters" startDate="2025-10-07T00:00:00" endDate="2026-04-21T00:00:00"/>
        <groupItems count="6">
          <s v="&lt;7/10/2025"/>
          <s v="Trim.1"/>
          <s v="Trim.2"/>
          <s v="Trim.3"/>
          <s v="Trim.4"/>
          <s v="&gt;21/04/2026"/>
        </groupItems>
      </fieldGroup>
    </cacheField>
    <cacheField name="Años (Fecha de documento)" numFmtId="0" databaseField="0">
      <fieldGroup base="5">
        <rangePr groupBy="years" startDate="2025-10-07T00:00:00" endDate="2026-04-21T00:00:00"/>
        <groupItems count="4">
          <s v="&lt;7/10/2025"/>
          <s v="2025"/>
          <s v="2026"/>
          <s v="&gt;21/04/2026"/>
        </groupItems>
      </fieldGroup>
    </cacheField>
    <cacheField name="Días (Vcto finanzas SEMANA PASADA)" numFmtId="0" databaseField="0">
      <fieldGroup base="15">
        <rangePr groupBy="days" startDate="2026-04-14T00:00:00" endDate="2026-05-29T00:00:00"/>
        <groupItems count="368">
          <s v="&lt;14/04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9/05/2026"/>
        </groupItems>
      </fieldGroup>
    </cacheField>
    <cacheField name="Meses (Vcto finanzas SEMANA PASADA)" numFmtId="0" databaseField="0">
      <fieldGroup base="15">
        <rangePr groupBy="months" startDate="2026-04-14T00:00:00" endDate="2026-05-29T00:00:00"/>
        <groupItems count="14">
          <s v="&lt;14/04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9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s v="1000013966"/>
    <x v="0"/>
    <s v="1200005220"/>
    <x v="0"/>
    <x v="0"/>
    <x v="0"/>
    <n v="138"/>
    <d v="2025-11-26T00:00:00"/>
    <n v="42.48"/>
    <s v="PEN"/>
    <x v="0"/>
    <s v=""/>
    <s v=""/>
    <m/>
    <m/>
    <x v="0"/>
    <x v="0"/>
    <n v="12.549483013293944"/>
    <m/>
    <x v="0"/>
  </r>
  <r>
    <s v="1000013966"/>
    <x v="0"/>
    <s v="1200005228"/>
    <x v="1"/>
    <x v="0"/>
    <x v="0"/>
    <n v="138"/>
    <d v="2025-11-26T00:00:00"/>
    <n v="14.16"/>
    <s v="PEN"/>
    <x v="0"/>
    <s v=""/>
    <s v=""/>
    <m/>
    <m/>
    <x v="0"/>
    <x v="0"/>
    <n v="4.183161004431315"/>
    <m/>
    <x v="0"/>
  </r>
  <r>
    <s v="1000013966"/>
    <x v="0"/>
    <s v="1200005242"/>
    <x v="2"/>
    <x v="0"/>
    <x v="0"/>
    <n v="138"/>
    <d v="2025-11-26T00:00:00"/>
    <n v="14.16"/>
    <s v="PEN"/>
    <x v="0"/>
    <s v=""/>
    <s v=""/>
    <m/>
    <m/>
    <x v="0"/>
    <x v="0"/>
    <n v="4.183161004431315"/>
    <m/>
    <x v="0"/>
  </r>
  <r>
    <s v="1000013966"/>
    <x v="0"/>
    <s v="1200005264"/>
    <x v="3"/>
    <x v="0"/>
    <x v="1"/>
    <n v="137"/>
    <d v="2025-11-27T00:00:00"/>
    <n v="28.32"/>
    <s v="PEN"/>
    <x v="0"/>
    <s v=""/>
    <s v=""/>
    <m/>
    <m/>
    <x v="0"/>
    <x v="1"/>
    <n v="8.36632200886263"/>
    <m/>
    <x v="0"/>
  </r>
  <r>
    <s v="1000013966"/>
    <x v="0"/>
    <s v="1200005271"/>
    <x v="4"/>
    <x v="0"/>
    <x v="1"/>
    <n v="137"/>
    <d v="2025-11-27T00:00:00"/>
    <n v="14.16"/>
    <s v="PEN"/>
    <x v="0"/>
    <s v=""/>
    <s v=""/>
    <m/>
    <m/>
    <x v="0"/>
    <x v="1"/>
    <n v="4.183161004431315"/>
    <m/>
    <x v="0"/>
  </r>
  <r>
    <s v="1000013966"/>
    <x v="0"/>
    <s v="1200005296"/>
    <x v="5"/>
    <x v="0"/>
    <x v="2"/>
    <n v="136"/>
    <d v="2025-11-28T00:00:00"/>
    <n v="28.32"/>
    <s v="PEN"/>
    <x v="0"/>
    <s v=""/>
    <s v=""/>
    <m/>
    <m/>
    <x v="0"/>
    <x v="2"/>
    <n v="8.36632200886263"/>
    <m/>
    <x v="0"/>
  </r>
  <r>
    <s v="1000013966"/>
    <x v="0"/>
    <s v="1200005302"/>
    <x v="6"/>
    <x v="0"/>
    <x v="2"/>
    <n v="136"/>
    <d v="2025-11-28T00:00:00"/>
    <n v="42.48"/>
    <s v="PEN"/>
    <x v="0"/>
    <s v=""/>
    <s v=""/>
    <m/>
    <m/>
    <x v="0"/>
    <x v="2"/>
    <n v="12.549483013293944"/>
    <m/>
    <x v="0"/>
  </r>
  <r>
    <s v="1000013966"/>
    <x v="0"/>
    <s v="1200005304"/>
    <x v="7"/>
    <x v="0"/>
    <x v="2"/>
    <n v="136"/>
    <d v="2025-11-28T00:00:00"/>
    <n v="42.48"/>
    <s v="PEN"/>
    <x v="0"/>
    <s v=""/>
    <s v=""/>
    <m/>
    <m/>
    <x v="0"/>
    <x v="2"/>
    <n v="12.549483013293944"/>
    <m/>
    <x v="0"/>
  </r>
  <r>
    <s v="1000013966"/>
    <x v="0"/>
    <s v="1200005313"/>
    <x v="8"/>
    <x v="0"/>
    <x v="2"/>
    <n v="136"/>
    <d v="2025-11-28T00:00:00"/>
    <n v="14.16"/>
    <s v="PEN"/>
    <x v="0"/>
    <s v=""/>
    <s v=""/>
    <m/>
    <m/>
    <x v="0"/>
    <x v="2"/>
    <n v="4.183161004431315"/>
    <m/>
    <x v="0"/>
  </r>
  <r>
    <s v="1000013966"/>
    <x v="0"/>
    <s v="1200005346"/>
    <x v="9"/>
    <x v="0"/>
    <x v="3"/>
    <n v="135"/>
    <d v="2025-11-29T00:00:00"/>
    <n v="28.32"/>
    <s v="PEN"/>
    <x v="0"/>
    <s v=""/>
    <s v=""/>
    <m/>
    <m/>
    <x v="0"/>
    <x v="3"/>
    <n v="8.36632200886263"/>
    <m/>
    <x v="0"/>
  </r>
  <r>
    <s v="1000013966"/>
    <x v="0"/>
    <s v="1200005422"/>
    <x v="10"/>
    <x v="0"/>
    <x v="4"/>
    <n v="130"/>
    <d v="2025-12-04T00:00:00"/>
    <n v="14.16"/>
    <s v="PEN"/>
    <x v="0"/>
    <s v=""/>
    <s v=""/>
    <m/>
    <m/>
    <x v="0"/>
    <x v="4"/>
    <n v="4.183161004431315"/>
    <m/>
    <x v="0"/>
  </r>
  <r>
    <s v="1000013966"/>
    <x v="0"/>
    <s v="1200000045"/>
    <x v="11"/>
    <x v="0"/>
    <x v="5"/>
    <n v="90"/>
    <d v="2026-01-13T00:00:00"/>
    <n v="14.16"/>
    <s v="PEN"/>
    <x v="0"/>
    <s v=""/>
    <s v=""/>
    <m/>
    <m/>
    <x v="0"/>
    <x v="5"/>
    <n v="4.183161004431315"/>
    <m/>
    <x v="0"/>
  </r>
  <r>
    <s v="1000013966"/>
    <x v="0"/>
    <s v="1200000090"/>
    <x v="12"/>
    <x v="0"/>
    <x v="6"/>
    <n v="88"/>
    <d v="2026-01-15T00:00:00"/>
    <n v="14.16"/>
    <s v="PEN"/>
    <x v="0"/>
    <s v=""/>
    <s v=""/>
    <m/>
    <m/>
    <x v="0"/>
    <x v="6"/>
    <n v="4.183161004431315"/>
    <m/>
    <x v="0"/>
  </r>
  <r>
    <s v="1000013966"/>
    <x v="0"/>
    <s v="1200000113"/>
    <x v="13"/>
    <x v="0"/>
    <x v="7"/>
    <n v="86"/>
    <d v="2026-01-17T00:00:00"/>
    <n v="14.16"/>
    <s v="PEN"/>
    <x v="0"/>
    <s v=""/>
    <s v=""/>
    <m/>
    <m/>
    <x v="0"/>
    <x v="7"/>
    <n v="4.183161004431315"/>
    <m/>
    <x v="0"/>
  </r>
  <r>
    <s v="1000013966"/>
    <x v="0"/>
    <s v="1200000132"/>
    <x v="14"/>
    <x v="0"/>
    <x v="8"/>
    <n v="80"/>
    <d v="2026-01-23T00:00:00"/>
    <n v="14.16"/>
    <s v="PEN"/>
    <x v="0"/>
    <s v=""/>
    <s v=""/>
    <m/>
    <m/>
    <x v="0"/>
    <x v="8"/>
    <n v="4.183161004431315"/>
    <m/>
    <x v="0"/>
  </r>
  <r>
    <s v="1000013966"/>
    <x v="0"/>
    <s v="1200000133"/>
    <x v="15"/>
    <x v="0"/>
    <x v="8"/>
    <n v="80"/>
    <d v="2026-01-23T00:00:00"/>
    <n v="14.16"/>
    <s v="PEN"/>
    <x v="0"/>
    <s v=""/>
    <s v=""/>
    <m/>
    <m/>
    <x v="0"/>
    <x v="8"/>
    <n v="4.183161004431315"/>
    <m/>
    <x v="0"/>
  </r>
  <r>
    <s v="1000013966"/>
    <x v="0"/>
    <s v="1200000141"/>
    <x v="16"/>
    <x v="0"/>
    <x v="9"/>
    <n v="77"/>
    <d v="2026-01-26T00:00:00"/>
    <n v="14.16"/>
    <s v="PEN"/>
    <x v="0"/>
    <s v=""/>
    <s v=""/>
    <m/>
    <m/>
    <x v="0"/>
    <x v="9"/>
    <n v="4.183161004431315"/>
    <m/>
    <x v="0"/>
  </r>
  <r>
    <s v="2000001028"/>
    <x v="1"/>
    <s v="1200000376"/>
    <x v="17"/>
    <x v="1"/>
    <x v="10"/>
    <n v="-1"/>
    <d v="2026-04-14T00:00:00"/>
    <n v="456300"/>
    <s v="USD"/>
    <x v="1"/>
    <s v=""/>
    <s v=""/>
    <d v="2026-04-14T00:00:00"/>
    <m/>
    <x v="1"/>
    <x v="10"/>
    <n v="456300"/>
    <n v="51"/>
    <x v="1"/>
  </r>
  <r>
    <s v="1000013676"/>
    <x v="2"/>
    <s v="1200000692"/>
    <x v="18"/>
    <x v="2"/>
    <x v="11"/>
    <n v="1"/>
    <d v="2026-04-12T00:00:00"/>
    <n v="250.4"/>
    <s v="PEN"/>
    <x v="0"/>
    <s v=""/>
    <s v=""/>
    <m/>
    <m/>
    <x v="0"/>
    <x v="11"/>
    <n v="73.973412112259979"/>
    <m/>
    <x v="0"/>
  </r>
  <r>
    <s v="1000013676"/>
    <x v="2"/>
    <s v="1200000693"/>
    <x v="19"/>
    <x v="2"/>
    <x v="11"/>
    <n v="1"/>
    <d v="2026-04-12T00:00:00"/>
    <n v="23.6"/>
    <s v="PEN"/>
    <x v="0"/>
    <s v=""/>
    <s v=""/>
    <m/>
    <m/>
    <x v="0"/>
    <x v="11"/>
    <n v="6.9719350073855253"/>
    <m/>
    <x v="0"/>
  </r>
  <r>
    <s v="1000013676"/>
    <x v="2"/>
    <s v="1200000734"/>
    <x v="20"/>
    <x v="2"/>
    <x v="12"/>
    <n v="6"/>
    <d v="2026-04-07T00:00:00"/>
    <n v="476.25"/>
    <s v="PEN"/>
    <x v="0"/>
    <s v=""/>
    <s v=""/>
    <m/>
    <m/>
    <x v="0"/>
    <x v="12"/>
    <n v="140.69423929098966"/>
    <m/>
    <x v="0"/>
  </r>
  <r>
    <s v="1000013676"/>
    <x v="2"/>
    <s v="1200000735"/>
    <x v="21"/>
    <x v="2"/>
    <x v="12"/>
    <n v="6"/>
    <d v="2026-04-07T00:00:00"/>
    <n v="70.8"/>
    <s v="PEN"/>
    <x v="0"/>
    <s v=""/>
    <s v=""/>
    <m/>
    <m/>
    <x v="0"/>
    <x v="12"/>
    <n v="20.915805022156572"/>
    <m/>
    <x v="0"/>
  </r>
  <r>
    <s v="1000013676"/>
    <x v="2"/>
    <s v="1200000759"/>
    <x v="22"/>
    <x v="2"/>
    <x v="13"/>
    <n v="5"/>
    <d v="2026-04-08T00:00:00"/>
    <n v="278.86"/>
    <s v="PEN"/>
    <x v="0"/>
    <s v=""/>
    <s v=""/>
    <m/>
    <m/>
    <x v="0"/>
    <x v="13"/>
    <n v="82.381093057607103"/>
    <m/>
    <x v="0"/>
  </r>
  <r>
    <s v="1000013676"/>
    <x v="2"/>
    <s v="1200000760"/>
    <x v="23"/>
    <x v="2"/>
    <x v="13"/>
    <n v="5"/>
    <d v="2026-04-08T00:00:00"/>
    <n v="153.4"/>
    <s v="PEN"/>
    <x v="0"/>
    <s v=""/>
    <s v=""/>
    <m/>
    <m/>
    <x v="0"/>
    <x v="13"/>
    <n v="45.317577548005914"/>
    <m/>
    <x v="0"/>
  </r>
  <r>
    <s v="1000013678"/>
    <x v="3"/>
    <s v="1200000439"/>
    <x v="24"/>
    <x v="0"/>
    <x v="14"/>
    <n v="20"/>
    <d v="2026-03-24T00:00:00"/>
    <n v="424.8"/>
    <s v="PEN"/>
    <x v="0"/>
    <s v=""/>
    <s v=""/>
    <m/>
    <m/>
    <x v="0"/>
    <x v="14"/>
    <n v="125.49483013293946"/>
    <m/>
    <x v="0"/>
  </r>
  <r>
    <s v="1000013678"/>
    <x v="3"/>
    <s v="1200000453"/>
    <x v="25"/>
    <x v="0"/>
    <x v="15"/>
    <n v="18"/>
    <d v="2026-03-26T00:00:00"/>
    <n v="283.2"/>
    <s v="PEN"/>
    <x v="0"/>
    <s v=""/>
    <s v=""/>
    <m/>
    <m/>
    <x v="0"/>
    <x v="15"/>
    <n v="83.663220088626289"/>
    <m/>
    <x v="0"/>
  </r>
  <r>
    <s v="1000013678"/>
    <x v="3"/>
    <s v="1200000468"/>
    <x v="26"/>
    <x v="0"/>
    <x v="16"/>
    <n v="16"/>
    <d v="2026-03-28T00:00:00"/>
    <n v="354"/>
    <s v="PEN"/>
    <x v="0"/>
    <s v=""/>
    <s v=""/>
    <m/>
    <m/>
    <x v="0"/>
    <x v="16"/>
    <n v="104.57902511078287"/>
    <m/>
    <x v="0"/>
  </r>
  <r>
    <s v="1000013678"/>
    <x v="3"/>
    <s v="1200000582"/>
    <x v="27"/>
    <x v="0"/>
    <x v="17"/>
    <n v="7"/>
    <d v="2026-04-06T00:00:00"/>
    <n v="283.2"/>
    <s v="PEN"/>
    <x v="0"/>
    <s v=""/>
    <s v=""/>
    <m/>
    <m/>
    <x v="0"/>
    <x v="17"/>
    <n v="83.663220088626289"/>
    <m/>
    <x v="0"/>
  </r>
  <r>
    <s v="1000013678"/>
    <x v="3"/>
    <s v="1200000812"/>
    <x v="28"/>
    <x v="0"/>
    <x v="18"/>
    <n v="-3"/>
    <d v="2026-04-16T00:00:00"/>
    <n v="354"/>
    <s v="PEN"/>
    <x v="0"/>
    <s v=""/>
    <s v=""/>
    <m/>
    <m/>
    <x v="0"/>
    <x v="18"/>
    <n v="104.57902511078287"/>
    <m/>
    <x v="0"/>
  </r>
  <r>
    <s v="1000013678"/>
    <x v="3"/>
    <s v="1200000824"/>
    <x v="29"/>
    <x v="0"/>
    <x v="19"/>
    <n v="-4"/>
    <d v="2026-04-17T00:00:00"/>
    <n v="236"/>
    <s v="PEN"/>
    <x v="0"/>
    <s v=""/>
    <s v=""/>
    <m/>
    <m/>
    <x v="0"/>
    <x v="19"/>
    <n v="69.719350073855253"/>
    <m/>
    <x v="0"/>
  </r>
  <r>
    <s v="1000002057"/>
    <x v="4"/>
    <s v="1200000818"/>
    <x v="30"/>
    <x v="0"/>
    <x v="19"/>
    <n v="-4"/>
    <d v="2026-04-17T00:00:00"/>
    <n v="303.31"/>
    <s v="PEN"/>
    <x v="0"/>
    <s v=""/>
    <s v=""/>
    <m/>
    <m/>
    <x v="0"/>
    <x v="19"/>
    <n v="89.604135893648461"/>
    <m/>
    <x v="0"/>
  </r>
  <r>
    <s v="1000002057"/>
    <x v="4"/>
    <s v="1200000819"/>
    <x v="31"/>
    <x v="0"/>
    <x v="19"/>
    <n v="-4"/>
    <d v="2026-04-17T00:00:00"/>
    <n v="123.9"/>
    <s v="PEN"/>
    <x v="0"/>
    <s v=""/>
    <s v=""/>
    <m/>
    <m/>
    <x v="0"/>
    <x v="19"/>
    <n v="36.602658788774008"/>
    <m/>
    <x v="0"/>
  </r>
  <r>
    <s v="2000001381"/>
    <x v="5"/>
    <s v="1200000495"/>
    <x v="32"/>
    <x v="1"/>
    <x v="16"/>
    <n v="-22"/>
    <d v="2026-05-05T00:00:00"/>
    <n v="2176.9899999999998"/>
    <s v="USD"/>
    <x v="1"/>
    <s v=""/>
    <s v=""/>
    <d v="2026-05-05T00:00:00"/>
    <n v="15"/>
    <x v="2"/>
    <x v="20"/>
    <n v="2176.9899999999998"/>
    <n v="30"/>
    <x v="2"/>
  </r>
  <r>
    <s v="2000001381"/>
    <x v="5"/>
    <s v="1200000635"/>
    <x v="33"/>
    <x v="1"/>
    <x v="20"/>
    <n v="-30"/>
    <d v="2026-05-13T00:00:00"/>
    <n v="24860"/>
    <s v="USD"/>
    <x v="1"/>
    <s v=""/>
    <s v=""/>
    <d v="2026-05-13T00:00:00"/>
    <n v="23"/>
    <x v="3"/>
    <x v="21"/>
    <n v="24860"/>
    <n v="22"/>
    <x v="2"/>
  </r>
  <r>
    <s v="2000001381"/>
    <x v="5"/>
    <s v="1200000638"/>
    <x v="34"/>
    <x v="1"/>
    <x v="20"/>
    <n v="-30"/>
    <d v="2026-05-13T00:00:00"/>
    <n v="24860"/>
    <s v="USD"/>
    <x v="1"/>
    <s v=""/>
    <s v=""/>
    <d v="2026-05-13T00:00:00"/>
    <n v="23"/>
    <x v="3"/>
    <x v="21"/>
    <n v="24860"/>
    <n v="22"/>
    <x v="2"/>
  </r>
  <r>
    <s v="2000001381"/>
    <x v="5"/>
    <s v="1200000639"/>
    <x v="35"/>
    <x v="1"/>
    <x v="20"/>
    <n v="-30"/>
    <d v="2026-05-13T00:00:00"/>
    <n v="24860"/>
    <s v="USD"/>
    <x v="1"/>
    <s v=""/>
    <s v=""/>
    <d v="2026-05-13T00:00:00"/>
    <n v="23"/>
    <x v="3"/>
    <x v="21"/>
    <n v="24860"/>
    <n v="22"/>
    <x v="2"/>
  </r>
  <r>
    <s v="2000001381"/>
    <x v="5"/>
    <s v="1200000641"/>
    <x v="36"/>
    <x v="1"/>
    <x v="20"/>
    <n v="-30"/>
    <d v="2026-05-13T00:00:00"/>
    <n v="28800"/>
    <s v="USD"/>
    <x v="1"/>
    <s v=""/>
    <s v=""/>
    <d v="2026-05-13T00:00:00"/>
    <n v="23"/>
    <x v="3"/>
    <x v="21"/>
    <n v="28800"/>
    <n v="22"/>
    <x v="2"/>
  </r>
  <r>
    <s v="2000001381"/>
    <x v="5"/>
    <s v="1200000642"/>
    <x v="37"/>
    <x v="1"/>
    <x v="20"/>
    <n v="-30"/>
    <d v="2026-05-13T00:00:00"/>
    <n v="28800"/>
    <s v="USD"/>
    <x v="1"/>
    <s v=""/>
    <s v=""/>
    <d v="2026-05-13T00:00:00"/>
    <n v="23"/>
    <x v="3"/>
    <x v="21"/>
    <n v="28800"/>
    <n v="22"/>
    <x v="2"/>
  </r>
  <r>
    <s v="2000001381"/>
    <x v="5"/>
    <s v="1200000643"/>
    <x v="38"/>
    <x v="1"/>
    <x v="20"/>
    <n v="-30"/>
    <d v="2026-05-13T00:00:00"/>
    <n v="29300"/>
    <s v="USD"/>
    <x v="1"/>
    <s v=""/>
    <s v=""/>
    <d v="2026-05-13T00:00:00"/>
    <n v="23"/>
    <x v="3"/>
    <x v="21"/>
    <n v="29300"/>
    <n v="22"/>
    <x v="2"/>
  </r>
  <r>
    <s v="1000013754"/>
    <x v="6"/>
    <s v="1200000606"/>
    <x v="39"/>
    <x v="2"/>
    <x v="21"/>
    <n v="6"/>
    <d v="2026-04-07T00:00:00"/>
    <n v="771.72"/>
    <s v="PEN"/>
    <x v="0"/>
    <s v=""/>
    <s v=""/>
    <m/>
    <m/>
    <x v="0"/>
    <x v="12"/>
    <n v="227.98227474150667"/>
    <m/>
    <x v="0"/>
  </r>
  <r>
    <s v="1000013754"/>
    <x v="6"/>
    <s v="1200000607"/>
    <x v="40"/>
    <x v="2"/>
    <x v="21"/>
    <n v="6"/>
    <d v="2026-04-07T00:00:00"/>
    <n v="94.4"/>
    <s v="PEN"/>
    <x v="0"/>
    <s v=""/>
    <s v=""/>
    <m/>
    <m/>
    <x v="0"/>
    <x v="12"/>
    <n v="27.887740029542101"/>
    <m/>
    <x v="0"/>
  </r>
  <r>
    <s v="1000013754"/>
    <x v="6"/>
    <s v="1200000739"/>
    <x v="41"/>
    <x v="2"/>
    <x v="12"/>
    <n v="-1"/>
    <d v="2026-04-14T00:00:00"/>
    <n v="373.59"/>
    <s v="PEN"/>
    <x v="0"/>
    <s v=""/>
    <s v=""/>
    <m/>
    <m/>
    <x v="0"/>
    <x v="22"/>
    <n v="110.36632200886262"/>
    <m/>
    <x v="0"/>
  </r>
  <r>
    <s v="1000013754"/>
    <x v="6"/>
    <s v="1200000740"/>
    <x v="42"/>
    <x v="2"/>
    <x v="12"/>
    <n v="-1"/>
    <d v="2026-04-14T00:00:00"/>
    <n v="47.2"/>
    <s v="PEN"/>
    <x v="0"/>
    <s v=""/>
    <s v=""/>
    <m/>
    <m/>
    <x v="0"/>
    <x v="22"/>
    <n v="13.943870014771051"/>
    <m/>
    <x v="0"/>
  </r>
  <r>
    <s v="1000013754"/>
    <x v="6"/>
    <s v="1200000772"/>
    <x v="43"/>
    <x v="2"/>
    <x v="13"/>
    <n v="-2"/>
    <d v="2026-04-15T00:00:00"/>
    <n v="713.66"/>
    <s v="PEN"/>
    <x v="0"/>
    <s v=""/>
    <s v=""/>
    <m/>
    <m/>
    <x v="0"/>
    <x v="23"/>
    <n v="210.8301329394387"/>
    <m/>
    <x v="0"/>
  </r>
  <r>
    <s v="1000013754"/>
    <x v="6"/>
    <s v="1200000773"/>
    <x v="44"/>
    <x v="2"/>
    <x v="13"/>
    <n v="-2"/>
    <d v="2026-04-15T00:00:00"/>
    <n v="70.8"/>
    <s v="PEN"/>
    <x v="0"/>
    <s v=""/>
    <s v=""/>
    <m/>
    <m/>
    <x v="0"/>
    <x v="23"/>
    <n v="20.915805022156572"/>
    <m/>
    <x v="0"/>
  </r>
  <r>
    <s v="1000000875"/>
    <x v="7"/>
    <s v="1200000709"/>
    <x v="45"/>
    <x v="0"/>
    <x v="22"/>
    <n v="0"/>
    <d v="2026-04-13T00:00:00"/>
    <n v="484.04"/>
    <s v="PEN"/>
    <x v="0"/>
    <s v=""/>
    <s v=""/>
    <m/>
    <m/>
    <x v="0"/>
    <x v="24"/>
    <n v="142.99556868537667"/>
    <m/>
    <x v="0"/>
  </r>
  <r>
    <s v="1000000875"/>
    <x v="7"/>
    <s v="1200000710"/>
    <x v="46"/>
    <x v="0"/>
    <x v="22"/>
    <n v="0"/>
    <d v="2026-04-13T00:00:00"/>
    <n v="123.9"/>
    <s v="PEN"/>
    <x v="0"/>
    <s v=""/>
    <s v=""/>
    <m/>
    <m/>
    <x v="0"/>
    <x v="24"/>
    <n v="36.602658788774008"/>
    <m/>
    <x v="0"/>
  </r>
  <r>
    <s v="1000000875"/>
    <x v="7"/>
    <s v="1200000733"/>
    <x v="47"/>
    <x v="0"/>
    <x v="12"/>
    <n v="6"/>
    <d v="2026-04-07T00:00:00"/>
    <n v="118"/>
    <s v="PEN"/>
    <x v="0"/>
    <s v=""/>
    <s v=""/>
    <m/>
    <m/>
    <x v="0"/>
    <x v="12"/>
    <n v="34.859675036927626"/>
    <m/>
    <x v="0"/>
  </r>
  <r>
    <s v="1000000875"/>
    <x v="7"/>
    <s v="1200000817"/>
    <x v="48"/>
    <x v="0"/>
    <x v="18"/>
    <n v="4"/>
    <d v="2026-04-09T00:00:00"/>
    <n v="118"/>
    <s v="PEN"/>
    <x v="0"/>
    <s v=""/>
    <s v=""/>
    <m/>
    <m/>
    <x v="0"/>
    <x v="25"/>
    <n v="34.859675036927626"/>
    <m/>
    <x v="0"/>
  </r>
  <r>
    <s v="1000006830"/>
    <x v="8"/>
    <s v="1200000128"/>
    <x v="49"/>
    <x v="0"/>
    <x v="23"/>
    <n v="82"/>
    <d v="2026-01-21T00:00:00"/>
    <n v="231.52"/>
    <s v="PEN"/>
    <x v="0"/>
    <s v=""/>
    <s v=""/>
    <m/>
    <m/>
    <x v="0"/>
    <x v="26"/>
    <n v="68.395864106351553"/>
    <m/>
    <x v="0"/>
  </r>
  <r>
    <s v="1000006830"/>
    <x v="8"/>
    <s v="1200000129"/>
    <x v="50"/>
    <x v="0"/>
    <x v="23"/>
    <n v="82"/>
    <d v="2026-01-21T00:00:00"/>
    <n v="23.6"/>
    <s v="PEN"/>
    <x v="0"/>
    <s v=""/>
    <s v=""/>
    <m/>
    <m/>
    <x v="0"/>
    <x v="26"/>
    <n v="6.9719350073855253"/>
    <m/>
    <x v="0"/>
  </r>
  <r>
    <s v="1000006830"/>
    <x v="8"/>
    <s v="1200000167"/>
    <x v="51"/>
    <x v="0"/>
    <x v="24"/>
    <n v="67"/>
    <d v="2026-02-05T00:00:00"/>
    <n v="251.1"/>
    <s v="PEN"/>
    <x v="0"/>
    <s v=""/>
    <s v=""/>
    <m/>
    <m/>
    <x v="0"/>
    <x v="27"/>
    <n v="74.18020679468242"/>
    <m/>
    <x v="0"/>
  </r>
  <r>
    <s v="1000006830"/>
    <x v="8"/>
    <s v="1200000168"/>
    <x v="52"/>
    <x v="0"/>
    <x v="24"/>
    <n v="67"/>
    <d v="2026-02-05T00:00:00"/>
    <n v="47.2"/>
    <s v="PEN"/>
    <x v="0"/>
    <s v=""/>
    <s v=""/>
    <m/>
    <m/>
    <x v="0"/>
    <x v="27"/>
    <n v="13.943870014771051"/>
    <m/>
    <x v="0"/>
  </r>
  <r>
    <s v="1000006830"/>
    <x v="8"/>
    <s v="1200000207"/>
    <x v="53"/>
    <x v="0"/>
    <x v="25"/>
    <n v="60"/>
    <d v="2026-02-12T00:00:00"/>
    <n v="333.94"/>
    <s v="PEN"/>
    <x v="0"/>
    <s v=""/>
    <s v=""/>
    <m/>
    <m/>
    <x v="0"/>
    <x v="28"/>
    <n v="98.652880354505172"/>
    <m/>
    <x v="0"/>
  </r>
  <r>
    <s v="1000006830"/>
    <x v="8"/>
    <s v="1200000208"/>
    <x v="54"/>
    <x v="0"/>
    <x v="25"/>
    <n v="60"/>
    <d v="2026-02-12T00:00:00"/>
    <n v="47.2"/>
    <s v="PEN"/>
    <x v="0"/>
    <s v=""/>
    <s v=""/>
    <m/>
    <m/>
    <x v="0"/>
    <x v="28"/>
    <n v="13.943870014771051"/>
    <m/>
    <x v="0"/>
  </r>
  <r>
    <s v="1000006830"/>
    <x v="8"/>
    <s v="1200000466"/>
    <x v="55"/>
    <x v="0"/>
    <x v="16"/>
    <n v="16"/>
    <d v="2026-03-28T00:00:00"/>
    <n v="367.07"/>
    <s v="PEN"/>
    <x v="0"/>
    <s v=""/>
    <s v=""/>
    <m/>
    <m/>
    <x v="0"/>
    <x v="16"/>
    <n v="108.44017725258495"/>
    <m/>
    <x v="0"/>
  </r>
  <r>
    <s v="1000006830"/>
    <x v="8"/>
    <s v="1200000467"/>
    <x v="56"/>
    <x v="0"/>
    <x v="16"/>
    <n v="16"/>
    <d v="2026-03-28T00:00:00"/>
    <n v="135.69999999999999"/>
    <s v="PEN"/>
    <x v="0"/>
    <s v=""/>
    <s v=""/>
    <m/>
    <m/>
    <x v="0"/>
    <x v="16"/>
    <n v="40.088626292466763"/>
    <m/>
    <x v="0"/>
  </r>
  <r>
    <s v="1000006830"/>
    <x v="8"/>
    <s v="1200000489"/>
    <x v="57"/>
    <x v="0"/>
    <x v="26"/>
    <n v="14"/>
    <d v="2026-03-30T00:00:00"/>
    <n v="257"/>
    <s v="PEN"/>
    <x v="0"/>
    <s v=""/>
    <s v=""/>
    <m/>
    <m/>
    <x v="0"/>
    <x v="29"/>
    <n v="75.923190546528815"/>
    <m/>
    <x v="0"/>
  </r>
  <r>
    <s v="1000006830"/>
    <x v="8"/>
    <s v="1200000490"/>
    <x v="58"/>
    <x v="0"/>
    <x v="26"/>
    <n v="14"/>
    <d v="2026-03-30T00:00:00"/>
    <n v="35.4"/>
    <s v="PEN"/>
    <x v="0"/>
    <s v=""/>
    <s v=""/>
    <m/>
    <m/>
    <x v="0"/>
    <x v="29"/>
    <n v="10.457902511078286"/>
    <m/>
    <x v="0"/>
  </r>
  <r>
    <s v="1000006830"/>
    <x v="8"/>
    <s v="1200000503"/>
    <x v="59"/>
    <x v="0"/>
    <x v="27"/>
    <n v="13"/>
    <d v="2026-03-31T00:00:00"/>
    <n v="262.67"/>
    <s v="PEN"/>
    <x v="0"/>
    <s v=""/>
    <s v=""/>
    <m/>
    <m/>
    <x v="0"/>
    <x v="30"/>
    <n v="77.598227474150676"/>
    <m/>
    <x v="0"/>
  </r>
  <r>
    <s v="1000006830"/>
    <x v="8"/>
    <s v="1200000504"/>
    <x v="60"/>
    <x v="0"/>
    <x v="27"/>
    <n v="13"/>
    <d v="2026-03-31T00:00:00"/>
    <n v="47.2"/>
    <s v="PEN"/>
    <x v="0"/>
    <s v=""/>
    <s v=""/>
    <m/>
    <m/>
    <x v="0"/>
    <x v="30"/>
    <n v="13.943870014771051"/>
    <m/>
    <x v="0"/>
  </r>
  <r>
    <s v="1000006830"/>
    <x v="8"/>
    <s v="1200000511"/>
    <x v="61"/>
    <x v="0"/>
    <x v="27"/>
    <n v="13"/>
    <d v="2026-03-31T00:00:00"/>
    <n v="181.01"/>
    <s v="PEN"/>
    <x v="0"/>
    <s v=""/>
    <s v=""/>
    <m/>
    <m/>
    <x v="0"/>
    <x v="30"/>
    <n v="53.474150664697191"/>
    <m/>
    <x v="0"/>
  </r>
  <r>
    <s v="1000006830"/>
    <x v="8"/>
    <s v="1200000512"/>
    <x v="62"/>
    <x v="0"/>
    <x v="27"/>
    <n v="13"/>
    <d v="2026-03-31T00:00:00"/>
    <n v="35.4"/>
    <s v="PEN"/>
    <x v="0"/>
    <s v=""/>
    <s v=""/>
    <m/>
    <m/>
    <x v="0"/>
    <x v="30"/>
    <n v="10.457902511078286"/>
    <m/>
    <x v="0"/>
  </r>
  <r>
    <s v="1000006830"/>
    <x v="8"/>
    <s v="1200000583"/>
    <x v="63"/>
    <x v="0"/>
    <x v="17"/>
    <n v="7"/>
    <d v="2026-04-06T00:00:00"/>
    <n v="293.35000000000002"/>
    <s v="PEN"/>
    <x v="0"/>
    <s v=""/>
    <s v=""/>
    <m/>
    <m/>
    <x v="0"/>
    <x v="17"/>
    <n v="86.661742983751864"/>
    <m/>
    <x v="0"/>
  </r>
  <r>
    <s v="1000006830"/>
    <x v="8"/>
    <s v="1200000584"/>
    <x v="64"/>
    <x v="0"/>
    <x v="17"/>
    <n v="7"/>
    <d v="2026-04-06T00:00:00"/>
    <n v="47.2"/>
    <s v="PEN"/>
    <x v="0"/>
    <s v=""/>
    <s v=""/>
    <m/>
    <m/>
    <x v="0"/>
    <x v="17"/>
    <n v="13.943870014771051"/>
    <m/>
    <x v="0"/>
  </r>
  <r>
    <s v="1000006830"/>
    <x v="8"/>
    <s v="1200000608"/>
    <x v="65"/>
    <x v="0"/>
    <x v="21"/>
    <n v="6"/>
    <d v="2026-04-07T00:00:00"/>
    <n v="670.71"/>
    <s v="PEN"/>
    <x v="0"/>
    <s v=""/>
    <s v=""/>
    <m/>
    <m/>
    <x v="0"/>
    <x v="12"/>
    <n v="198.14180206794686"/>
    <m/>
    <x v="0"/>
  </r>
  <r>
    <s v="1000006830"/>
    <x v="8"/>
    <s v="1200000609"/>
    <x v="66"/>
    <x v="0"/>
    <x v="21"/>
    <n v="6"/>
    <d v="2026-04-07T00:00:00"/>
    <n v="70.8"/>
    <s v="PEN"/>
    <x v="0"/>
    <s v=""/>
    <s v=""/>
    <m/>
    <m/>
    <x v="0"/>
    <x v="12"/>
    <n v="20.915805022156572"/>
    <m/>
    <x v="0"/>
  </r>
  <r>
    <s v="1000006830"/>
    <x v="8"/>
    <s v="1200000620"/>
    <x v="67"/>
    <x v="0"/>
    <x v="21"/>
    <n v="6"/>
    <d v="2026-04-07T00:00:00"/>
    <n v="268.10000000000002"/>
    <s v="PEN"/>
    <x v="0"/>
    <s v=""/>
    <s v=""/>
    <m/>
    <m/>
    <x v="0"/>
    <x v="12"/>
    <n v="79.202363367799123"/>
    <m/>
    <x v="0"/>
  </r>
  <r>
    <s v="1000006830"/>
    <x v="8"/>
    <s v="1200000621"/>
    <x v="68"/>
    <x v="0"/>
    <x v="21"/>
    <n v="6"/>
    <d v="2026-04-07T00:00:00"/>
    <n v="47.2"/>
    <s v="PEN"/>
    <x v="0"/>
    <s v=""/>
    <s v=""/>
    <m/>
    <m/>
    <x v="0"/>
    <x v="12"/>
    <n v="13.943870014771051"/>
    <m/>
    <x v="0"/>
  </r>
  <r>
    <s v="1000006830"/>
    <x v="8"/>
    <s v="1200000658"/>
    <x v="69"/>
    <x v="0"/>
    <x v="28"/>
    <n v="5"/>
    <d v="2026-04-08T00:00:00"/>
    <n v="1010.32"/>
    <s v="PEN"/>
    <x v="0"/>
    <s v=""/>
    <s v=""/>
    <m/>
    <m/>
    <x v="0"/>
    <x v="13"/>
    <n v="298.46971935007389"/>
    <m/>
    <x v="0"/>
  </r>
  <r>
    <s v="1000006830"/>
    <x v="8"/>
    <s v="1200000659"/>
    <x v="70"/>
    <x v="0"/>
    <x v="28"/>
    <n v="5"/>
    <d v="2026-04-08T00:00:00"/>
    <n v="94.4"/>
    <s v="PEN"/>
    <x v="0"/>
    <s v=""/>
    <s v=""/>
    <m/>
    <m/>
    <x v="0"/>
    <x v="13"/>
    <n v="27.887740029542101"/>
    <m/>
    <x v="0"/>
  </r>
  <r>
    <s v="1000006830"/>
    <x v="8"/>
    <s v="1200000671"/>
    <x v="71"/>
    <x v="0"/>
    <x v="29"/>
    <n v="2"/>
    <d v="2026-04-11T00:00:00"/>
    <n v="849.84"/>
    <s v="PEN"/>
    <x v="0"/>
    <s v=""/>
    <s v=""/>
    <m/>
    <m/>
    <x v="0"/>
    <x v="31"/>
    <n v="251.06056129985231"/>
    <m/>
    <x v="0"/>
  </r>
  <r>
    <s v="1000006830"/>
    <x v="8"/>
    <s v="1200000672"/>
    <x v="72"/>
    <x v="0"/>
    <x v="29"/>
    <n v="2"/>
    <d v="2026-04-11T00:00:00"/>
    <n v="94.4"/>
    <s v="PEN"/>
    <x v="0"/>
    <s v=""/>
    <s v=""/>
    <m/>
    <m/>
    <x v="0"/>
    <x v="31"/>
    <n v="27.887740029542101"/>
    <m/>
    <x v="0"/>
  </r>
  <r>
    <s v="1000006830"/>
    <x v="8"/>
    <s v="1200000694"/>
    <x v="73"/>
    <x v="0"/>
    <x v="11"/>
    <n v="1"/>
    <d v="2026-04-12T00:00:00"/>
    <n v="188.33"/>
    <s v="PEN"/>
    <x v="0"/>
    <s v=""/>
    <s v=""/>
    <m/>
    <m/>
    <x v="0"/>
    <x v="11"/>
    <n v="55.636632200886268"/>
    <m/>
    <x v="0"/>
  </r>
  <r>
    <s v="1000006830"/>
    <x v="8"/>
    <s v="1200000695"/>
    <x v="74"/>
    <x v="0"/>
    <x v="11"/>
    <n v="1"/>
    <d v="2026-04-12T00:00:00"/>
    <n v="47.2"/>
    <s v="PEN"/>
    <x v="0"/>
    <s v=""/>
    <s v=""/>
    <m/>
    <m/>
    <x v="0"/>
    <x v="11"/>
    <n v="13.943870014771051"/>
    <m/>
    <x v="0"/>
  </r>
  <r>
    <s v="1000006830"/>
    <x v="8"/>
    <s v="1200000713"/>
    <x v="75"/>
    <x v="0"/>
    <x v="22"/>
    <n v="0"/>
    <d v="2026-04-13T00:00:00"/>
    <n v="280.13"/>
    <s v="PEN"/>
    <x v="0"/>
    <s v=""/>
    <s v=""/>
    <m/>
    <m/>
    <x v="0"/>
    <x v="24"/>
    <n v="82.756277695716406"/>
    <m/>
    <x v="0"/>
  </r>
  <r>
    <s v="1000006830"/>
    <x v="8"/>
    <s v="1200000714"/>
    <x v="76"/>
    <x v="0"/>
    <x v="22"/>
    <n v="0"/>
    <d v="2026-04-13T00:00:00"/>
    <n v="47.2"/>
    <s v="PEN"/>
    <x v="0"/>
    <s v=""/>
    <s v=""/>
    <m/>
    <m/>
    <x v="0"/>
    <x v="24"/>
    <n v="13.943870014771051"/>
    <m/>
    <x v="0"/>
  </r>
  <r>
    <s v="1000006830"/>
    <x v="8"/>
    <s v="1200000728"/>
    <x v="77"/>
    <x v="0"/>
    <x v="12"/>
    <n v="-1"/>
    <d v="2026-04-14T00:00:00"/>
    <n v="321.2"/>
    <s v="PEN"/>
    <x v="0"/>
    <s v=""/>
    <s v=""/>
    <m/>
    <m/>
    <x v="0"/>
    <x v="22"/>
    <n v="94.88921713441654"/>
    <m/>
    <x v="0"/>
  </r>
  <r>
    <s v="1000006830"/>
    <x v="8"/>
    <s v="1200000729"/>
    <x v="78"/>
    <x v="0"/>
    <x v="12"/>
    <n v="-1"/>
    <d v="2026-04-14T00:00:00"/>
    <n v="47.2"/>
    <s v="PEN"/>
    <x v="0"/>
    <s v=""/>
    <s v=""/>
    <m/>
    <m/>
    <x v="0"/>
    <x v="22"/>
    <n v="13.943870014771051"/>
    <m/>
    <x v="0"/>
  </r>
  <r>
    <s v="1000006830"/>
    <x v="8"/>
    <s v="1200000762"/>
    <x v="79"/>
    <x v="0"/>
    <x v="13"/>
    <n v="-2"/>
    <d v="2026-04-15T00:00:00"/>
    <n v="298.3"/>
    <s v="PEN"/>
    <x v="0"/>
    <s v=""/>
    <s v=""/>
    <m/>
    <m/>
    <x v="0"/>
    <x v="23"/>
    <n v="88.124076809453484"/>
    <m/>
    <x v="0"/>
  </r>
  <r>
    <s v="1000006830"/>
    <x v="8"/>
    <s v="1200000763"/>
    <x v="80"/>
    <x v="0"/>
    <x v="13"/>
    <n v="-2"/>
    <d v="2026-04-15T00:00:00"/>
    <n v="47.2"/>
    <s v="PEN"/>
    <x v="0"/>
    <s v=""/>
    <s v=""/>
    <m/>
    <m/>
    <x v="0"/>
    <x v="23"/>
    <n v="13.943870014771051"/>
    <m/>
    <x v="0"/>
  </r>
  <r>
    <s v="1000006830"/>
    <x v="8"/>
    <s v="1200000764"/>
    <x v="81"/>
    <x v="0"/>
    <x v="13"/>
    <n v="-2"/>
    <d v="2026-04-15T00:00:00"/>
    <n v="602.65"/>
    <s v="PEN"/>
    <x v="0"/>
    <s v=""/>
    <s v=""/>
    <m/>
    <m/>
    <x v="0"/>
    <x v="23"/>
    <n v="178.03545051698671"/>
    <m/>
    <x v="0"/>
  </r>
  <r>
    <s v="1000006830"/>
    <x v="8"/>
    <s v="1200000765"/>
    <x v="82"/>
    <x v="0"/>
    <x v="13"/>
    <n v="-2"/>
    <d v="2026-04-15T00:00:00"/>
    <n v="194.7"/>
    <s v="PEN"/>
    <x v="0"/>
    <s v=""/>
    <s v=""/>
    <m/>
    <m/>
    <x v="0"/>
    <x v="23"/>
    <n v="57.518463810930577"/>
    <m/>
    <x v="0"/>
  </r>
  <r>
    <s v="1000006830"/>
    <x v="8"/>
    <s v="1200000820"/>
    <x v="83"/>
    <x v="0"/>
    <x v="19"/>
    <n v="-4"/>
    <d v="2026-04-17T00:00:00"/>
    <n v="322.47000000000003"/>
    <s v="PEN"/>
    <x v="0"/>
    <s v=""/>
    <s v=""/>
    <m/>
    <m/>
    <x v="0"/>
    <x v="19"/>
    <n v="95.264401772525858"/>
    <m/>
    <x v="0"/>
  </r>
  <r>
    <s v="1000006830"/>
    <x v="8"/>
    <s v="1200000821"/>
    <x v="84"/>
    <x v="0"/>
    <x v="19"/>
    <n v="-4"/>
    <d v="2026-04-17T00:00:00"/>
    <n v="135.69999999999999"/>
    <s v="PEN"/>
    <x v="0"/>
    <s v=""/>
    <s v=""/>
    <m/>
    <m/>
    <x v="0"/>
    <x v="19"/>
    <n v="40.088626292466763"/>
    <m/>
    <x v="0"/>
  </r>
  <r>
    <s v="1000006830"/>
    <x v="8"/>
    <s v="1200000827"/>
    <x v="85"/>
    <x v="0"/>
    <x v="19"/>
    <n v="-4"/>
    <d v="2026-04-17T00:00:00"/>
    <n v="320.49"/>
    <s v="PEN"/>
    <x v="0"/>
    <s v=""/>
    <s v=""/>
    <m/>
    <m/>
    <x v="0"/>
    <x v="19"/>
    <n v="94.679468242245207"/>
    <m/>
    <x v="0"/>
  </r>
  <r>
    <s v="1000006830"/>
    <x v="8"/>
    <s v="1200000828"/>
    <x v="86"/>
    <x v="0"/>
    <x v="19"/>
    <n v="-4"/>
    <d v="2026-04-17T00:00:00"/>
    <n v="135.69999999999999"/>
    <s v="PEN"/>
    <x v="0"/>
    <s v=""/>
    <s v=""/>
    <m/>
    <m/>
    <x v="0"/>
    <x v="19"/>
    <n v="40.088626292466763"/>
    <m/>
    <x v="0"/>
  </r>
  <r>
    <s v="2000001172"/>
    <x v="9"/>
    <s v="1300001584"/>
    <x v="87"/>
    <x v="3"/>
    <x v="30"/>
    <n v="29"/>
    <d v="2026-03-15T00:00:00"/>
    <n v="147743.07"/>
    <s v="USD"/>
    <x v="1"/>
    <s v=""/>
    <s v=""/>
    <d v="2026-04-29T00:00:00"/>
    <n v="9"/>
    <x v="4"/>
    <x v="32"/>
    <n v="147743.07"/>
    <n v="36"/>
    <x v="2"/>
  </r>
  <r>
    <s v="2000001172"/>
    <x v="9"/>
    <s v="1200000623"/>
    <x v="88"/>
    <x v="1"/>
    <x v="31"/>
    <n v="-29"/>
    <d v="2026-05-12T00:00:00"/>
    <n v="177221.7"/>
    <s v="USD"/>
    <x v="1"/>
    <s v=""/>
    <s v=""/>
    <d v="2026-05-12T00:00:00"/>
    <n v="22"/>
    <x v="5"/>
    <x v="33"/>
    <n v="177221.7"/>
    <n v="23"/>
    <x v="2"/>
  </r>
  <r>
    <s v="2000001172"/>
    <x v="9"/>
    <s v="1200000754"/>
    <x v="89"/>
    <x v="1"/>
    <x v="13"/>
    <n v="-40"/>
    <d v="2026-05-23T00:00:00"/>
    <n v="175000"/>
    <s v="USD"/>
    <x v="1"/>
    <s v=""/>
    <s v=""/>
    <d v="2026-05-23T00:00:00"/>
    <n v="33"/>
    <x v="6"/>
    <x v="34"/>
    <n v="175000"/>
    <n v="12"/>
    <x v="2"/>
  </r>
  <r>
    <s v="2000000231"/>
    <x v="10"/>
    <s v="1200000616"/>
    <x v="90"/>
    <x v="1"/>
    <x v="31"/>
    <n v="-29"/>
    <d v="2026-05-12T00:00:00"/>
    <n v="669600"/>
    <s v="USD"/>
    <x v="1"/>
    <s v=""/>
    <s v=""/>
    <d v="2026-05-12T00:00:00"/>
    <n v="22"/>
    <x v="5"/>
    <x v="33"/>
    <n v="669600"/>
    <n v="23"/>
    <x v="2"/>
  </r>
  <r>
    <s v="2000001409"/>
    <x v="11"/>
    <s v="1300001581"/>
    <x v="91"/>
    <x v="3"/>
    <x v="14"/>
    <n v="0"/>
    <d v="2026-03-17T00:00:00"/>
    <n v="-7410"/>
    <s v="USD"/>
    <x v="1"/>
    <s v=""/>
    <s v=""/>
    <d v="2026-05-01T00:00:00"/>
    <m/>
    <x v="0"/>
    <x v="35"/>
    <n v="-7410"/>
    <n v="34"/>
    <x v="2"/>
  </r>
  <r>
    <s v="2000001409"/>
    <x v="11"/>
    <s v="1300001598"/>
    <x v="92"/>
    <x v="3"/>
    <x v="12"/>
    <n v="0"/>
    <d v="2026-04-07T00:00:00"/>
    <n v="-147370"/>
    <s v="USD"/>
    <x v="1"/>
    <s v=""/>
    <s v="A"/>
    <d v="2026-05-22T00:00:00"/>
    <m/>
    <x v="0"/>
    <x v="12"/>
    <n v="-147370"/>
    <n v="13"/>
    <x v="2"/>
  </r>
  <r>
    <s v="2000001409"/>
    <x v="11"/>
    <s v="1300001598"/>
    <x v="92"/>
    <x v="3"/>
    <x v="32"/>
    <n v="0"/>
    <d v="2026-04-14T00:00:00"/>
    <n v="-27943"/>
    <s v="USD"/>
    <x v="1"/>
    <s v=""/>
    <s v="A"/>
    <d v="2026-05-29T00:00:00"/>
    <m/>
    <x v="0"/>
    <x v="22"/>
    <n v="-27943"/>
    <n v="6"/>
    <x v="2"/>
  </r>
  <r>
    <s v="6002007"/>
    <x v="12"/>
    <s v="1200005141"/>
    <x v="93"/>
    <x v="0"/>
    <x v="33"/>
    <n v="154"/>
    <d v="2025-11-10T00:00:00"/>
    <n v="1403.26"/>
    <s v="PEN"/>
    <x v="2"/>
    <s v=""/>
    <s v=""/>
    <m/>
    <m/>
    <x v="0"/>
    <x v="36"/>
    <n v="414.55243722304289"/>
    <m/>
    <x v="0"/>
  </r>
  <r>
    <s v="6002007"/>
    <x v="12"/>
    <s v="1200005142"/>
    <x v="94"/>
    <x v="0"/>
    <x v="33"/>
    <n v="154"/>
    <d v="2025-11-10T00:00:00"/>
    <n v="141.6"/>
    <s v="PEN"/>
    <x v="2"/>
    <s v=""/>
    <s v=""/>
    <m/>
    <m/>
    <x v="0"/>
    <x v="36"/>
    <n v="41.831610044313145"/>
    <m/>
    <x v="0"/>
  </r>
  <r>
    <s v="6002007"/>
    <x v="12"/>
    <s v="1200005158"/>
    <x v="95"/>
    <x v="0"/>
    <x v="34"/>
    <n v="151"/>
    <d v="2025-11-13T00:00:00"/>
    <n v="1193.22"/>
    <s v="PEN"/>
    <x v="2"/>
    <s v=""/>
    <s v=""/>
    <m/>
    <m/>
    <x v="0"/>
    <x v="37"/>
    <n v="352.50221565731169"/>
    <m/>
    <x v="0"/>
  </r>
  <r>
    <s v="6002007"/>
    <x v="12"/>
    <s v="1200005159"/>
    <x v="96"/>
    <x v="0"/>
    <x v="34"/>
    <n v="151"/>
    <d v="2025-11-13T00:00:00"/>
    <n v="106.2"/>
    <s v="PEN"/>
    <x v="2"/>
    <s v=""/>
    <s v=""/>
    <m/>
    <m/>
    <x v="0"/>
    <x v="37"/>
    <n v="31.373707533234864"/>
    <m/>
    <x v="0"/>
  </r>
  <r>
    <s v="2000001359"/>
    <x v="13"/>
    <s v="1200000644"/>
    <x v="97"/>
    <x v="1"/>
    <x v="20"/>
    <n v="-30"/>
    <d v="2026-05-13T00:00:00"/>
    <n v="76700"/>
    <s v="USD"/>
    <x v="1"/>
    <s v=""/>
    <s v=""/>
    <d v="2026-05-13T00:00:00"/>
    <n v="23"/>
    <x v="3"/>
    <x v="21"/>
    <n v="76700"/>
    <n v="22"/>
    <x v="2"/>
  </r>
  <r>
    <s v="2000001369"/>
    <x v="14"/>
    <s v="1300001604"/>
    <x v="91"/>
    <x v="3"/>
    <x v="35"/>
    <n v="0"/>
    <d v="2026-04-20T00:00:00"/>
    <n v="-6488"/>
    <s v="USD"/>
    <x v="1"/>
    <s v=""/>
    <s v=""/>
    <d v="2026-06-04T00:00:00"/>
    <m/>
    <x v="7"/>
    <x v="38"/>
    <n v="-6488"/>
    <n v="0"/>
    <x v="2"/>
  </r>
  <r>
    <s v="2000001369"/>
    <x v="14"/>
    <s v="1300001604"/>
    <x v="98"/>
    <x v="3"/>
    <x v="36"/>
    <n v="0"/>
    <d v="2026-05-28T00:00:00"/>
    <n v="76700"/>
    <s v="USD"/>
    <x v="1"/>
    <s v=""/>
    <s v=""/>
    <d v="2026-05-28T00:00:00"/>
    <m/>
    <x v="8"/>
    <x v="39"/>
    <n v="76700"/>
    <n v="7"/>
    <x v="2"/>
  </r>
  <r>
    <s v="1000013925"/>
    <x v="15"/>
    <s v="1300006898"/>
    <x v="99"/>
    <x v="3"/>
    <x v="37"/>
    <n v="174"/>
    <d v="2025-10-21T00:00:00"/>
    <n v="4460"/>
    <s v="PEN"/>
    <x v="3"/>
    <s v=""/>
    <s v=""/>
    <m/>
    <m/>
    <x v="0"/>
    <x v="40"/>
    <n v="1317.5775480059085"/>
    <m/>
    <x v="0"/>
  </r>
  <r>
    <s v="1000013925"/>
    <x v="15"/>
    <s v="1200005124"/>
    <x v="100"/>
    <x v="0"/>
    <x v="38"/>
    <n v="153"/>
    <d v="2025-11-11T00:00:00"/>
    <n v="7097.98"/>
    <s v="PEN"/>
    <x v="3"/>
    <s v=""/>
    <s v=""/>
    <m/>
    <m/>
    <x v="0"/>
    <x v="41"/>
    <n v="2096.8921713441655"/>
    <m/>
    <x v="0"/>
  </r>
  <r>
    <s v="1000013925"/>
    <x v="15"/>
    <s v="1200000182"/>
    <x v="101"/>
    <x v="0"/>
    <x v="39"/>
    <n v="65"/>
    <d v="2026-02-07T00:00:00"/>
    <n v="4003.46"/>
    <s v="PEN"/>
    <x v="3"/>
    <s v=""/>
    <s v=""/>
    <m/>
    <m/>
    <x v="0"/>
    <x v="42"/>
    <n v="1182.7060561299854"/>
    <m/>
    <x v="0"/>
  </r>
  <r>
    <s v="1000013925"/>
    <x v="15"/>
    <s v="1200000382"/>
    <x v="102"/>
    <x v="0"/>
    <x v="40"/>
    <n v="34"/>
    <d v="2026-03-10T00:00:00"/>
    <n v="4956"/>
    <s v="PEN"/>
    <x v="3"/>
    <s v=""/>
    <s v="A"/>
    <m/>
    <m/>
    <x v="0"/>
    <x v="43"/>
    <n v="1464.1063515509602"/>
    <m/>
    <x v="0"/>
  </r>
  <r>
    <s v="1000015185"/>
    <x v="16"/>
    <s v="1200000594"/>
    <x v="103"/>
    <x v="0"/>
    <x v="21"/>
    <n v="6"/>
    <d v="2026-04-07T00:00:00"/>
    <n v="194.7"/>
    <s v="PEN"/>
    <x v="0"/>
    <s v=""/>
    <s v=""/>
    <m/>
    <m/>
    <x v="0"/>
    <x v="12"/>
    <n v="57.518463810930577"/>
    <m/>
    <x v="0"/>
  </r>
  <r>
    <s v="1000015185"/>
    <x v="16"/>
    <s v="1200000628"/>
    <x v="104"/>
    <x v="0"/>
    <x v="21"/>
    <n v="6"/>
    <d v="2026-04-07T00:00:00"/>
    <n v="376.33"/>
    <s v="PEN"/>
    <x v="0"/>
    <s v=""/>
    <s v=""/>
    <m/>
    <m/>
    <x v="0"/>
    <x v="12"/>
    <n v="111.17577548005909"/>
    <m/>
    <x v="0"/>
  </r>
  <r>
    <s v="1000015185"/>
    <x v="16"/>
    <s v="1200000629"/>
    <x v="105"/>
    <x v="0"/>
    <x v="21"/>
    <n v="6"/>
    <d v="2026-04-07T00:00:00"/>
    <n v="153.4"/>
    <s v="PEN"/>
    <x v="0"/>
    <s v=""/>
    <s v=""/>
    <m/>
    <m/>
    <x v="0"/>
    <x v="12"/>
    <n v="45.317577548005914"/>
    <m/>
    <x v="0"/>
  </r>
  <r>
    <s v="1000015185"/>
    <x v="16"/>
    <s v="1300001708"/>
    <x v="106"/>
    <x v="3"/>
    <x v="21"/>
    <n v="13"/>
    <d v="2026-03-31T00:00:00"/>
    <n v="160.30000000000001"/>
    <s v="PEN"/>
    <x v="0"/>
    <s v=""/>
    <s v=""/>
    <m/>
    <m/>
    <x v="0"/>
    <x v="30"/>
    <n v="47.355982274741514"/>
    <m/>
    <x v="0"/>
  </r>
  <r>
    <s v="1000015185"/>
    <x v="16"/>
    <s v="1300001728"/>
    <x v="107"/>
    <x v="4"/>
    <x v="28"/>
    <n v="0"/>
    <d v="2026-04-30T00:00:00"/>
    <n v="-23"/>
    <s v="PEN"/>
    <x v="0"/>
    <s v=""/>
    <s v=""/>
    <m/>
    <m/>
    <x v="0"/>
    <x v="10"/>
    <n v="-6.7946824224519942"/>
    <m/>
    <x v="0"/>
  </r>
  <r>
    <s v="1000015185"/>
    <x v="16"/>
    <s v="1300001729"/>
    <x v="107"/>
    <x v="4"/>
    <x v="28"/>
    <n v="0"/>
    <d v="2026-04-30T00:00:00"/>
    <n v="-77"/>
    <s v="PEN"/>
    <x v="0"/>
    <s v=""/>
    <s v=""/>
    <m/>
    <m/>
    <x v="0"/>
    <x v="10"/>
    <n v="-22.747415066469721"/>
    <m/>
    <x v="0"/>
  </r>
  <r>
    <s v="1000015185"/>
    <x v="16"/>
    <s v="1300001730"/>
    <x v="107"/>
    <x v="4"/>
    <x v="28"/>
    <n v="0"/>
    <d v="2026-04-30T00:00:00"/>
    <n v="-21"/>
    <s v="PEN"/>
    <x v="0"/>
    <s v=""/>
    <s v=""/>
    <m/>
    <m/>
    <x v="0"/>
    <x v="10"/>
    <n v="-6.2038404726735603"/>
    <m/>
    <x v="0"/>
  </r>
  <r>
    <s v="1000015185"/>
    <x v="16"/>
    <s v="1300001731"/>
    <x v="107"/>
    <x v="4"/>
    <x v="28"/>
    <n v="0"/>
    <d v="2026-04-30T00:00:00"/>
    <n v="-78"/>
    <s v="PEN"/>
    <x v="0"/>
    <s v=""/>
    <s v=""/>
    <m/>
    <m/>
    <x v="0"/>
    <x v="10"/>
    <n v="-23.042836041358939"/>
    <m/>
    <x v="0"/>
  </r>
  <r>
    <s v="1000015185"/>
    <x v="16"/>
    <s v="1300001732"/>
    <x v="107"/>
    <x v="4"/>
    <x v="28"/>
    <n v="0"/>
    <d v="2026-04-30T00:00:00"/>
    <n v="-42"/>
    <s v="PEN"/>
    <x v="0"/>
    <s v=""/>
    <s v=""/>
    <m/>
    <m/>
    <x v="0"/>
    <x v="10"/>
    <n v="-12.407680945347121"/>
    <m/>
    <x v="0"/>
  </r>
  <r>
    <s v="1000015185"/>
    <x v="16"/>
    <s v="1300001733"/>
    <x v="107"/>
    <x v="4"/>
    <x v="28"/>
    <n v="0"/>
    <d v="2026-04-30T00:00:00"/>
    <n v="-114"/>
    <s v="PEN"/>
    <x v="0"/>
    <s v=""/>
    <s v=""/>
    <m/>
    <m/>
    <x v="0"/>
    <x v="10"/>
    <n v="-33.677991137370753"/>
    <m/>
    <x v="0"/>
  </r>
  <r>
    <s v="1000015185"/>
    <x v="16"/>
    <s v="1200000689"/>
    <x v="108"/>
    <x v="0"/>
    <x v="29"/>
    <n v="2"/>
    <d v="2026-04-11T00:00:00"/>
    <n v="1053.98"/>
    <s v="PEN"/>
    <x v="0"/>
    <s v=""/>
    <s v="A"/>
    <m/>
    <m/>
    <x v="0"/>
    <x v="31"/>
    <n v="311.36779911373708"/>
    <m/>
    <x v="0"/>
  </r>
  <r>
    <s v="1000015185"/>
    <x v="16"/>
    <s v="1200000690"/>
    <x v="109"/>
    <x v="0"/>
    <x v="29"/>
    <n v="2"/>
    <d v="2026-04-11T00:00:00"/>
    <n v="348.1"/>
    <s v="PEN"/>
    <x v="0"/>
    <s v=""/>
    <s v=""/>
    <m/>
    <m/>
    <x v="0"/>
    <x v="31"/>
    <n v="102.8360413589365"/>
    <m/>
    <x v="0"/>
  </r>
  <r>
    <s v="1000015185"/>
    <x v="16"/>
    <s v="1200000721"/>
    <x v="110"/>
    <x v="0"/>
    <x v="22"/>
    <n v="0"/>
    <d v="2026-04-13T00:00:00"/>
    <n v="680.62"/>
    <s v="PEN"/>
    <x v="0"/>
    <s v=""/>
    <s v=""/>
    <m/>
    <m/>
    <x v="0"/>
    <x v="24"/>
    <n v="201.06942392909897"/>
    <m/>
    <x v="0"/>
  </r>
  <r>
    <s v="1000015185"/>
    <x v="16"/>
    <s v="1200000722"/>
    <x v="111"/>
    <x v="0"/>
    <x v="22"/>
    <n v="0"/>
    <d v="2026-04-13T00:00:00"/>
    <n v="194.7"/>
    <s v="PEN"/>
    <x v="0"/>
    <s v=""/>
    <s v=""/>
    <m/>
    <m/>
    <x v="0"/>
    <x v="24"/>
    <n v="57.518463810930577"/>
    <m/>
    <x v="0"/>
  </r>
  <r>
    <s v="1000015185"/>
    <x v="16"/>
    <s v="1200000785"/>
    <x v="112"/>
    <x v="0"/>
    <x v="13"/>
    <n v="-2"/>
    <d v="2026-04-15T00:00:00"/>
    <n v="410.03"/>
    <s v="PEN"/>
    <x v="0"/>
    <s v=""/>
    <s v=""/>
    <m/>
    <m/>
    <x v="0"/>
    <x v="23"/>
    <n v="121.1314623338257"/>
    <m/>
    <x v="0"/>
  </r>
  <r>
    <s v="1000015185"/>
    <x v="16"/>
    <s v="1200000786"/>
    <x v="113"/>
    <x v="0"/>
    <x v="13"/>
    <n v="-2"/>
    <d v="2026-04-15T00:00:00"/>
    <n v="153.4"/>
    <s v="PEN"/>
    <x v="0"/>
    <s v=""/>
    <s v=""/>
    <m/>
    <m/>
    <x v="0"/>
    <x v="23"/>
    <n v="45.317577548005914"/>
    <m/>
    <x v="0"/>
  </r>
  <r>
    <s v="1000015185"/>
    <x v="16"/>
    <s v="1200000794"/>
    <x v="114"/>
    <x v="0"/>
    <x v="18"/>
    <n v="-3"/>
    <d v="2026-04-16T00:00:00"/>
    <n v="642.96"/>
    <s v="PEN"/>
    <x v="0"/>
    <s v=""/>
    <s v=""/>
    <m/>
    <m/>
    <x v="0"/>
    <x v="18"/>
    <n v="189.94387001477108"/>
    <m/>
    <x v="0"/>
  </r>
  <r>
    <s v="1000015185"/>
    <x v="16"/>
    <s v="1200000795"/>
    <x v="115"/>
    <x v="0"/>
    <x v="18"/>
    <n v="-3"/>
    <d v="2026-04-16T00:00:00"/>
    <n v="194.7"/>
    <s v="PEN"/>
    <x v="0"/>
    <s v=""/>
    <s v=""/>
    <m/>
    <m/>
    <x v="0"/>
    <x v="18"/>
    <n v="57.518463810930577"/>
    <m/>
    <x v="0"/>
  </r>
  <r>
    <s v="2000001411"/>
    <x v="17"/>
    <s v="1300001585"/>
    <x v="116"/>
    <x v="3"/>
    <x v="41"/>
    <n v="37"/>
    <d v="2026-03-07T00:00:00"/>
    <n v="156680"/>
    <s v="USD"/>
    <x v="1"/>
    <s v=""/>
    <s v=""/>
    <d v="2026-04-21T00:00:00"/>
    <n v="1"/>
    <x v="9"/>
    <x v="44"/>
    <n v="156680"/>
    <n v="44"/>
    <x v="2"/>
  </r>
  <r>
    <s v="2000001411"/>
    <x v="17"/>
    <s v="1300001586"/>
    <x v="117"/>
    <x v="3"/>
    <x v="42"/>
    <n v="26"/>
    <d v="2026-03-18T00:00:00"/>
    <n v="125360"/>
    <s v="USD"/>
    <x v="1"/>
    <s v=""/>
    <s v=""/>
    <d v="2026-05-02T00:00:00"/>
    <n v="12"/>
    <x v="10"/>
    <x v="45"/>
    <n v="125360"/>
    <n v="33"/>
    <x v="2"/>
  </r>
  <r>
    <s v="2000000267"/>
    <x v="18"/>
    <s v="1300001587"/>
    <x v="118"/>
    <x v="3"/>
    <x v="42"/>
    <n v="26"/>
    <d v="2026-03-18T00:00:00"/>
    <n v="31275"/>
    <s v="USD"/>
    <x v="1"/>
    <s v=""/>
    <s v=""/>
    <d v="2026-05-02T00:00:00"/>
    <n v="12"/>
    <x v="10"/>
    <x v="45"/>
    <n v="31275"/>
    <n v="33"/>
    <x v="2"/>
  </r>
  <r>
    <s v="6000434"/>
    <x v="19"/>
    <s v="1200004540"/>
    <x v="119"/>
    <x v="0"/>
    <x v="43"/>
    <n v="181"/>
    <d v="2025-10-14T00:00:00"/>
    <n v="790"/>
    <s v="PEN"/>
    <x v="4"/>
    <s v=""/>
    <s v=""/>
    <m/>
    <m/>
    <x v="0"/>
    <x v="46"/>
    <n v="233.38257016248156"/>
    <m/>
    <x v="0"/>
  </r>
  <r>
    <s v="1000001607"/>
    <x v="20"/>
    <s v="1200000640"/>
    <x v="120"/>
    <x v="0"/>
    <x v="21"/>
    <n v="10"/>
    <d v="2026-04-03T00:00:00"/>
    <n v="21201.77"/>
    <s v="PEN"/>
    <x v="5"/>
    <s v=""/>
    <s v=""/>
    <m/>
    <m/>
    <x v="0"/>
    <x v="47"/>
    <n v="6263.447562776958"/>
    <m/>
    <x v="0"/>
  </r>
  <r>
    <s v="1000001607"/>
    <x v="20"/>
    <s v="1200000645"/>
    <x v="121"/>
    <x v="0"/>
    <x v="21"/>
    <n v="10"/>
    <d v="2026-04-03T00:00:00"/>
    <n v="41169.49"/>
    <s v="PEN"/>
    <x v="5"/>
    <s v=""/>
    <s v=""/>
    <m/>
    <m/>
    <x v="0"/>
    <x v="47"/>
    <n v="12162.330871491877"/>
    <m/>
    <x v="0"/>
  </r>
  <r>
    <n v="2000001419"/>
    <x v="21"/>
    <s v="1300001727"/>
    <x v="122"/>
    <x v="4"/>
    <x v="17"/>
    <n v="0"/>
    <d v="2026-03-30T00:00:00"/>
    <n v="-33875"/>
    <s v="USD"/>
    <x v="1"/>
    <s v=""/>
    <s v="A"/>
    <d v="2026-05-14T00:00:00"/>
    <m/>
    <x v="0"/>
    <x v="29"/>
    <n v="-33875"/>
    <n v="21"/>
    <x v="2"/>
  </r>
  <r>
    <n v="2000001419"/>
    <x v="21"/>
    <s v="1300001727"/>
    <x v="122"/>
    <x v="4"/>
    <x v="13"/>
    <n v="0"/>
    <d v="2026-04-08T00:00:00"/>
    <n v="-30635"/>
    <s v="USD"/>
    <x v="1"/>
    <s v=""/>
    <s v="A"/>
    <d v="2026-05-23T00:00:00"/>
    <m/>
    <x v="0"/>
    <x v="13"/>
    <n v="-30635"/>
    <n v="12"/>
    <x v="2"/>
  </r>
  <r>
    <n v="2000001419"/>
    <x v="21"/>
    <s v="1300001727"/>
    <x v="122"/>
    <x v="4"/>
    <x v="44"/>
    <n v="0"/>
    <d v="2026-04-15T00:00:00"/>
    <n v="-168395"/>
    <s v="USD"/>
    <x v="1"/>
    <s v=""/>
    <s v="A"/>
    <d v="2026-05-30T00:00:00"/>
    <m/>
    <x v="0"/>
    <x v="23"/>
    <n v="-168395"/>
    <n v="5"/>
    <x v="2"/>
  </r>
  <r>
    <s v="1000001965"/>
    <x v="22"/>
    <s v="1200000669"/>
    <x v="123"/>
    <x v="0"/>
    <x v="29"/>
    <n v="2"/>
    <d v="2026-04-11T00:00:00"/>
    <n v="590"/>
    <s v="PEN"/>
    <x v="0"/>
    <s v=""/>
    <s v=""/>
    <m/>
    <m/>
    <x v="0"/>
    <x v="31"/>
    <n v="174.29837518463813"/>
    <m/>
    <x v="0"/>
  </r>
  <r>
    <s v="1000001965"/>
    <x v="22"/>
    <s v="1200000691"/>
    <x v="124"/>
    <x v="0"/>
    <x v="29"/>
    <n v="2"/>
    <d v="2026-04-11T00:00:00"/>
    <n v="590"/>
    <s v="PEN"/>
    <x v="0"/>
    <s v=""/>
    <s v=""/>
    <m/>
    <m/>
    <x v="0"/>
    <x v="31"/>
    <n v="174.29837518463813"/>
    <m/>
    <x v="0"/>
  </r>
  <r>
    <s v="1000001965"/>
    <x v="22"/>
    <s v="1200000723"/>
    <x v="125"/>
    <x v="0"/>
    <x v="22"/>
    <n v="0"/>
    <d v="2026-04-13T00:00:00"/>
    <n v="590"/>
    <s v="PEN"/>
    <x v="0"/>
    <s v=""/>
    <s v=""/>
    <m/>
    <m/>
    <x v="0"/>
    <x v="24"/>
    <n v="174.29837518463813"/>
    <m/>
    <x v="0"/>
  </r>
  <r>
    <s v="1000001965"/>
    <x v="22"/>
    <s v="1200000761"/>
    <x v="126"/>
    <x v="0"/>
    <x v="13"/>
    <n v="-2"/>
    <d v="2026-04-15T00:00:00"/>
    <n v="590"/>
    <s v="PEN"/>
    <x v="0"/>
    <s v=""/>
    <s v=""/>
    <m/>
    <m/>
    <x v="0"/>
    <x v="23"/>
    <n v="174.29837518463813"/>
    <m/>
    <x v="0"/>
  </r>
  <r>
    <s v="1000001965"/>
    <x v="22"/>
    <s v="1200000822"/>
    <x v="127"/>
    <x v="0"/>
    <x v="19"/>
    <n v="-4"/>
    <d v="2026-04-17T00:00:00"/>
    <n v="590"/>
    <s v="PEN"/>
    <x v="0"/>
    <s v=""/>
    <s v=""/>
    <m/>
    <m/>
    <x v="0"/>
    <x v="19"/>
    <n v="174.29837518463813"/>
    <m/>
    <x v="0"/>
  </r>
  <r>
    <s v="2000001418"/>
    <x v="23"/>
    <s v="1300001610"/>
    <x v="128"/>
    <x v="4"/>
    <x v="45"/>
    <n v="0"/>
    <d v="2026-03-31T00:00:00"/>
    <n v="-13900"/>
    <s v="USD"/>
    <x v="1"/>
    <s v=""/>
    <s v=""/>
    <d v="2026-04-16T00:00:00"/>
    <m/>
    <x v="0"/>
    <x v="30"/>
    <n v="-13900"/>
    <n v="49"/>
    <x v="1"/>
  </r>
  <r>
    <s v="2000001418"/>
    <x v="23"/>
    <s v="1200000646"/>
    <x v="129"/>
    <x v="1"/>
    <x v="17"/>
    <n v="-31"/>
    <d v="2026-05-14T00:00:00"/>
    <n v="70200"/>
    <s v="USD"/>
    <x v="1"/>
    <s v=""/>
    <s v=""/>
    <d v="2026-05-14T00:00:00"/>
    <n v="24"/>
    <x v="11"/>
    <x v="48"/>
    <n v="70200"/>
    <n v="21"/>
    <x v="2"/>
  </r>
  <r>
    <s v="1000013801"/>
    <x v="24"/>
    <s v="1300001709"/>
    <x v="91"/>
    <x v="3"/>
    <x v="26"/>
    <n v="0"/>
    <d v="2026-03-23T00:00:00"/>
    <n v="-47.2"/>
    <s v="PEN"/>
    <x v="0"/>
    <s v=""/>
    <s v=""/>
    <m/>
    <m/>
    <x v="0"/>
    <x v="49"/>
    <n v="-13.943870014771051"/>
    <m/>
    <x v="0"/>
  </r>
  <r>
    <s v="1000013801"/>
    <x v="24"/>
    <s v="1200000667"/>
    <x v="130"/>
    <x v="0"/>
    <x v="29"/>
    <n v="2"/>
    <d v="2026-04-11T00:00:00"/>
    <n v="593.29999999999995"/>
    <s v="PEN"/>
    <x v="0"/>
    <s v=""/>
    <s v=""/>
    <m/>
    <m/>
    <x v="0"/>
    <x v="31"/>
    <n v="175.27326440177254"/>
    <m/>
    <x v="0"/>
  </r>
  <r>
    <s v="1000013801"/>
    <x v="24"/>
    <s v="1200000668"/>
    <x v="131"/>
    <x v="0"/>
    <x v="29"/>
    <n v="2"/>
    <d v="2026-04-11T00:00:00"/>
    <n v="123.9"/>
    <s v="PEN"/>
    <x v="0"/>
    <s v=""/>
    <s v=""/>
    <m/>
    <m/>
    <x v="0"/>
    <x v="31"/>
    <n v="36.602658788774008"/>
    <m/>
    <x v="0"/>
  </r>
  <r>
    <s v="1000013801"/>
    <x v="24"/>
    <s v="1200000704"/>
    <x v="132"/>
    <x v="0"/>
    <x v="22"/>
    <n v="7"/>
    <d v="2026-04-06T00:00:00"/>
    <n v="165.2"/>
    <s v="PEN"/>
    <x v="0"/>
    <s v=""/>
    <s v=""/>
    <m/>
    <m/>
    <x v="0"/>
    <x v="17"/>
    <n v="48.80354505169867"/>
    <m/>
    <x v="0"/>
  </r>
  <r>
    <s v="1000013801"/>
    <x v="24"/>
    <s v="1200000751"/>
    <x v="133"/>
    <x v="0"/>
    <x v="13"/>
    <n v="-2"/>
    <d v="2026-04-15T00:00:00"/>
    <n v="554.13"/>
    <s v="PEN"/>
    <x v="0"/>
    <s v=""/>
    <s v=""/>
    <m/>
    <m/>
    <x v="0"/>
    <x v="23"/>
    <n v="163.7016248153619"/>
    <m/>
    <x v="0"/>
  </r>
  <r>
    <s v="1000013801"/>
    <x v="24"/>
    <s v="1200000752"/>
    <x v="134"/>
    <x v="0"/>
    <x v="13"/>
    <n v="-2"/>
    <d v="2026-04-15T00:00:00"/>
    <n v="123.9"/>
    <s v="PEN"/>
    <x v="0"/>
    <s v=""/>
    <s v=""/>
    <m/>
    <m/>
    <x v="0"/>
    <x v="23"/>
    <n v="36.602658788774008"/>
    <m/>
    <x v="0"/>
  </r>
  <r>
    <s v="1000013801"/>
    <x v="24"/>
    <s v="1200000753"/>
    <x v="135"/>
    <x v="0"/>
    <x v="13"/>
    <n v="5"/>
    <d v="2026-04-08T00:00:00"/>
    <n v="165.2"/>
    <s v="PEN"/>
    <x v="0"/>
    <s v=""/>
    <s v=""/>
    <m/>
    <m/>
    <x v="0"/>
    <x v="13"/>
    <n v="48.80354505169867"/>
    <m/>
    <x v="0"/>
  </r>
  <r>
    <s v="1000013794"/>
    <x v="25"/>
    <s v="1300005699"/>
    <x v="136"/>
    <x v="4"/>
    <x v="46"/>
    <n v="183"/>
    <d v="2025-10-12T00:00:00"/>
    <n v="56.64"/>
    <s v="PEN"/>
    <x v="0"/>
    <s v=""/>
    <s v=""/>
    <m/>
    <m/>
    <x v="0"/>
    <x v="50"/>
    <n v="16.73264401772526"/>
    <m/>
    <x v="0"/>
  </r>
  <r>
    <s v="1000013686"/>
    <x v="26"/>
    <s v="1200000660"/>
    <x v="137"/>
    <x v="0"/>
    <x v="28"/>
    <n v="5"/>
    <d v="2026-04-08T00:00:00"/>
    <n v="1699.2"/>
    <s v="PEN"/>
    <x v="0"/>
    <s v=""/>
    <s v=""/>
    <m/>
    <m/>
    <x v="0"/>
    <x v="13"/>
    <n v="501.97932053175782"/>
    <m/>
    <x v="0"/>
  </r>
  <r>
    <s v="2000000786"/>
    <x v="27"/>
    <s v="1200000614"/>
    <x v="138"/>
    <x v="1"/>
    <x v="31"/>
    <n v="-29"/>
    <d v="2026-05-12T00:00:00"/>
    <n v="76800"/>
    <s v="USD"/>
    <x v="1"/>
    <s v=""/>
    <s v=""/>
    <d v="2026-05-12T00:00:00"/>
    <n v="22"/>
    <x v="5"/>
    <x v="33"/>
    <n v="76800"/>
    <n v="23"/>
    <x v="2"/>
  </r>
  <r>
    <s v="2000000786"/>
    <x v="27"/>
    <s v="1200000615"/>
    <x v="139"/>
    <x v="1"/>
    <x v="31"/>
    <n v="-29"/>
    <d v="2026-05-12T00:00:00"/>
    <n v="86240"/>
    <s v="USD"/>
    <x v="1"/>
    <s v=""/>
    <s v=""/>
    <d v="2026-05-12T00:00:00"/>
    <n v="22"/>
    <x v="5"/>
    <x v="33"/>
    <n v="86240"/>
    <n v="23"/>
    <x v="2"/>
  </r>
  <r>
    <s v="2000000786"/>
    <x v="27"/>
    <s v="1200000624"/>
    <x v="140"/>
    <x v="1"/>
    <x v="31"/>
    <n v="-29"/>
    <d v="2026-05-12T00:00:00"/>
    <n v="57600"/>
    <s v="USD"/>
    <x v="1"/>
    <s v=""/>
    <s v=""/>
    <d v="2026-05-12T00:00:00"/>
    <n v="22"/>
    <x v="5"/>
    <x v="33"/>
    <n v="57600"/>
    <n v="23"/>
    <x v="2"/>
  </r>
  <r>
    <s v="2000000786"/>
    <x v="27"/>
    <s v="1200000625"/>
    <x v="141"/>
    <x v="1"/>
    <x v="31"/>
    <n v="-29"/>
    <d v="2026-05-12T00:00:00"/>
    <n v="129600"/>
    <s v="USD"/>
    <x v="1"/>
    <s v=""/>
    <s v=""/>
    <d v="2026-05-12T00:00:00"/>
    <n v="22"/>
    <x v="5"/>
    <x v="33"/>
    <n v="129600"/>
    <n v="23"/>
    <x v="2"/>
  </r>
  <r>
    <s v="2000000786"/>
    <x v="27"/>
    <s v="1200000630"/>
    <x v="142"/>
    <x v="1"/>
    <x v="20"/>
    <n v="-30"/>
    <d v="2026-05-13T00:00:00"/>
    <n v="67200"/>
    <s v="USD"/>
    <x v="1"/>
    <s v=""/>
    <s v=""/>
    <d v="2026-05-13T00:00:00"/>
    <n v="23"/>
    <x v="3"/>
    <x v="21"/>
    <n v="67200"/>
    <n v="22"/>
    <x v="2"/>
  </r>
  <r>
    <s v="2000000786"/>
    <x v="27"/>
    <s v="1200000632"/>
    <x v="143"/>
    <x v="1"/>
    <x v="20"/>
    <n v="-30"/>
    <d v="2026-05-13T00:00:00"/>
    <n v="72960"/>
    <s v="USD"/>
    <x v="1"/>
    <s v=""/>
    <s v=""/>
    <d v="2026-05-13T00:00:00"/>
    <n v="23"/>
    <x v="3"/>
    <x v="21"/>
    <n v="72960"/>
    <n v="22"/>
    <x v="2"/>
  </r>
  <r>
    <s v="2000000786"/>
    <x v="27"/>
    <s v="1200000802"/>
    <x v="144"/>
    <x v="1"/>
    <x v="13"/>
    <n v="-40"/>
    <d v="2026-05-23T00:00:00"/>
    <n v="78200"/>
    <s v="USD"/>
    <x v="1"/>
    <s v=""/>
    <s v=""/>
    <d v="2026-05-23T00:00:00"/>
    <m/>
    <x v="6"/>
    <x v="34"/>
    <n v="78200"/>
    <n v="12"/>
    <x v="2"/>
  </r>
  <r>
    <s v="2000000786"/>
    <x v="27"/>
    <s v="1200000803"/>
    <x v="145"/>
    <x v="1"/>
    <x v="13"/>
    <n v="-40"/>
    <d v="2026-05-23T00:00:00"/>
    <n v="180000"/>
    <s v="USD"/>
    <x v="1"/>
    <s v=""/>
    <s v=""/>
    <d v="2026-05-23T00:00:00"/>
    <m/>
    <x v="6"/>
    <x v="34"/>
    <n v="180000"/>
    <n v="12"/>
    <x v="2"/>
  </r>
  <r>
    <s v="2000001069"/>
    <x v="28"/>
    <s v="1300001606"/>
    <x v="146"/>
    <x v="4"/>
    <x v="14"/>
    <n v="0"/>
    <d v="2026-03-31T00:00:00"/>
    <n v="-84100"/>
    <s v="USD"/>
    <x v="1"/>
    <s v=""/>
    <s v="A"/>
    <d v="2026-05-01T00:00:00"/>
    <m/>
    <x v="0"/>
    <x v="30"/>
    <n v="-84100"/>
    <n v="34"/>
    <x v="2"/>
  </r>
  <r>
    <m/>
    <x v="29"/>
    <m/>
    <x v="147"/>
    <x v="5"/>
    <x v="47"/>
    <m/>
    <m/>
    <m/>
    <m/>
    <x v="6"/>
    <m/>
    <m/>
    <m/>
    <m/>
    <x v="0"/>
    <x v="51"/>
    <m/>
    <m/>
    <x v="0"/>
  </r>
  <r>
    <m/>
    <x v="29"/>
    <m/>
    <x v="147"/>
    <x v="5"/>
    <x v="47"/>
    <m/>
    <m/>
    <m/>
    <m/>
    <x v="6"/>
    <m/>
    <m/>
    <m/>
    <m/>
    <x v="0"/>
    <x v="51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4B6E3-02B9-4B79-8B3B-1E8CE556D004}" name="TablaDinámica4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P22" firstHeaderRow="1" firstDataRow="4" firstDataCol="1" rowPageCount="2" colPageCount="1"/>
  <pivotFields count="28">
    <pivotField showAll="0"/>
    <pivotField axis="axisRow" showAll="0">
      <items count="34">
        <item x="0"/>
        <item x="1"/>
        <item x="2"/>
        <item x="3"/>
        <item x="4"/>
        <item x="5"/>
        <item x="6"/>
        <item m="1" x="30"/>
        <item x="7"/>
        <item x="8"/>
        <item x="9"/>
        <item m="1" x="31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32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axis="axisPage" multipleItemSelectionAllowed="1" showAll="0">
      <items count="7">
        <item x="2"/>
        <item x="1"/>
        <item x="0"/>
        <item x="4"/>
        <item x="3"/>
        <item x="5"/>
        <item t="default"/>
      </items>
    </pivotField>
    <pivotField showAll="0">
      <items count="54">
        <item x="43"/>
        <item x="46"/>
        <item x="37"/>
        <item x="33"/>
        <item x="38"/>
        <item x="34"/>
        <item x="0"/>
        <item x="1"/>
        <item x="2"/>
        <item x="3"/>
        <item x="4"/>
        <item x="5"/>
        <item x="6"/>
        <item x="7"/>
        <item x="23"/>
        <item x="8"/>
        <item x="9"/>
        <item x="24"/>
        <item x="39"/>
        <item m="1" x="48"/>
        <item x="25"/>
        <item m="1" x="49"/>
        <item x="10"/>
        <item x="45"/>
        <item x="40"/>
        <item x="41"/>
        <item m="1" x="52"/>
        <item x="30"/>
        <item x="14"/>
        <item x="42"/>
        <item x="15"/>
        <item x="16"/>
        <item x="26"/>
        <item x="27"/>
        <item m="1" x="51"/>
        <item m="1" x="50"/>
        <item x="31"/>
        <item x="20"/>
        <item x="17"/>
        <item x="21"/>
        <item x="28"/>
        <item x="29"/>
        <item x="11"/>
        <item x="22"/>
        <item x="12"/>
        <item x="13"/>
        <item x="18"/>
        <item x="19"/>
        <item x="47"/>
        <item x="32"/>
        <item x="35"/>
        <item x="36"/>
        <item x="4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8">
        <item h="1" x="3"/>
        <item x="1"/>
        <item h="1" x="0"/>
        <item h="1" x="4"/>
        <item h="1" x="5"/>
        <item h="1" x="2"/>
        <item h="1" x="6"/>
        <item t="default"/>
      </items>
    </pivotField>
    <pivotField showAll="0"/>
    <pivotField showAll="0"/>
    <pivotField showAll="0"/>
    <pivotField showAll="0"/>
    <pivotField axis="axisCol" showAll="0">
      <items count="13">
        <item x="1"/>
        <item x="9"/>
        <item x="4"/>
        <item x="10"/>
        <item x="2"/>
        <item x="5"/>
        <item x="3"/>
        <item x="11"/>
        <item x="6"/>
        <item x="0"/>
        <item x="7"/>
        <item x="8"/>
        <item t="default"/>
      </items>
    </pivotField>
    <pivotField showAll="0">
      <items count="56">
        <item x="50"/>
        <item x="46"/>
        <item x="40"/>
        <item x="36"/>
        <item x="41"/>
        <item x="37"/>
        <item x="0"/>
        <item x="1"/>
        <item x="2"/>
        <item x="3"/>
        <item x="4"/>
        <item x="5"/>
        <item x="6"/>
        <item x="7"/>
        <item x="26"/>
        <item x="8"/>
        <item x="9"/>
        <item m="1" x="52"/>
        <item x="27"/>
        <item x="42"/>
        <item x="28"/>
        <item x="43"/>
        <item m="1" x="53"/>
        <item x="35"/>
        <item x="49"/>
        <item x="14"/>
        <item x="15"/>
        <item x="16"/>
        <item x="29"/>
        <item x="30"/>
        <item x="47"/>
        <item x="17"/>
        <item x="12"/>
        <item x="13"/>
        <item x="25"/>
        <item x="31"/>
        <item x="11"/>
        <item x="24"/>
        <item x="22"/>
        <item x="23"/>
        <item x="18"/>
        <item x="19"/>
        <item x="38"/>
        <item x="44"/>
        <item m="1" x="54"/>
        <item x="32"/>
        <item x="10"/>
        <item x="45"/>
        <item x="20"/>
        <item x="33"/>
        <item x="21"/>
        <item x="48"/>
        <item x="34"/>
        <item x="51"/>
        <item x="39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x="2"/>
        <item sd="0"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4">
    <i>
      <x v="1"/>
    </i>
    <i>
      <x v="5"/>
    </i>
    <i>
      <x v="10"/>
    </i>
    <i>
      <x v="12"/>
    </i>
    <i>
      <x v="13"/>
    </i>
    <i>
      <x v="15"/>
    </i>
    <i>
      <x v="16"/>
    </i>
    <i>
      <x v="19"/>
    </i>
    <i>
      <x v="20"/>
    </i>
    <i>
      <x v="23"/>
    </i>
    <i>
      <x v="26"/>
    </i>
    <i>
      <x v="30"/>
    </i>
    <i>
      <x v="31"/>
    </i>
    <i t="grand">
      <x/>
    </i>
  </rowItems>
  <colFields count="3">
    <field x="27"/>
    <field x="26"/>
    <field x="15"/>
  </colFields>
  <colItems count="15">
    <i>
      <x/>
    </i>
    <i>
      <x v="4"/>
      <x v="105"/>
    </i>
    <i r="1">
      <x v="111"/>
    </i>
    <i r="1">
      <x v="112"/>
    </i>
    <i r="1">
      <x v="120"/>
    </i>
    <i t="default">
      <x v="4"/>
    </i>
    <i>
      <x v="5"/>
      <x v="123"/>
    </i>
    <i r="1">
      <x v="126"/>
    </i>
    <i r="1">
      <x v="133"/>
    </i>
    <i r="1">
      <x v="134"/>
    </i>
    <i r="1">
      <x v="135"/>
    </i>
    <i r="1">
      <x v="144"/>
    </i>
    <i r="1">
      <x v="149"/>
    </i>
    <i t="default">
      <x v="5"/>
    </i>
    <i t="grand">
      <x/>
    </i>
  </colItems>
  <pageFields count="2">
    <pageField fld="4" hier="-1"/>
    <pageField fld="10" hier="-1"/>
  </pageFields>
  <dataFields count="1">
    <dataField name="Suma de USD HOMOL" fld="17" baseField="0" baseItem="0" numFmtId="165"/>
  </dataFields>
  <formats count="16">
    <format dxfId="180">
      <pivotArea outline="0" collapsedLevelsAreSubtotals="1" fieldPosition="0"/>
    </format>
    <format dxfId="165">
      <pivotArea collapsedLevelsAreSubtotals="1" fieldPosition="0">
        <references count="3">
          <reference field="1" count="1">
            <x v="1"/>
          </reference>
          <reference field="26" count="1" selected="0">
            <x v="105"/>
          </reference>
          <reference field="27" count="1" selected="0">
            <x v="4"/>
          </reference>
        </references>
      </pivotArea>
    </format>
    <format dxfId="127">
      <pivotArea collapsedLevelsAreSubtotals="1" fieldPosition="0">
        <references count="3">
          <reference field="1" count="1">
            <x v="19"/>
          </reference>
          <reference field="26" count="1" selected="0">
            <x v="112"/>
          </reference>
          <reference field="27" count="1" selected="0">
            <x v="4"/>
          </reference>
        </references>
      </pivotArea>
    </format>
    <format dxfId="126">
      <pivotArea collapsedLevelsAreSubtotals="1" fieldPosition="0">
        <references count="3">
          <reference field="1" count="1">
            <x v="10"/>
          </reference>
          <reference field="26" count="1" selected="0">
            <x v="120"/>
          </reference>
          <reference field="27" count="1" selected="0">
            <x v="4"/>
          </reference>
        </references>
      </pivotArea>
    </format>
    <format dxfId="91">
      <pivotArea collapsedLevelsAreSubtotals="1" fieldPosition="0">
        <references count="2">
          <reference field="1" count="1">
            <x v="30"/>
          </reference>
          <reference field="27" count="1" selected="0">
            <x v="0"/>
          </reference>
        </references>
      </pivotArea>
    </format>
    <format dxfId="89">
      <pivotArea collapsedLevelsAreSubtotals="1" fieldPosition="0">
        <references count="3">
          <reference field="1" count="2">
            <x v="19"/>
            <x v="20"/>
          </reference>
          <reference field="26" count="1" selected="0">
            <x v="123"/>
          </reference>
          <reference field="27" count="1" selected="0">
            <x v="5"/>
          </reference>
        </references>
      </pivotArea>
    </format>
    <format dxfId="87">
      <pivotArea collapsedLevelsAreSubtotals="1" fieldPosition="0">
        <references count="3">
          <reference field="1" count="1">
            <x v="5"/>
          </reference>
          <reference field="26" count="1" selected="0">
            <x v="126"/>
          </reference>
          <reference field="27" count="1" selected="0">
            <x v="5"/>
          </reference>
        </references>
      </pivotArea>
    </format>
    <format dxfId="85">
      <pivotArea collapsedLevelsAreSubtotals="1" fieldPosition="0">
        <references count="3">
          <reference field="1" count="2">
            <x v="10"/>
            <x v="12"/>
          </reference>
          <reference field="26" count="1" selected="0">
            <x v="133"/>
          </reference>
          <reference field="27" count="1" selected="0">
            <x v="5"/>
          </reference>
        </references>
      </pivotArea>
    </format>
    <format dxfId="83">
      <pivotArea collapsedLevelsAreSubtotals="1" fieldPosition="0">
        <references count="3">
          <reference field="1" count="1">
            <x v="5"/>
          </reference>
          <reference field="26" count="1" selected="0">
            <x v="134"/>
          </reference>
          <reference field="27" count="1" selected="0">
            <x v="5"/>
          </reference>
        </references>
      </pivotArea>
    </format>
    <format dxfId="82">
      <pivotArea collapsedLevelsAreSubtotals="1" fieldPosition="0">
        <references count="3">
          <reference field="1" count="1">
            <x v="15"/>
          </reference>
          <reference field="26" count="1" selected="0">
            <x v="134"/>
          </reference>
          <reference field="27" count="1" selected="0">
            <x v="5"/>
          </reference>
        </references>
      </pivotArea>
    </format>
    <format dxfId="79">
      <pivotArea collapsedLevelsAreSubtotals="1" fieldPosition="0">
        <references count="3">
          <reference field="1" count="1">
            <x v="30"/>
          </reference>
          <reference field="26" count="2" selected="0">
            <x v="133"/>
            <x v="134"/>
          </reference>
          <reference field="27" count="1" selected="0">
            <x v="5"/>
          </reference>
        </references>
      </pivotArea>
    </format>
    <format dxfId="77">
      <pivotArea collapsedLevelsAreSubtotals="1" fieldPosition="0">
        <references count="3">
          <reference field="1" count="1">
            <x v="26"/>
          </reference>
          <reference field="26" count="1" selected="0">
            <x v="135"/>
          </reference>
          <reference field="27" count="1" selected="0">
            <x v="5"/>
          </reference>
        </references>
      </pivotArea>
    </format>
    <format dxfId="76">
      <pivotArea collapsedLevelsAreSubtotals="1" fieldPosition="0">
        <references count="3">
          <reference field="1" count="1">
            <x v="30"/>
          </reference>
          <reference field="26" count="1" selected="0">
            <x v="144"/>
          </reference>
          <reference field="27" count="1" selected="0">
            <x v="5"/>
          </reference>
        </references>
      </pivotArea>
    </format>
    <format dxfId="73">
      <pivotArea collapsedLevelsAreSubtotals="1" fieldPosition="0">
        <references count="3">
          <reference field="1" count="1">
            <x v="10"/>
          </reference>
          <reference field="26" count="1" selected="0">
            <x v="144"/>
          </reference>
          <reference field="27" count="1" selected="0">
            <x v="5"/>
          </reference>
        </references>
      </pivotArea>
    </format>
    <format dxfId="3">
      <pivotArea collapsedLevelsAreSubtotals="1" fieldPosition="0">
        <references count="2">
          <reference field="1" count="1">
            <x v="16"/>
          </reference>
          <reference field="27" count="1" selected="0">
            <x v="0"/>
          </reference>
        </references>
      </pivotArea>
    </format>
    <format dxfId="1">
      <pivotArea collapsedLevelsAreSubtotals="1" fieldPosition="0">
        <references count="3">
          <reference field="1" count="1">
            <x v="16"/>
          </reference>
          <reference field="26" count="1" selected="0">
            <x v="149"/>
          </reference>
          <reference field="27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3D07A-59CF-4A3D-A9FA-2EC62C1DA44C}" name="TablaDinámica1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1:U48" firstHeaderRow="1" firstDataRow="4" firstDataCol="1" rowPageCount="2" colPageCount="1"/>
  <pivotFields count="28">
    <pivotField showAll="0"/>
    <pivotField axis="axisRow" showAll="0">
      <items count="34">
        <item x="0"/>
        <item x="1"/>
        <item x="2"/>
        <item x="3"/>
        <item x="4"/>
        <item x="5"/>
        <item x="6"/>
        <item m="1" x="30"/>
        <item x="7"/>
        <item x="8"/>
        <item x="9"/>
        <item m="1" x="31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32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axis="axisPage" multipleItemSelectionAllowed="1" showAll="0">
      <items count="7">
        <item x="2"/>
        <item x="1"/>
        <item x="0"/>
        <item x="4"/>
        <item x="3"/>
        <item x="5"/>
        <item t="default"/>
      </items>
    </pivotField>
    <pivotField showAll="0">
      <items count="54">
        <item x="43"/>
        <item x="46"/>
        <item x="37"/>
        <item x="33"/>
        <item x="38"/>
        <item x="34"/>
        <item x="0"/>
        <item x="1"/>
        <item x="2"/>
        <item x="3"/>
        <item x="4"/>
        <item x="5"/>
        <item x="6"/>
        <item x="7"/>
        <item x="23"/>
        <item x="8"/>
        <item x="9"/>
        <item x="24"/>
        <item x="39"/>
        <item m="1" x="48"/>
        <item x="25"/>
        <item m="1" x="49"/>
        <item x="10"/>
        <item x="45"/>
        <item x="40"/>
        <item x="41"/>
        <item m="1" x="52"/>
        <item x="30"/>
        <item x="14"/>
        <item x="42"/>
        <item x="15"/>
        <item x="16"/>
        <item x="26"/>
        <item x="27"/>
        <item m="1" x="51"/>
        <item m="1" x="50"/>
        <item x="31"/>
        <item x="20"/>
        <item x="17"/>
        <item x="21"/>
        <item x="28"/>
        <item x="29"/>
        <item x="11"/>
        <item x="22"/>
        <item x="12"/>
        <item x="13"/>
        <item x="18"/>
        <item x="19"/>
        <item x="47"/>
        <item x="32"/>
        <item x="35"/>
        <item x="36"/>
        <item x="4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8">
        <item h="1" x="3"/>
        <item x="1"/>
        <item h="1" x="0"/>
        <item h="1" x="4"/>
        <item h="1" x="5"/>
        <item h="1" x="2"/>
        <item h="1" x="6"/>
        <item t="default"/>
      </items>
    </pivotField>
    <pivotField showAll="0"/>
    <pivotField showAll="0"/>
    <pivotField showAll="0"/>
    <pivotField showAll="0"/>
    <pivotField showAll="0">
      <items count="13">
        <item x="1"/>
        <item x="9"/>
        <item x="4"/>
        <item x="10"/>
        <item x="2"/>
        <item x="5"/>
        <item x="3"/>
        <item x="11"/>
        <item x="6"/>
        <item x="0"/>
        <item x="7"/>
        <item x="8"/>
        <item t="default"/>
      </items>
    </pivotField>
    <pivotField axis="axisCol" showAll="0">
      <items count="56">
        <item x="50"/>
        <item x="46"/>
        <item x="40"/>
        <item x="36"/>
        <item x="41"/>
        <item x="37"/>
        <item x="0"/>
        <item x="1"/>
        <item x="2"/>
        <item x="3"/>
        <item x="4"/>
        <item x="5"/>
        <item x="6"/>
        <item x="7"/>
        <item x="26"/>
        <item x="8"/>
        <item x="9"/>
        <item m="1" x="52"/>
        <item x="27"/>
        <item x="42"/>
        <item x="28"/>
        <item x="43"/>
        <item m="1" x="53"/>
        <item x="35"/>
        <item x="49"/>
        <item x="14"/>
        <item x="15"/>
        <item x="16"/>
        <item x="29"/>
        <item x="30"/>
        <item x="47"/>
        <item x="17"/>
        <item x="12"/>
        <item x="13"/>
        <item x="25"/>
        <item x="31"/>
        <item x="11"/>
        <item x="24"/>
        <item x="22"/>
        <item x="23"/>
        <item x="18"/>
        <item x="19"/>
        <item x="38"/>
        <item x="44"/>
        <item m="1" x="54"/>
        <item x="32"/>
        <item x="10"/>
        <item x="45"/>
        <item x="20"/>
        <item x="33"/>
        <item x="21"/>
        <item x="48"/>
        <item x="34"/>
        <item x="51"/>
        <item x="39"/>
        <item t="default"/>
      </items>
    </pivotField>
    <pivotField dataField="1" showAll="0"/>
    <pivotField showAll="0"/>
    <pivotField showAll="0"/>
    <pivotField axis="axisCol" showAll="0">
      <items count="15">
        <item sd="0" x="0"/>
        <item sd="0" x="1"/>
        <item sd="0"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x="2"/>
        <item sd="0"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4">
    <i>
      <x v="1"/>
    </i>
    <i>
      <x v="5"/>
    </i>
    <i>
      <x v="10"/>
    </i>
    <i>
      <x v="12"/>
    </i>
    <i>
      <x v="13"/>
    </i>
    <i>
      <x v="15"/>
    </i>
    <i>
      <x v="16"/>
    </i>
    <i>
      <x v="19"/>
    </i>
    <i>
      <x v="20"/>
    </i>
    <i>
      <x v="23"/>
    </i>
    <i>
      <x v="26"/>
    </i>
    <i>
      <x v="30"/>
    </i>
    <i>
      <x v="31"/>
    </i>
    <i t="grand">
      <x/>
    </i>
  </rowItems>
  <colFields count="3">
    <field x="22"/>
    <field x="20"/>
    <field x="16"/>
  </colFields>
  <colItems count="20">
    <i>
      <x v="2"/>
      <x v="3"/>
    </i>
    <i r="1">
      <x v="4"/>
      <x v="32"/>
    </i>
    <i r="2">
      <x v="33"/>
    </i>
    <i r="2">
      <x v="38"/>
    </i>
    <i r="2">
      <x v="39"/>
    </i>
    <i r="2">
      <x v="42"/>
    </i>
    <i r="2">
      <x v="43"/>
    </i>
    <i r="2">
      <x v="45"/>
    </i>
    <i r="2">
      <x v="46"/>
    </i>
    <i t="default" r="1">
      <x v="4"/>
    </i>
    <i r="1">
      <x v="5"/>
      <x v="47"/>
    </i>
    <i r="2">
      <x v="48"/>
    </i>
    <i r="2">
      <x v="49"/>
    </i>
    <i r="2">
      <x v="50"/>
    </i>
    <i r="2">
      <x v="51"/>
    </i>
    <i r="2">
      <x v="52"/>
    </i>
    <i r="2">
      <x v="54"/>
    </i>
    <i t="default" r="1">
      <x v="5"/>
    </i>
    <i t="default">
      <x v="2"/>
    </i>
    <i t="grand">
      <x/>
    </i>
  </colItems>
  <pageFields count="2">
    <pageField fld="4" hier="-1"/>
    <pageField fld="10" hier="-1"/>
  </pageFields>
  <dataFields count="1">
    <dataField name="Suma de USD HOMOL" fld="17" baseField="0" baseItem="0" numFmtId="165"/>
  </dataFields>
  <formats count="14">
    <format dxfId="182">
      <pivotArea outline="0" collapsedLevelsAreSubtotals="1" fieldPosition="0"/>
    </format>
    <format dxfId="164">
      <pivotArea collapsedLevelsAreSubtotals="1" fieldPosition="0">
        <references count="4">
          <reference field="1" count="1">
            <x v="1"/>
          </reference>
          <reference field="16" count="1" selected="0">
            <x v="46"/>
          </reference>
          <reference field="20" count="1" selected="0">
            <x v="4"/>
          </reference>
          <reference field="22" count="1" selected="0">
            <x v="2"/>
          </reference>
        </references>
      </pivotArea>
    </format>
    <format dxfId="125">
      <pivotArea collapsedLevelsAreSubtotals="1" fieldPosition="0">
        <references count="4">
          <reference field="1" count="1">
            <x v="19"/>
          </reference>
          <reference field="16" count="1" selected="0">
            <x v="43"/>
          </reference>
          <reference field="20" count="1" selected="0">
            <x v="4"/>
          </reference>
          <reference field="22" count="1" selected="0">
            <x v="2"/>
          </reference>
        </references>
      </pivotArea>
    </format>
    <format dxfId="124">
      <pivotArea collapsedLevelsAreSubtotals="1" fieldPosition="0">
        <references count="4">
          <reference field="1" count="1">
            <x v="10"/>
          </reference>
          <reference field="16" count="1" selected="0">
            <x v="45"/>
          </reference>
          <reference field="20" count="1" selected="0">
            <x v="4"/>
          </reference>
          <reference field="22" count="1" selected="0">
            <x v="2"/>
          </reference>
        </references>
      </pivotArea>
    </format>
    <format dxfId="88">
      <pivotArea collapsedLevelsAreSubtotals="1" fieldPosition="0">
        <references count="4">
          <reference field="1" count="2">
            <x v="19"/>
            <x v="20"/>
          </reference>
          <reference field="16" count="1" selected="0">
            <x v="47"/>
          </reference>
          <reference field="20" count="1" selected="0">
            <x v="5"/>
          </reference>
          <reference field="22" count="1" selected="0">
            <x v="2"/>
          </reference>
        </references>
      </pivotArea>
    </format>
    <format dxfId="86">
      <pivotArea collapsedLevelsAreSubtotals="1" fieldPosition="0">
        <references count="4">
          <reference field="1" count="1">
            <x v="5"/>
          </reference>
          <reference field="16" count="1" selected="0">
            <x v="48"/>
          </reference>
          <reference field="20" count="1" selected="0">
            <x v="5"/>
          </reference>
          <reference field="22" count="1" selected="0">
            <x v="2"/>
          </reference>
        </references>
      </pivotArea>
    </format>
    <format dxfId="84">
      <pivotArea collapsedLevelsAreSubtotals="1" fieldPosition="0">
        <references count="4">
          <reference field="1" count="2">
            <x v="10"/>
            <x v="12"/>
          </reference>
          <reference field="16" count="1" selected="0">
            <x v="49"/>
          </reference>
          <reference field="20" count="1" selected="0">
            <x v="5"/>
          </reference>
          <reference field="22" count="1" selected="0">
            <x v="2"/>
          </reference>
        </references>
      </pivotArea>
    </format>
    <format dxfId="81">
      <pivotArea collapsedLevelsAreSubtotals="1" fieldPosition="0">
        <references count="4">
          <reference field="1" count="1">
            <x v="5"/>
          </reference>
          <reference field="16" count="1" selected="0">
            <x v="50"/>
          </reference>
          <reference field="20" count="1" selected="0">
            <x v="5"/>
          </reference>
          <reference field="22" count="1" selected="0">
            <x v="2"/>
          </reference>
        </references>
      </pivotArea>
    </format>
    <format dxfId="80">
      <pivotArea collapsedLevelsAreSubtotals="1" fieldPosition="0">
        <references count="4">
          <reference field="1" count="1">
            <x v="15"/>
          </reference>
          <reference field="16" count="1" selected="0">
            <x v="50"/>
          </reference>
          <reference field="20" count="1" selected="0">
            <x v="5"/>
          </reference>
          <reference field="22" count="1" selected="0">
            <x v="2"/>
          </reference>
        </references>
      </pivotArea>
    </format>
    <format dxfId="78">
      <pivotArea collapsedLevelsAreSubtotals="1" fieldPosition="0">
        <references count="4">
          <reference field="1" count="1">
            <x v="30"/>
          </reference>
          <reference field="16" count="2" selected="0">
            <x v="49"/>
            <x v="50"/>
          </reference>
          <reference field="20" count="1" selected="0">
            <x v="5"/>
          </reference>
          <reference field="22" count="1" selected="0">
            <x v="2"/>
          </reference>
        </references>
      </pivotArea>
    </format>
    <format dxfId="75">
      <pivotArea collapsedLevelsAreSubtotals="1" fieldPosition="0">
        <references count="4">
          <reference field="1" count="1">
            <x v="26"/>
          </reference>
          <reference field="16" count="1" selected="0">
            <x v="51"/>
          </reference>
          <reference field="20" count="1" selected="0">
            <x v="5"/>
          </reference>
          <reference field="22" count="1" selected="0">
            <x v="2"/>
          </reference>
        </references>
      </pivotArea>
    </format>
    <format dxfId="74">
      <pivotArea collapsedLevelsAreSubtotals="1" fieldPosition="0">
        <references count="4">
          <reference field="1" count="1">
            <x v="30"/>
          </reference>
          <reference field="16" count="1" selected="0">
            <x v="52"/>
          </reference>
          <reference field="20" count="1" selected="0">
            <x v="5"/>
          </reference>
          <reference field="22" count="1" selected="0">
            <x v="2"/>
          </reference>
        </references>
      </pivotArea>
    </format>
    <format dxfId="72">
      <pivotArea collapsedLevelsAreSubtotals="1" fieldPosition="0">
        <references count="4">
          <reference field="1" count="1">
            <x v="10"/>
          </reference>
          <reference field="16" count="1" selected="0">
            <x v="52"/>
          </reference>
          <reference field="20" count="1" selected="0">
            <x v="5"/>
          </reference>
          <reference field="22" count="1" selected="0">
            <x v="2"/>
          </reference>
        </references>
      </pivotArea>
    </format>
    <format dxfId="0">
      <pivotArea collapsedLevelsAreSubtotals="1" fieldPosition="0">
        <references count="4">
          <reference field="1" count="1">
            <x v="16"/>
          </reference>
          <reference field="16" count="1" selected="0">
            <x v="54"/>
          </reference>
          <reference field="20" count="1" selected="0">
            <x v="5"/>
          </reference>
          <reference field="2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612FE-2E4F-48B0-BD1A-CB434293EBBF}" name="TablaDinámica3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39" firstHeaderRow="1" firstDataRow="1" firstDataCol="1" rowPageCount="3" colPageCount="1"/>
  <pivotFields count="28">
    <pivotField showAll="0"/>
    <pivotField axis="axisRow" showAll="0">
      <items count="34">
        <item x="0"/>
        <item x="1"/>
        <item x="2"/>
        <item x="3"/>
        <item x="4"/>
        <item x="5"/>
        <item x="6"/>
        <item m="1" x="30"/>
        <item x="7"/>
        <item x="8"/>
        <item x="9"/>
        <item m="1" x="31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32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Row" showAll="0">
      <items count="158">
        <item m="1" x="148"/>
        <item x="17"/>
        <item m="1" x="155"/>
        <item m="1" x="156"/>
        <item x="32"/>
        <item x="138"/>
        <item x="139"/>
        <item x="90"/>
        <item m="1" x="151"/>
        <item x="88"/>
        <item x="140"/>
        <item x="141"/>
        <item x="142"/>
        <item x="143"/>
        <item x="33"/>
        <item x="34"/>
        <item x="35"/>
        <item x="36"/>
        <item x="37"/>
        <item x="38"/>
        <item x="97"/>
        <item x="129"/>
        <item x="89"/>
        <item x="144"/>
        <item x="145"/>
        <item x="119"/>
        <item x="100"/>
        <item x="101"/>
        <item x="102"/>
        <item x="120"/>
        <item x="121"/>
        <item x="93"/>
        <item x="94"/>
        <item x="95"/>
        <item x="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49"/>
        <item x="50"/>
        <item x="14"/>
        <item x="15"/>
        <item x="16"/>
        <item x="51"/>
        <item x="52"/>
        <item x="53"/>
        <item x="54"/>
        <item x="24"/>
        <item x="25"/>
        <item x="55"/>
        <item x="56"/>
        <item x="26"/>
        <item x="57"/>
        <item x="58"/>
        <item x="59"/>
        <item x="60"/>
        <item x="61"/>
        <item x="62"/>
        <item x="27"/>
        <item x="63"/>
        <item x="64"/>
        <item x="103"/>
        <item x="65"/>
        <item x="66"/>
        <item x="67"/>
        <item x="68"/>
        <item x="104"/>
        <item x="105"/>
        <item x="69"/>
        <item x="70"/>
        <item x="137"/>
        <item x="130"/>
        <item x="131"/>
        <item x="123"/>
        <item x="71"/>
        <item x="72"/>
        <item x="108"/>
        <item x="109"/>
        <item x="124"/>
        <item x="73"/>
        <item x="74"/>
        <item x="132"/>
        <item x="45"/>
        <item x="46"/>
        <item x="75"/>
        <item x="76"/>
        <item x="110"/>
        <item x="111"/>
        <item x="125"/>
        <item x="77"/>
        <item x="78"/>
        <item x="47"/>
        <item x="133"/>
        <item x="134"/>
        <item x="135"/>
        <item x="126"/>
        <item x="79"/>
        <item x="80"/>
        <item x="81"/>
        <item x="82"/>
        <item x="112"/>
        <item x="113"/>
        <item x="114"/>
        <item x="115"/>
        <item x="28"/>
        <item x="48"/>
        <item x="30"/>
        <item x="31"/>
        <item x="83"/>
        <item x="84"/>
        <item x="127"/>
        <item x="29"/>
        <item x="85"/>
        <item x="86"/>
        <item x="39"/>
        <item x="40"/>
        <item x="18"/>
        <item x="19"/>
        <item x="20"/>
        <item x="21"/>
        <item x="41"/>
        <item x="42"/>
        <item x="22"/>
        <item x="23"/>
        <item x="43"/>
        <item x="44"/>
        <item x="107"/>
        <item m="1" x="149"/>
        <item x="122"/>
        <item x="128"/>
        <item x="146"/>
        <item m="1" x="150"/>
        <item m="1" x="154"/>
        <item m="1" x="152"/>
        <item m="1" x="153"/>
        <item x="116"/>
        <item x="87"/>
        <item x="118"/>
        <item x="117"/>
        <item x="99"/>
        <item x="136"/>
        <item x="106"/>
        <item x="91"/>
        <item x="147"/>
        <item x="92"/>
        <item x="98"/>
        <item t="default"/>
      </items>
    </pivotField>
    <pivotField axis="axisPage" multipleItemSelectionAllowed="1" showAll="0">
      <items count="7">
        <item h="1" x="2"/>
        <item x="1"/>
        <item h="1" x="0"/>
        <item x="4"/>
        <item h="1" x="3"/>
        <item h="1" x="5"/>
        <item t="default"/>
      </items>
    </pivotField>
    <pivotField axis="axisPage" showAll="0">
      <items count="54">
        <item x="43"/>
        <item x="46"/>
        <item x="37"/>
        <item x="33"/>
        <item x="38"/>
        <item x="34"/>
        <item x="0"/>
        <item x="1"/>
        <item x="2"/>
        <item x="3"/>
        <item x="4"/>
        <item x="5"/>
        <item x="6"/>
        <item x="7"/>
        <item x="23"/>
        <item x="8"/>
        <item x="9"/>
        <item x="24"/>
        <item x="39"/>
        <item m="1" x="48"/>
        <item x="25"/>
        <item m="1" x="49"/>
        <item x="10"/>
        <item x="45"/>
        <item x="40"/>
        <item x="41"/>
        <item m="1" x="52"/>
        <item x="30"/>
        <item x="14"/>
        <item x="42"/>
        <item x="15"/>
        <item x="16"/>
        <item x="26"/>
        <item x="27"/>
        <item m="1" x="51"/>
        <item m="1" x="50"/>
        <item x="31"/>
        <item x="20"/>
        <item x="17"/>
        <item x="21"/>
        <item x="28"/>
        <item x="29"/>
        <item x="11"/>
        <item x="22"/>
        <item x="12"/>
        <item x="13"/>
        <item x="18"/>
        <item x="19"/>
        <item x="47"/>
        <item x="32"/>
        <item x="35"/>
        <item x="36"/>
        <item x="4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8">
        <item h="1" x="3"/>
        <item x="1"/>
        <item h="1" x="0"/>
        <item h="1" x="4"/>
        <item h="1" x="5"/>
        <item h="1" x="2"/>
        <item h="1" x="6"/>
        <item t="default"/>
      </items>
    </pivotField>
    <pivotField showAll="0"/>
    <pivotField showAll="0"/>
    <pivotField showAll="0"/>
    <pivotField showAll="0"/>
    <pivotField showAll="0">
      <items count="13">
        <item x="1"/>
        <item x="9"/>
        <item x="4"/>
        <item x="10"/>
        <item x="2"/>
        <item x="5"/>
        <item x="3"/>
        <item x="11"/>
        <item x="6"/>
        <item x="0"/>
        <item x="7"/>
        <item x="8"/>
        <item t="default"/>
      </items>
    </pivotField>
    <pivotField showAll="0">
      <items count="56">
        <item x="50"/>
        <item x="46"/>
        <item x="40"/>
        <item x="36"/>
        <item x="41"/>
        <item x="37"/>
        <item x="0"/>
        <item x="1"/>
        <item x="2"/>
        <item x="3"/>
        <item x="4"/>
        <item x="5"/>
        <item x="6"/>
        <item x="7"/>
        <item x="26"/>
        <item x="8"/>
        <item x="9"/>
        <item m="1" x="52"/>
        <item x="27"/>
        <item x="42"/>
        <item x="28"/>
        <item x="43"/>
        <item m="1" x="53"/>
        <item x="35"/>
        <item x="49"/>
        <item x="14"/>
        <item x="15"/>
        <item x="16"/>
        <item x="29"/>
        <item x="30"/>
        <item x="47"/>
        <item x="17"/>
        <item x="12"/>
        <item x="13"/>
        <item x="25"/>
        <item x="31"/>
        <item x="11"/>
        <item x="24"/>
        <item x="22"/>
        <item x="23"/>
        <item x="18"/>
        <item x="19"/>
        <item x="44"/>
        <item m="1" x="54"/>
        <item x="10"/>
        <item x="45"/>
        <item x="20"/>
        <item x="33"/>
        <item x="21"/>
        <item x="48"/>
        <item x="34"/>
        <item x="51"/>
        <item x="32"/>
        <item x="38"/>
        <item x="39"/>
        <item t="default"/>
      </items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3"/>
  </rowFields>
  <rowItems count="34">
    <i>
      <x v="1"/>
    </i>
    <i r="1">
      <x v="1"/>
    </i>
    <i>
      <x v="5"/>
    </i>
    <i r="1">
      <x v="4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0"/>
    </i>
    <i r="1">
      <x v="9"/>
    </i>
    <i r="1">
      <x v="22"/>
    </i>
    <i>
      <x v="12"/>
    </i>
    <i r="1">
      <x v="7"/>
    </i>
    <i>
      <x v="15"/>
    </i>
    <i r="1">
      <x v="20"/>
    </i>
    <i>
      <x v="23"/>
    </i>
    <i r="1">
      <x v="139"/>
    </i>
    <i>
      <x v="26"/>
    </i>
    <i r="1">
      <x v="21"/>
    </i>
    <i r="1">
      <x v="140"/>
    </i>
    <i>
      <x v="30"/>
    </i>
    <i r="1">
      <x v="5"/>
    </i>
    <i r="1">
      <x v="6"/>
    </i>
    <i r="1">
      <x v="10"/>
    </i>
    <i r="1">
      <x v="11"/>
    </i>
    <i r="1">
      <x v="12"/>
    </i>
    <i r="1">
      <x v="13"/>
    </i>
    <i r="1">
      <x v="23"/>
    </i>
    <i r="1">
      <x v="24"/>
    </i>
    <i>
      <x v="31"/>
    </i>
    <i r="1">
      <x v="141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7" baseField="0" baseItem="0" numFmtId="43"/>
  </dataFields>
  <formats count="1">
    <format dxfId="1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7FA7C-1E93-4824-9758-6CEEEB705760}" name="TablaDinámica8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7" firstHeaderRow="0" firstDataRow="1" firstDataCol="1" rowPageCount="2" colPageCount="1"/>
  <pivotFields count="28">
    <pivotField showAll="0"/>
    <pivotField axis="axisRow" showAll="0">
      <items count="34">
        <item x="0"/>
        <item x="1"/>
        <item x="2"/>
        <item x="3"/>
        <item x="4"/>
        <item x="5"/>
        <item x="6"/>
        <item m="1" x="30"/>
        <item x="7"/>
        <item x="8"/>
        <item x="9"/>
        <item m="1" x="31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32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Row" showAll="0">
      <items count="158">
        <item m="1" x="148"/>
        <item x="17"/>
        <item m="1" x="155"/>
        <item m="1" x="156"/>
        <item x="32"/>
        <item x="138"/>
        <item x="139"/>
        <item x="90"/>
        <item m="1" x="151"/>
        <item x="88"/>
        <item x="140"/>
        <item x="141"/>
        <item x="142"/>
        <item x="143"/>
        <item x="33"/>
        <item x="34"/>
        <item x="35"/>
        <item x="36"/>
        <item x="37"/>
        <item x="38"/>
        <item x="97"/>
        <item x="129"/>
        <item x="89"/>
        <item x="144"/>
        <item x="145"/>
        <item x="119"/>
        <item x="100"/>
        <item x="101"/>
        <item x="102"/>
        <item x="120"/>
        <item x="121"/>
        <item x="93"/>
        <item x="94"/>
        <item x="95"/>
        <item x="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49"/>
        <item x="50"/>
        <item x="14"/>
        <item x="15"/>
        <item x="16"/>
        <item x="51"/>
        <item x="52"/>
        <item x="53"/>
        <item x="54"/>
        <item x="24"/>
        <item x="25"/>
        <item x="55"/>
        <item x="56"/>
        <item x="26"/>
        <item x="57"/>
        <item x="58"/>
        <item x="59"/>
        <item x="60"/>
        <item x="61"/>
        <item x="62"/>
        <item x="27"/>
        <item x="63"/>
        <item x="64"/>
        <item x="103"/>
        <item x="65"/>
        <item x="66"/>
        <item x="67"/>
        <item x="68"/>
        <item x="104"/>
        <item x="105"/>
        <item x="69"/>
        <item x="70"/>
        <item x="137"/>
        <item x="130"/>
        <item x="131"/>
        <item x="123"/>
        <item x="71"/>
        <item x="72"/>
        <item x="108"/>
        <item x="109"/>
        <item x="124"/>
        <item x="73"/>
        <item x="74"/>
        <item x="132"/>
        <item x="45"/>
        <item x="46"/>
        <item x="75"/>
        <item x="76"/>
        <item x="110"/>
        <item x="111"/>
        <item x="125"/>
        <item x="77"/>
        <item x="78"/>
        <item x="47"/>
        <item x="133"/>
        <item x="134"/>
        <item x="135"/>
        <item x="126"/>
        <item x="79"/>
        <item x="80"/>
        <item x="81"/>
        <item x="82"/>
        <item x="112"/>
        <item x="113"/>
        <item x="114"/>
        <item x="115"/>
        <item x="28"/>
        <item x="48"/>
        <item x="30"/>
        <item x="31"/>
        <item x="83"/>
        <item x="84"/>
        <item x="127"/>
        <item x="29"/>
        <item x="85"/>
        <item x="86"/>
        <item x="39"/>
        <item x="40"/>
        <item x="18"/>
        <item x="19"/>
        <item x="20"/>
        <item x="21"/>
        <item x="41"/>
        <item x="42"/>
        <item x="22"/>
        <item x="23"/>
        <item x="43"/>
        <item x="44"/>
        <item x="107"/>
        <item m="1" x="149"/>
        <item x="122"/>
        <item x="128"/>
        <item x="146"/>
        <item m="1" x="150"/>
        <item m="1" x="154"/>
        <item m="1" x="152"/>
        <item m="1" x="153"/>
        <item x="116"/>
        <item x="87"/>
        <item x="118"/>
        <item x="117"/>
        <item x="99"/>
        <item x="136"/>
        <item x="106"/>
        <item x="91"/>
        <item x="147"/>
        <item x="92"/>
        <item x="98"/>
        <item t="default"/>
      </items>
    </pivotField>
    <pivotField axis="axisPage" multipleItemSelectionAllowed="1" showAll="0">
      <items count="7">
        <item h="1" x="2"/>
        <item x="1"/>
        <item h="1" x="0"/>
        <item h="1" x="4"/>
        <item x="3"/>
        <item h="1" x="5"/>
        <item t="default"/>
      </items>
    </pivotField>
    <pivotField showAll="0">
      <items count="54">
        <item x="43"/>
        <item x="46"/>
        <item x="37"/>
        <item x="33"/>
        <item x="38"/>
        <item x="34"/>
        <item x="0"/>
        <item x="1"/>
        <item x="2"/>
        <item x="3"/>
        <item x="4"/>
        <item x="5"/>
        <item x="6"/>
        <item x="7"/>
        <item x="23"/>
        <item x="8"/>
        <item x="9"/>
        <item x="24"/>
        <item x="39"/>
        <item m="1" x="48"/>
        <item x="25"/>
        <item m="1" x="49"/>
        <item x="10"/>
        <item x="45"/>
        <item x="40"/>
        <item x="41"/>
        <item m="1" x="52"/>
        <item x="30"/>
        <item x="14"/>
        <item x="42"/>
        <item x="15"/>
        <item x="16"/>
        <item x="26"/>
        <item x="27"/>
        <item m="1" x="51"/>
        <item m="1" x="50"/>
        <item x="31"/>
        <item x="20"/>
        <item x="17"/>
        <item x="21"/>
        <item x="28"/>
        <item x="29"/>
        <item x="11"/>
        <item x="22"/>
        <item x="12"/>
        <item x="13"/>
        <item x="18"/>
        <item x="19"/>
        <item x="47"/>
        <item x="32"/>
        <item x="35"/>
        <item x="36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3">
        <item x="1"/>
        <item x="9"/>
        <item x="4"/>
        <item x="10"/>
        <item x="2"/>
        <item x="5"/>
        <item x="3"/>
        <item x="11"/>
        <item x="6"/>
        <item x="0"/>
        <item x="7"/>
        <item x="8"/>
        <item t="default"/>
      </items>
    </pivotField>
    <pivotField showAll="0">
      <items count="56">
        <item x="50"/>
        <item x="46"/>
        <item x="40"/>
        <item x="36"/>
        <item x="41"/>
        <item x="37"/>
        <item x="0"/>
        <item x="1"/>
        <item x="2"/>
        <item x="3"/>
        <item x="4"/>
        <item x="5"/>
        <item x="6"/>
        <item x="7"/>
        <item x="26"/>
        <item x="8"/>
        <item x="9"/>
        <item m="1" x="52"/>
        <item x="27"/>
        <item x="42"/>
        <item x="28"/>
        <item x="43"/>
        <item m="1" x="53"/>
        <item x="35"/>
        <item x="49"/>
        <item x="14"/>
        <item x="15"/>
        <item x="16"/>
        <item x="29"/>
        <item x="30"/>
        <item x="47"/>
        <item x="17"/>
        <item x="12"/>
        <item x="13"/>
        <item x="25"/>
        <item x="31"/>
        <item x="11"/>
        <item x="24"/>
        <item x="22"/>
        <item x="23"/>
        <item x="18"/>
        <item x="19"/>
        <item x="44"/>
        <item m="1" x="54"/>
        <item x="10"/>
        <item x="45"/>
        <item x="20"/>
        <item x="33"/>
        <item x="21"/>
        <item x="48"/>
        <item x="34"/>
        <item x="51"/>
        <item x="32"/>
        <item x="38"/>
        <item x="39"/>
        <item t="default"/>
      </items>
    </pivotField>
    <pivotField dataField="1" showAll="0"/>
    <pivotField dataField="1" showAll="0"/>
    <pivotField axis="axisPage" multipleItemSelectionAllowed="1" showAll="0">
      <items count="4">
        <item h="1" x="2"/>
        <item x="1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3"/>
  </rowFields>
  <rowItems count="3">
    <i>
      <x v="1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9" hier="-1"/>
  </pageFields>
  <dataFields count="3">
    <dataField name="Suma de DÍAS VENCIDOS" fld="14" baseField="0" baseItem="0"/>
    <dataField name="Suma de DÍAS ATRASADOS" fld="18" baseField="0" baseItem="0" numFmtId="43"/>
    <dataField name="Suma de USD HOMOL" fld="17" baseField="0" baseItem="0" numFmtId="43"/>
  </dataFields>
  <formats count="2">
    <format dxfId="1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2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8426A-3DA0-4471-A870-AC95F058F7FC}" name="TablaDinámica7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43" firstHeaderRow="0" firstDataRow="1" firstDataCol="1" rowPageCount="2" colPageCount="1"/>
  <pivotFields count="28">
    <pivotField showAll="0"/>
    <pivotField axis="axisRow" showAll="0">
      <items count="34">
        <item x="0"/>
        <item x="1"/>
        <item x="2"/>
        <item x="3"/>
        <item x="4"/>
        <item x="5"/>
        <item x="6"/>
        <item m="1" x="30"/>
        <item x="7"/>
        <item x="8"/>
        <item x="9"/>
        <item m="1" x="31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32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Row" showAll="0">
      <items count="158">
        <item m="1" x="148"/>
        <item x="17"/>
        <item m="1" x="155"/>
        <item m="1" x="156"/>
        <item x="32"/>
        <item x="138"/>
        <item x="139"/>
        <item x="90"/>
        <item m="1" x="151"/>
        <item x="88"/>
        <item x="140"/>
        <item x="141"/>
        <item x="142"/>
        <item x="143"/>
        <item x="33"/>
        <item x="34"/>
        <item x="35"/>
        <item x="36"/>
        <item x="37"/>
        <item x="38"/>
        <item x="97"/>
        <item x="129"/>
        <item x="89"/>
        <item x="144"/>
        <item x="145"/>
        <item x="119"/>
        <item x="100"/>
        <item x="101"/>
        <item x="102"/>
        <item x="120"/>
        <item x="121"/>
        <item x="93"/>
        <item x="94"/>
        <item x="95"/>
        <item x="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49"/>
        <item x="50"/>
        <item x="14"/>
        <item x="15"/>
        <item x="16"/>
        <item x="51"/>
        <item x="52"/>
        <item x="53"/>
        <item x="54"/>
        <item x="24"/>
        <item x="25"/>
        <item x="55"/>
        <item x="56"/>
        <item x="26"/>
        <item x="57"/>
        <item x="58"/>
        <item x="59"/>
        <item x="60"/>
        <item x="61"/>
        <item x="62"/>
        <item x="27"/>
        <item x="63"/>
        <item x="64"/>
        <item x="103"/>
        <item x="65"/>
        <item x="66"/>
        <item x="67"/>
        <item x="68"/>
        <item x="104"/>
        <item x="105"/>
        <item x="69"/>
        <item x="70"/>
        <item x="137"/>
        <item x="130"/>
        <item x="131"/>
        <item x="123"/>
        <item x="71"/>
        <item x="72"/>
        <item x="108"/>
        <item x="109"/>
        <item x="124"/>
        <item x="73"/>
        <item x="74"/>
        <item x="132"/>
        <item x="45"/>
        <item x="46"/>
        <item x="75"/>
        <item x="76"/>
        <item x="110"/>
        <item x="111"/>
        <item x="125"/>
        <item x="77"/>
        <item x="78"/>
        <item x="47"/>
        <item x="133"/>
        <item x="134"/>
        <item x="135"/>
        <item x="126"/>
        <item x="79"/>
        <item x="80"/>
        <item x="81"/>
        <item x="82"/>
        <item x="112"/>
        <item x="113"/>
        <item x="114"/>
        <item x="115"/>
        <item x="28"/>
        <item x="48"/>
        <item x="30"/>
        <item x="31"/>
        <item x="83"/>
        <item x="84"/>
        <item x="127"/>
        <item x="29"/>
        <item x="85"/>
        <item x="86"/>
        <item x="39"/>
        <item x="40"/>
        <item x="18"/>
        <item x="19"/>
        <item x="20"/>
        <item x="21"/>
        <item x="41"/>
        <item x="42"/>
        <item x="22"/>
        <item x="23"/>
        <item x="43"/>
        <item x="44"/>
        <item x="107"/>
        <item m="1" x="149"/>
        <item x="122"/>
        <item x="128"/>
        <item x="146"/>
        <item m="1" x="150"/>
        <item m="1" x="154"/>
        <item m="1" x="152"/>
        <item m="1" x="153"/>
        <item x="116"/>
        <item x="87"/>
        <item x="118"/>
        <item x="117"/>
        <item x="99"/>
        <item x="136"/>
        <item x="106"/>
        <item x="91"/>
        <item x="147"/>
        <item x="92"/>
        <item x="98"/>
        <item t="default"/>
      </items>
    </pivotField>
    <pivotField axis="axisPage" multipleItemSelectionAllowed="1" showAll="0">
      <items count="7">
        <item h="1" x="2"/>
        <item x="1"/>
        <item h="1" x="0"/>
        <item h="1" x="4"/>
        <item x="3"/>
        <item h="1" x="5"/>
        <item t="default"/>
      </items>
    </pivotField>
    <pivotField showAll="0">
      <items count="54">
        <item x="43"/>
        <item x="46"/>
        <item x="37"/>
        <item x="33"/>
        <item x="38"/>
        <item x="34"/>
        <item x="0"/>
        <item x="1"/>
        <item x="2"/>
        <item x="3"/>
        <item x="4"/>
        <item x="5"/>
        <item x="6"/>
        <item x="7"/>
        <item x="23"/>
        <item x="8"/>
        <item x="9"/>
        <item x="24"/>
        <item x="39"/>
        <item m="1" x="48"/>
        <item x="25"/>
        <item m="1" x="49"/>
        <item x="10"/>
        <item x="45"/>
        <item x="40"/>
        <item x="41"/>
        <item m="1" x="52"/>
        <item x="30"/>
        <item x="14"/>
        <item x="42"/>
        <item x="15"/>
        <item x="16"/>
        <item x="26"/>
        <item x="27"/>
        <item m="1" x="51"/>
        <item m="1" x="50"/>
        <item x="31"/>
        <item x="20"/>
        <item x="17"/>
        <item x="21"/>
        <item x="28"/>
        <item x="29"/>
        <item x="11"/>
        <item x="22"/>
        <item x="12"/>
        <item x="13"/>
        <item x="18"/>
        <item x="19"/>
        <item x="47"/>
        <item x="32"/>
        <item x="35"/>
        <item x="36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3">
        <item x="1"/>
        <item x="9"/>
        <item x="4"/>
        <item x="10"/>
        <item x="2"/>
        <item x="5"/>
        <item x="3"/>
        <item x="11"/>
        <item x="6"/>
        <item x="0"/>
        <item x="7"/>
        <item x="8"/>
        <item t="default"/>
      </items>
    </pivotField>
    <pivotField showAll="0">
      <items count="56">
        <item x="50"/>
        <item x="46"/>
        <item x="40"/>
        <item x="36"/>
        <item x="41"/>
        <item x="37"/>
        <item x="0"/>
        <item x="1"/>
        <item x="2"/>
        <item x="3"/>
        <item x="4"/>
        <item x="5"/>
        <item x="6"/>
        <item x="7"/>
        <item x="26"/>
        <item x="8"/>
        <item x="9"/>
        <item m="1" x="52"/>
        <item x="27"/>
        <item x="42"/>
        <item x="28"/>
        <item x="43"/>
        <item m="1" x="53"/>
        <item x="35"/>
        <item x="49"/>
        <item x="14"/>
        <item x="15"/>
        <item x="16"/>
        <item x="29"/>
        <item x="30"/>
        <item x="47"/>
        <item x="17"/>
        <item x="12"/>
        <item x="13"/>
        <item x="25"/>
        <item x="31"/>
        <item x="11"/>
        <item x="24"/>
        <item x="22"/>
        <item x="23"/>
        <item x="18"/>
        <item x="19"/>
        <item x="44"/>
        <item m="1" x="54"/>
        <item x="10"/>
        <item x="45"/>
        <item x="20"/>
        <item x="33"/>
        <item x="21"/>
        <item x="48"/>
        <item x="34"/>
        <item x="51"/>
        <item x="32"/>
        <item x="38"/>
        <item x="39"/>
        <item t="default"/>
      </items>
    </pivotField>
    <pivotField dataField="1" showAll="0"/>
    <pivotField dataField="1" showAll="0"/>
    <pivotField axis="axisPage" multipleItemSelectionAllowed="1" showAll="0">
      <items count="4">
        <item x="2"/>
        <item h="1" x="1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3"/>
  </rowFields>
  <rowItems count="39">
    <i>
      <x v="5"/>
    </i>
    <i r="1">
      <x v="4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0"/>
    </i>
    <i r="1">
      <x v="9"/>
    </i>
    <i r="1">
      <x v="22"/>
    </i>
    <i r="1">
      <x v="147"/>
    </i>
    <i>
      <x v="12"/>
    </i>
    <i r="1">
      <x v="7"/>
    </i>
    <i>
      <x v="13"/>
    </i>
    <i r="1">
      <x v="153"/>
    </i>
    <i r="1">
      <x v="155"/>
    </i>
    <i>
      <x v="15"/>
    </i>
    <i r="1">
      <x v="20"/>
    </i>
    <i>
      <x v="16"/>
    </i>
    <i r="1">
      <x v="153"/>
    </i>
    <i r="1">
      <x v="156"/>
    </i>
    <i>
      <x v="19"/>
    </i>
    <i r="1">
      <x v="146"/>
    </i>
    <i r="1">
      <x v="149"/>
    </i>
    <i>
      <x v="20"/>
    </i>
    <i r="1">
      <x v="148"/>
    </i>
    <i>
      <x v="26"/>
    </i>
    <i r="1">
      <x v="21"/>
    </i>
    <i>
      <x v="30"/>
    </i>
    <i r="1">
      <x v="5"/>
    </i>
    <i r="1">
      <x v="6"/>
    </i>
    <i r="1">
      <x v="10"/>
    </i>
    <i r="1">
      <x v="11"/>
    </i>
    <i r="1">
      <x v="12"/>
    </i>
    <i r="1">
      <x v="13"/>
    </i>
    <i r="1">
      <x v="23"/>
    </i>
    <i r="1"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9" hier="-1"/>
  </pageFields>
  <dataFields count="3">
    <dataField name="Suma de DÍAS VENCIDOS" fld="14" baseField="0" baseItem="0"/>
    <dataField name="Suma de DÍAS ATRASADOS" fld="18" baseField="0" baseItem="0"/>
    <dataField name="Suma de USD HOMOL" fld="17" baseField="0" baseItem="0"/>
  </dataFields>
  <formats count="3">
    <format dxfId="188">
      <pivotArea outline="0" collapsedLevelsAreSubtotals="1" fieldPosition="0"/>
    </format>
    <format dxfId="1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1CFB-92A8-4CF4-8BAC-83EBC81F2691}">
  <dimension ref="A2:U48"/>
  <sheetViews>
    <sheetView showGridLines="0" tabSelected="1" topLeftCell="A26" zoomScale="90" zoomScaleNormal="90" workbookViewId="0">
      <selection activeCell="A27" sqref="A27"/>
    </sheetView>
  </sheetViews>
  <sheetFormatPr baseColWidth="10" defaultRowHeight="14.4" x14ac:dyDescent="0.3"/>
  <cols>
    <col min="1" max="1" width="36.5546875" bestFit="1" customWidth="1"/>
    <col min="2" max="2" width="22.44140625" bestFit="1" customWidth="1"/>
    <col min="3" max="4" width="10.33203125" bestFit="1" customWidth="1"/>
    <col min="5" max="10" width="11.44140625" bestFit="1" customWidth="1"/>
    <col min="11" max="11" width="9.6640625" bestFit="1" customWidth="1"/>
    <col min="12" max="13" width="10.33203125" bestFit="1" customWidth="1"/>
    <col min="14" max="18" width="11.44140625" bestFit="1" customWidth="1"/>
    <col min="19" max="20" width="11.33203125" bestFit="1" customWidth="1"/>
    <col min="21" max="21" width="12.44140625" bestFit="1" customWidth="1"/>
    <col min="22" max="30" width="10.33203125" bestFit="1" customWidth="1"/>
    <col min="31" max="31" width="10.6640625" bestFit="1" customWidth="1"/>
    <col min="32" max="36" width="9.33203125" bestFit="1" customWidth="1"/>
    <col min="37" max="46" width="10.33203125" bestFit="1" customWidth="1"/>
    <col min="47" max="48" width="9.33203125" bestFit="1" customWidth="1"/>
    <col min="49" max="53" width="10.33203125" bestFit="1" customWidth="1"/>
  </cols>
  <sheetData>
    <row r="2" spans="1:16" x14ac:dyDescent="0.3">
      <c r="A2" s="8" t="s">
        <v>4</v>
      </c>
      <c r="B2" t="s">
        <v>530</v>
      </c>
    </row>
    <row r="3" spans="1:16" x14ac:dyDescent="0.3">
      <c r="A3" s="8" t="s">
        <v>511</v>
      </c>
      <c r="B3" t="s">
        <v>520</v>
      </c>
    </row>
    <row r="5" spans="1:16" x14ac:dyDescent="0.3">
      <c r="A5" s="8" t="s">
        <v>535</v>
      </c>
      <c r="B5" s="8" t="s">
        <v>517</v>
      </c>
    </row>
    <row r="6" spans="1:16" x14ac:dyDescent="0.3">
      <c r="B6" t="s">
        <v>541</v>
      </c>
      <c r="C6" t="s">
        <v>532</v>
      </c>
      <c r="G6" t="s">
        <v>543</v>
      </c>
      <c r="H6" t="s">
        <v>533</v>
      </c>
      <c r="O6" t="s">
        <v>544</v>
      </c>
      <c r="P6" t="s">
        <v>519</v>
      </c>
    </row>
    <row r="7" spans="1:16" x14ac:dyDescent="0.3">
      <c r="C7" t="s">
        <v>545</v>
      </c>
      <c r="D7" t="s">
        <v>554</v>
      </c>
      <c r="E7" t="s">
        <v>546</v>
      </c>
      <c r="F7" t="s">
        <v>547</v>
      </c>
      <c r="H7" t="s">
        <v>548</v>
      </c>
      <c r="I7" t="s">
        <v>549</v>
      </c>
      <c r="J7" t="s">
        <v>550</v>
      </c>
      <c r="K7" t="s">
        <v>551</v>
      </c>
      <c r="L7" t="s">
        <v>552</v>
      </c>
      <c r="M7" t="s">
        <v>553</v>
      </c>
      <c r="N7" t="s">
        <v>555</v>
      </c>
    </row>
    <row r="8" spans="1:16" x14ac:dyDescent="0.3">
      <c r="A8" s="8" t="s">
        <v>518</v>
      </c>
    </row>
    <row r="9" spans="1:16" x14ac:dyDescent="0.3">
      <c r="A9" s="9" t="s">
        <v>68</v>
      </c>
      <c r="B9" s="24"/>
      <c r="C9" s="25">
        <v>456300</v>
      </c>
      <c r="D9" s="24"/>
      <c r="E9" s="24"/>
      <c r="F9" s="24"/>
      <c r="G9" s="24">
        <v>456300</v>
      </c>
      <c r="H9" s="24"/>
      <c r="I9" s="24"/>
      <c r="J9" s="24"/>
      <c r="K9" s="24"/>
      <c r="L9" s="24"/>
      <c r="M9" s="24"/>
      <c r="N9" s="24"/>
      <c r="O9" s="24"/>
      <c r="P9" s="24">
        <v>456300</v>
      </c>
    </row>
    <row r="10" spans="1:16" x14ac:dyDescent="0.3">
      <c r="A10" s="9" t="s">
        <v>122</v>
      </c>
      <c r="B10" s="24"/>
      <c r="C10" s="24"/>
      <c r="D10" s="24"/>
      <c r="E10" s="24"/>
      <c r="F10" s="24"/>
      <c r="G10" s="24"/>
      <c r="H10" s="24"/>
      <c r="I10" s="26">
        <v>2176.9899999999998</v>
      </c>
      <c r="J10" s="24"/>
      <c r="K10" s="26">
        <v>161480</v>
      </c>
      <c r="L10" s="24"/>
      <c r="M10" s="24"/>
      <c r="N10" s="24"/>
      <c r="O10" s="24">
        <v>163656.99</v>
      </c>
      <c r="P10" s="24">
        <v>163656.99</v>
      </c>
    </row>
    <row r="11" spans="1:16" x14ac:dyDescent="0.3">
      <c r="A11" s="9" t="s">
        <v>295</v>
      </c>
      <c r="B11" s="24"/>
      <c r="C11" s="24"/>
      <c r="D11" s="24"/>
      <c r="E11" s="24"/>
      <c r="F11" s="26">
        <v>147743.07</v>
      </c>
      <c r="G11" s="24">
        <v>147743.07</v>
      </c>
      <c r="H11" s="24"/>
      <c r="I11" s="24"/>
      <c r="J11" s="26">
        <v>177221.7</v>
      </c>
      <c r="K11" s="24"/>
      <c r="L11" s="24"/>
      <c r="M11" s="26">
        <v>175000</v>
      </c>
      <c r="N11" s="24"/>
      <c r="O11" s="24">
        <v>352221.7</v>
      </c>
      <c r="P11" s="24">
        <v>499964.77</v>
      </c>
    </row>
    <row r="12" spans="1:16" x14ac:dyDescent="0.3">
      <c r="A12" s="9" t="s">
        <v>305</v>
      </c>
      <c r="B12" s="24"/>
      <c r="C12" s="24"/>
      <c r="D12" s="24"/>
      <c r="E12" s="24"/>
      <c r="F12" s="24"/>
      <c r="G12" s="24"/>
      <c r="H12" s="24"/>
      <c r="I12" s="24"/>
      <c r="J12" s="26">
        <v>669600</v>
      </c>
      <c r="K12" s="24"/>
      <c r="L12" s="24"/>
      <c r="M12" s="24"/>
      <c r="N12" s="24"/>
      <c r="O12" s="24">
        <v>669600</v>
      </c>
      <c r="P12" s="24">
        <v>669600</v>
      </c>
    </row>
    <row r="13" spans="1:16" x14ac:dyDescent="0.3">
      <c r="A13" s="9" t="s">
        <v>309</v>
      </c>
      <c r="B13" s="24">
        <v>-182723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>
        <v>-182723</v>
      </c>
    </row>
    <row r="14" spans="1:16" x14ac:dyDescent="0.3">
      <c r="A14" s="9" t="s">
        <v>327</v>
      </c>
      <c r="B14" s="24"/>
      <c r="C14" s="24"/>
      <c r="D14" s="24"/>
      <c r="E14" s="24"/>
      <c r="F14" s="24"/>
      <c r="G14" s="24"/>
      <c r="H14" s="24"/>
      <c r="I14" s="24"/>
      <c r="J14" s="24"/>
      <c r="K14" s="26">
        <v>76700</v>
      </c>
      <c r="L14" s="24"/>
      <c r="M14" s="24"/>
      <c r="N14" s="24"/>
      <c r="O14" s="24">
        <v>76700</v>
      </c>
      <c r="P14" s="24">
        <v>76700</v>
      </c>
    </row>
    <row r="15" spans="1:16" x14ac:dyDescent="0.3">
      <c r="A15" s="9" t="s">
        <v>331</v>
      </c>
      <c r="B15" s="27"/>
      <c r="C15" s="24"/>
      <c r="D15" s="24">
        <v>-6488</v>
      </c>
      <c r="E15" s="24"/>
      <c r="F15" s="24"/>
      <c r="G15" s="24">
        <v>-6488</v>
      </c>
      <c r="H15" s="24"/>
      <c r="I15" s="24"/>
      <c r="J15" s="24"/>
      <c r="K15" s="24"/>
      <c r="L15" s="24"/>
      <c r="M15" s="24"/>
      <c r="N15" s="26">
        <v>76700</v>
      </c>
      <c r="O15" s="24">
        <v>76700</v>
      </c>
      <c r="P15" s="24">
        <v>70212</v>
      </c>
    </row>
    <row r="16" spans="1:16" x14ac:dyDescent="0.3">
      <c r="A16" s="9" t="s">
        <v>404</v>
      </c>
      <c r="B16" s="24"/>
      <c r="C16" s="24"/>
      <c r="D16" s="24"/>
      <c r="E16" s="26">
        <v>156680</v>
      </c>
      <c r="F16" s="24"/>
      <c r="G16" s="24">
        <v>156680</v>
      </c>
      <c r="H16" s="26">
        <v>125360</v>
      </c>
      <c r="I16" s="24"/>
      <c r="J16" s="24"/>
      <c r="K16" s="24"/>
      <c r="L16" s="24"/>
      <c r="M16" s="24"/>
      <c r="N16" s="24"/>
      <c r="O16" s="24">
        <v>125360</v>
      </c>
      <c r="P16" s="24">
        <v>282040</v>
      </c>
    </row>
    <row r="17" spans="1:21" x14ac:dyDescent="0.3">
      <c r="A17" s="9" t="s">
        <v>411</v>
      </c>
      <c r="B17" s="24"/>
      <c r="C17" s="24"/>
      <c r="D17" s="24"/>
      <c r="E17" s="24"/>
      <c r="F17" s="24"/>
      <c r="G17" s="24"/>
      <c r="H17" s="26">
        <v>31275</v>
      </c>
      <c r="I17" s="24"/>
      <c r="J17" s="24"/>
      <c r="K17" s="24"/>
      <c r="L17" s="24"/>
      <c r="M17" s="24"/>
      <c r="N17" s="24"/>
      <c r="O17" s="24">
        <v>31275</v>
      </c>
      <c r="P17" s="24">
        <v>31275</v>
      </c>
    </row>
    <row r="18" spans="1:21" x14ac:dyDescent="0.3">
      <c r="A18" s="9" t="s">
        <v>425</v>
      </c>
      <c r="B18" s="24">
        <v>-232905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>
        <v>-232905</v>
      </c>
    </row>
    <row r="19" spans="1:21" x14ac:dyDescent="0.3">
      <c r="A19" s="9" t="s">
        <v>445</v>
      </c>
      <c r="B19" s="24">
        <v>-13900</v>
      </c>
      <c r="C19" s="24"/>
      <c r="D19" s="24"/>
      <c r="E19" s="24"/>
      <c r="F19" s="24"/>
      <c r="G19" s="24"/>
      <c r="H19" s="24"/>
      <c r="I19" s="24"/>
      <c r="J19" s="24"/>
      <c r="K19" s="24"/>
      <c r="L19" s="26">
        <v>70200</v>
      </c>
      <c r="M19" s="24"/>
      <c r="N19" s="24"/>
      <c r="O19" s="24">
        <v>70200</v>
      </c>
      <c r="P19" s="24">
        <v>56300</v>
      </c>
    </row>
    <row r="20" spans="1:21" x14ac:dyDescent="0.3">
      <c r="A20" s="9" t="s">
        <v>482</v>
      </c>
      <c r="B20" s="27"/>
      <c r="C20" s="24"/>
      <c r="D20" s="24"/>
      <c r="E20" s="24"/>
      <c r="F20" s="24"/>
      <c r="G20" s="24"/>
      <c r="H20" s="24"/>
      <c r="I20" s="24"/>
      <c r="J20" s="26">
        <v>350240</v>
      </c>
      <c r="K20" s="26">
        <v>140160</v>
      </c>
      <c r="L20" s="24"/>
      <c r="M20" s="26">
        <v>258200</v>
      </c>
      <c r="N20" s="24"/>
      <c r="O20" s="24">
        <v>748600</v>
      </c>
      <c r="P20" s="24">
        <v>748600</v>
      </c>
    </row>
    <row r="21" spans="1:21" x14ac:dyDescent="0.3">
      <c r="A21" s="9" t="s">
        <v>508</v>
      </c>
      <c r="B21" s="24">
        <v>-84100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>
        <v>-84100</v>
      </c>
    </row>
    <row r="22" spans="1:21" x14ac:dyDescent="0.3">
      <c r="A22" s="9" t="s">
        <v>519</v>
      </c>
      <c r="B22" s="24">
        <v>-513628</v>
      </c>
      <c r="C22" s="24">
        <v>456300</v>
      </c>
      <c r="D22" s="24">
        <v>-6488</v>
      </c>
      <c r="E22" s="24">
        <v>156680</v>
      </c>
      <c r="F22" s="24">
        <v>147743.07</v>
      </c>
      <c r="G22" s="24">
        <v>754235.07000000007</v>
      </c>
      <c r="H22" s="24">
        <v>156635</v>
      </c>
      <c r="I22" s="24">
        <v>2176.9899999999998</v>
      </c>
      <c r="J22" s="24">
        <v>1197061.7</v>
      </c>
      <c r="K22" s="24">
        <v>378340</v>
      </c>
      <c r="L22" s="24">
        <v>70200</v>
      </c>
      <c r="M22" s="24">
        <v>433200</v>
      </c>
      <c r="N22" s="24">
        <v>76700</v>
      </c>
      <c r="O22" s="24">
        <v>2314313.69</v>
      </c>
      <c r="P22" s="24">
        <v>2554920.7599999998</v>
      </c>
    </row>
    <row r="28" spans="1:21" x14ac:dyDescent="0.3">
      <c r="A28" s="8" t="s">
        <v>4</v>
      </c>
      <c r="B28" t="s">
        <v>530</v>
      </c>
    </row>
    <row r="29" spans="1:21" x14ac:dyDescent="0.3">
      <c r="A29" s="8" t="s">
        <v>511</v>
      </c>
      <c r="B29" t="s">
        <v>520</v>
      </c>
    </row>
    <row r="31" spans="1:21" x14ac:dyDescent="0.3">
      <c r="A31" s="8" t="s">
        <v>535</v>
      </c>
      <c r="B31" s="8" t="s">
        <v>517</v>
      </c>
    </row>
    <row r="32" spans="1:21" x14ac:dyDescent="0.3">
      <c r="B32" t="s">
        <v>540</v>
      </c>
      <c r="T32" t="s">
        <v>542</v>
      </c>
      <c r="U32" t="s">
        <v>519</v>
      </c>
    </row>
    <row r="33" spans="1:21" x14ac:dyDescent="0.3">
      <c r="B33" t="s">
        <v>531</v>
      </c>
      <c r="C33" t="s">
        <v>532</v>
      </c>
      <c r="K33" t="s">
        <v>543</v>
      </c>
      <c r="L33" t="s">
        <v>533</v>
      </c>
      <c r="S33" t="s">
        <v>544</v>
      </c>
    </row>
    <row r="34" spans="1:21" x14ac:dyDescent="0.3">
      <c r="A34" s="8" t="s">
        <v>518</v>
      </c>
      <c r="C34" s="18">
        <v>46119</v>
      </c>
      <c r="D34" s="18">
        <v>46120</v>
      </c>
      <c r="E34" s="18">
        <v>46126</v>
      </c>
      <c r="F34" s="18">
        <v>46127</v>
      </c>
      <c r="G34" s="18">
        <v>46132</v>
      </c>
      <c r="H34" s="18">
        <v>46133</v>
      </c>
      <c r="I34" s="18">
        <v>46141</v>
      </c>
      <c r="J34" s="18">
        <v>46142</v>
      </c>
      <c r="L34" s="18">
        <v>46144</v>
      </c>
      <c r="M34" s="18">
        <v>46147</v>
      </c>
      <c r="N34" s="18">
        <v>46154</v>
      </c>
      <c r="O34" s="18">
        <v>46155</v>
      </c>
      <c r="P34" s="18">
        <v>46156</v>
      </c>
      <c r="Q34" s="18">
        <v>46165</v>
      </c>
      <c r="R34" s="18">
        <v>46170</v>
      </c>
    </row>
    <row r="35" spans="1:21" x14ac:dyDescent="0.3">
      <c r="A35" s="9" t="s">
        <v>68</v>
      </c>
      <c r="B35" s="24"/>
      <c r="C35" s="24"/>
      <c r="D35" s="24"/>
      <c r="E35" s="24"/>
      <c r="F35" s="24"/>
      <c r="G35" s="24"/>
      <c r="H35" s="24"/>
      <c r="I35" s="24"/>
      <c r="J35" s="25">
        <v>456300</v>
      </c>
      <c r="K35" s="24">
        <v>456300</v>
      </c>
      <c r="L35" s="24"/>
      <c r="M35" s="24"/>
      <c r="N35" s="24"/>
      <c r="O35" s="24"/>
      <c r="P35" s="24"/>
      <c r="Q35" s="24"/>
      <c r="R35" s="24"/>
      <c r="S35" s="24"/>
      <c r="T35" s="24">
        <v>456300</v>
      </c>
      <c r="U35" s="24">
        <v>456300</v>
      </c>
    </row>
    <row r="36" spans="1:21" x14ac:dyDescent="0.3">
      <c r="A36" s="9" t="s">
        <v>122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6">
        <v>2176.9899999999998</v>
      </c>
      <c r="N36" s="24"/>
      <c r="O36" s="26">
        <v>161480</v>
      </c>
      <c r="P36" s="24"/>
      <c r="Q36" s="24"/>
      <c r="R36" s="24"/>
      <c r="S36" s="24">
        <v>163656.99</v>
      </c>
      <c r="T36" s="24">
        <v>163656.99</v>
      </c>
      <c r="U36" s="24">
        <v>163656.99</v>
      </c>
    </row>
    <row r="37" spans="1:21" x14ac:dyDescent="0.3">
      <c r="A37" s="9" t="s">
        <v>295</v>
      </c>
      <c r="B37" s="24"/>
      <c r="C37" s="24"/>
      <c r="D37" s="24"/>
      <c r="E37" s="24"/>
      <c r="F37" s="24"/>
      <c r="G37" s="24"/>
      <c r="H37" s="24"/>
      <c r="I37" s="26">
        <v>147743.07</v>
      </c>
      <c r="J37" s="24"/>
      <c r="K37" s="24">
        <v>147743.07</v>
      </c>
      <c r="L37" s="24"/>
      <c r="M37" s="24"/>
      <c r="N37" s="26">
        <v>177221.7</v>
      </c>
      <c r="O37" s="24"/>
      <c r="P37" s="24"/>
      <c r="Q37" s="26">
        <v>175000</v>
      </c>
      <c r="R37" s="24"/>
      <c r="S37" s="24">
        <v>352221.7</v>
      </c>
      <c r="T37" s="24">
        <v>499964.77</v>
      </c>
      <c r="U37" s="24">
        <v>499964.77</v>
      </c>
    </row>
    <row r="38" spans="1:21" x14ac:dyDescent="0.3">
      <c r="A38" s="9" t="s">
        <v>305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6">
        <v>669600</v>
      </c>
      <c r="O38" s="24"/>
      <c r="P38" s="24"/>
      <c r="Q38" s="24"/>
      <c r="R38" s="24"/>
      <c r="S38" s="24">
        <v>669600</v>
      </c>
      <c r="T38" s="24">
        <v>669600</v>
      </c>
      <c r="U38" s="24">
        <v>669600</v>
      </c>
    </row>
    <row r="39" spans="1:21" x14ac:dyDescent="0.3">
      <c r="A39" s="9" t="s">
        <v>309</v>
      </c>
      <c r="B39" s="24">
        <v>-7410</v>
      </c>
      <c r="C39" s="24">
        <v>-147370</v>
      </c>
      <c r="D39" s="24"/>
      <c r="E39" s="24">
        <v>-27943</v>
      </c>
      <c r="F39" s="24"/>
      <c r="G39" s="24"/>
      <c r="H39" s="24"/>
      <c r="I39" s="24"/>
      <c r="J39" s="24"/>
      <c r="K39" s="24">
        <v>-175313</v>
      </c>
      <c r="L39" s="24"/>
      <c r="M39" s="24"/>
      <c r="N39" s="24"/>
      <c r="O39" s="24"/>
      <c r="P39" s="24"/>
      <c r="Q39" s="24"/>
      <c r="R39" s="24"/>
      <c r="S39" s="24"/>
      <c r="T39" s="24">
        <v>-182723</v>
      </c>
      <c r="U39" s="24">
        <v>-182723</v>
      </c>
    </row>
    <row r="40" spans="1:21" x14ac:dyDescent="0.3">
      <c r="A40" s="9" t="s">
        <v>327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6">
        <v>76700</v>
      </c>
      <c r="P40" s="24"/>
      <c r="Q40" s="24"/>
      <c r="R40" s="24"/>
      <c r="S40" s="24">
        <v>76700</v>
      </c>
      <c r="T40" s="24">
        <v>76700</v>
      </c>
      <c r="U40" s="24">
        <v>76700</v>
      </c>
    </row>
    <row r="41" spans="1:21" x14ac:dyDescent="0.3">
      <c r="A41" s="9" t="s">
        <v>331</v>
      </c>
      <c r="B41" s="24"/>
      <c r="C41" s="24"/>
      <c r="D41" s="24"/>
      <c r="E41" s="24"/>
      <c r="F41" s="24"/>
      <c r="G41" s="24">
        <v>-6488</v>
      </c>
      <c r="H41" s="24"/>
      <c r="I41" s="24"/>
      <c r="J41" s="24"/>
      <c r="K41" s="24">
        <v>-6488</v>
      </c>
      <c r="L41" s="24"/>
      <c r="M41" s="24"/>
      <c r="N41" s="24"/>
      <c r="O41" s="24"/>
      <c r="P41" s="24"/>
      <c r="Q41" s="24"/>
      <c r="R41" s="26">
        <v>76700</v>
      </c>
      <c r="S41" s="24">
        <v>76700</v>
      </c>
      <c r="T41" s="24">
        <v>70212</v>
      </c>
      <c r="U41" s="24">
        <v>70212</v>
      </c>
    </row>
    <row r="42" spans="1:21" x14ac:dyDescent="0.3">
      <c r="A42" s="9" t="s">
        <v>404</v>
      </c>
      <c r="B42" s="24"/>
      <c r="C42" s="24"/>
      <c r="D42" s="24"/>
      <c r="E42" s="24"/>
      <c r="F42" s="24"/>
      <c r="G42" s="24"/>
      <c r="H42" s="26">
        <v>156680</v>
      </c>
      <c r="I42" s="24"/>
      <c r="J42" s="24"/>
      <c r="K42" s="24">
        <v>156680</v>
      </c>
      <c r="L42" s="26">
        <v>125360</v>
      </c>
      <c r="M42" s="24"/>
      <c r="N42" s="24"/>
      <c r="O42" s="24"/>
      <c r="P42" s="24"/>
      <c r="Q42" s="24"/>
      <c r="R42" s="24"/>
      <c r="S42" s="24">
        <v>125360</v>
      </c>
      <c r="T42" s="24">
        <v>282040</v>
      </c>
      <c r="U42" s="24">
        <v>282040</v>
      </c>
    </row>
    <row r="43" spans="1:21" x14ac:dyDescent="0.3">
      <c r="A43" s="9" t="s">
        <v>411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6">
        <v>31275</v>
      </c>
      <c r="M43" s="24"/>
      <c r="N43" s="24"/>
      <c r="O43" s="24"/>
      <c r="P43" s="24"/>
      <c r="Q43" s="24"/>
      <c r="R43" s="24"/>
      <c r="S43" s="24">
        <v>31275</v>
      </c>
      <c r="T43" s="24">
        <v>31275</v>
      </c>
      <c r="U43" s="24">
        <v>31275</v>
      </c>
    </row>
    <row r="44" spans="1:21" x14ac:dyDescent="0.3">
      <c r="A44" s="9" t="s">
        <v>425</v>
      </c>
      <c r="B44" s="24">
        <v>-33875</v>
      </c>
      <c r="C44" s="24"/>
      <c r="D44" s="24">
        <v>-30635</v>
      </c>
      <c r="E44" s="24"/>
      <c r="F44" s="24">
        <v>-168395</v>
      </c>
      <c r="G44" s="24"/>
      <c r="H44" s="24"/>
      <c r="I44" s="24"/>
      <c r="J44" s="24"/>
      <c r="K44" s="24">
        <v>-199030</v>
      </c>
      <c r="L44" s="24"/>
      <c r="M44" s="24"/>
      <c r="N44" s="24"/>
      <c r="O44" s="24"/>
      <c r="P44" s="24"/>
      <c r="Q44" s="24"/>
      <c r="R44" s="24"/>
      <c r="S44" s="24"/>
      <c r="T44" s="24">
        <v>-232905</v>
      </c>
      <c r="U44" s="24">
        <v>-232905</v>
      </c>
    </row>
    <row r="45" spans="1:21" x14ac:dyDescent="0.3">
      <c r="A45" s="9" t="s">
        <v>445</v>
      </c>
      <c r="B45" s="24">
        <v>-13900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6">
        <v>70200</v>
      </c>
      <c r="Q45" s="24"/>
      <c r="R45" s="24"/>
      <c r="S45" s="24">
        <v>70200</v>
      </c>
      <c r="T45" s="24">
        <v>56300</v>
      </c>
      <c r="U45" s="24">
        <v>56300</v>
      </c>
    </row>
    <row r="46" spans="1:21" x14ac:dyDescent="0.3">
      <c r="A46" s="9" t="s">
        <v>482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6">
        <v>350240</v>
      </c>
      <c r="O46" s="26">
        <v>140160</v>
      </c>
      <c r="P46" s="24"/>
      <c r="Q46" s="26">
        <v>258200</v>
      </c>
      <c r="R46" s="24"/>
      <c r="S46" s="24">
        <v>748600</v>
      </c>
      <c r="T46" s="24">
        <v>748600</v>
      </c>
      <c r="U46" s="24">
        <v>748600</v>
      </c>
    </row>
    <row r="47" spans="1:21" x14ac:dyDescent="0.3">
      <c r="A47" s="9" t="s">
        <v>508</v>
      </c>
      <c r="B47" s="24">
        <v>-84100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>
        <v>-84100</v>
      </c>
      <c r="U47" s="24">
        <v>-84100</v>
      </c>
    </row>
    <row r="48" spans="1:21" x14ac:dyDescent="0.3">
      <c r="A48" s="9" t="s">
        <v>519</v>
      </c>
      <c r="B48" s="24">
        <v>-139285</v>
      </c>
      <c r="C48" s="24">
        <v>-147370</v>
      </c>
      <c r="D48" s="24">
        <v>-30635</v>
      </c>
      <c r="E48" s="24">
        <v>-27943</v>
      </c>
      <c r="F48" s="24">
        <v>-168395</v>
      </c>
      <c r="G48" s="24">
        <v>-6488</v>
      </c>
      <c r="H48" s="24">
        <v>156680</v>
      </c>
      <c r="I48" s="24">
        <v>147743.07</v>
      </c>
      <c r="J48" s="24">
        <v>456300</v>
      </c>
      <c r="K48" s="24">
        <v>379892.07000000007</v>
      </c>
      <c r="L48" s="24">
        <v>156635</v>
      </c>
      <c r="M48" s="24">
        <v>2176.9899999999998</v>
      </c>
      <c r="N48" s="24">
        <v>1197061.7</v>
      </c>
      <c r="O48" s="24">
        <v>378340</v>
      </c>
      <c r="P48" s="24">
        <v>70200</v>
      </c>
      <c r="Q48" s="24">
        <v>433200</v>
      </c>
      <c r="R48" s="24">
        <v>76700</v>
      </c>
      <c r="S48" s="24">
        <v>2314313.69</v>
      </c>
      <c r="T48" s="24">
        <v>2554920.7599999998</v>
      </c>
      <c r="U48" s="24">
        <v>2554920.7599999998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5486-8A95-45D0-B022-BF9F2169B036}">
  <dimension ref="A1:B39"/>
  <sheetViews>
    <sheetView topLeftCell="A10" workbookViewId="0">
      <selection activeCell="A29" sqref="A29"/>
    </sheetView>
  </sheetViews>
  <sheetFormatPr baseColWidth="10" defaultRowHeight="14.4" x14ac:dyDescent="0.3"/>
  <cols>
    <col min="1" max="1" width="37.21875" bestFit="1" customWidth="1"/>
    <col min="2" max="2" width="18.88671875" bestFit="1" customWidth="1"/>
  </cols>
  <sheetData>
    <row r="1" spans="1:2" x14ac:dyDescent="0.3">
      <c r="A1" s="8" t="s">
        <v>5</v>
      </c>
      <c r="B1" t="s">
        <v>530</v>
      </c>
    </row>
    <row r="2" spans="1:2" x14ac:dyDescent="0.3">
      <c r="A2" s="8" t="s">
        <v>511</v>
      </c>
      <c r="B2" t="s">
        <v>520</v>
      </c>
    </row>
    <row r="3" spans="1:2" x14ac:dyDescent="0.3">
      <c r="A3" s="8" t="s">
        <v>4</v>
      </c>
      <c r="B3" t="s">
        <v>534</v>
      </c>
    </row>
    <row r="5" spans="1:2" x14ac:dyDescent="0.3">
      <c r="A5" s="8" t="s">
        <v>518</v>
      </c>
      <c r="B5" t="s">
        <v>535</v>
      </c>
    </row>
    <row r="6" spans="1:2" x14ac:dyDescent="0.3">
      <c r="A6" s="9" t="s">
        <v>68</v>
      </c>
      <c r="B6" s="22">
        <v>456300</v>
      </c>
    </row>
    <row r="7" spans="1:2" x14ac:dyDescent="0.3">
      <c r="A7" s="11" t="s">
        <v>73</v>
      </c>
      <c r="B7" s="22">
        <v>456300</v>
      </c>
    </row>
    <row r="8" spans="1:2" x14ac:dyDescent="0.3">
      <c r="A8" s="9" t="s">
        <v>122</v>
      </c>
      <c r="B8" s="22">
        <v>163656.99</v>
      </c>
    </row>
    <row r="9" spans="1:2" x14ac:dyDescent="0.3">
      <c r="A9" s="11" t="s">
        <v>126</v>
      </c>
      <c r="B9" s="22">
        <v>2176.9899999999998</v>
      </c>
    </row>
    <row r="10" spans="1:2" x14ac:dyDescent="0.3">
      <c r="A10" s="11" t="s">
        <v>129</v>
      </c>
      <c r="B10" s="22">
        <v>24860</v>
      </c>
    </row>
    <row r="11" spans="1:2" x14ac:dyDescent="0.3">
      <c r="A11" s="11" t="s">
        <v>132</v>
      </c>
      <c r="B11" s="22">
        <v>24860</v>
      </c>
    </row>
    <row r="12" spans="1:2" x14ac:dyDescent="0.3">
      <c r="A12" s="11" t="s">
        <v>135</v>
      </c>
      <c r="B12" s="22">
        <v>24860</v>
      </c>
    </row>
    <row r="13" spans="1:2" x14ac:dyDescent="0.3">
      <c r="A13" s="11" t="s">
        <v>138</v>
      </c>
      <c r="B13" s="22">
        <v>28800</v>
      </c>
    </row>
    <row r="14" spans="1:2" x14ac:dyDescent="0.3">
      <c r="A14" s="11" t="s">
        <v>141</v>
      </c>
      <c r="B14" s="22">
        <v>28800</v>
      </c>
    </row>
    <row r="15" spans="1:2" x14ac:dyDescent="0.3">
      <c r="A15" s="11" t="s">
        <v>144</v>
      </c>
      <c r="B15" s="22">
        <v>29300</v>
      </c>
    </row>
    <row r="16" spans="1:2" x14ac:dyDescent="0.3">
      <c r="A16" s="9" t="s">
        <v>295</v>
      </c>
      <c r="B16" s="22">
        <v>352221.7</v>
      </c>
    </row>
    <row r="17" spans="1:2" x14ac:dyDescent="0.3">
      <c r="A17" s="11" t="s">
        <v>300</v>
      </c>
      <c r="B17" s="22">
        <v>177221.7</v>
      </c>
    </row>
    <row r="18" spans="1:2" x14ac:dyDescent="0.3">
      <c r="A18" s="11" t="s">
        <v>303</v>
      </c>
      <c r="B18" s="22">
        <v>175000</v>
      </c>
    </row>
    <row r="19" spans="1:2" x14ac:dyDescent="0.3">
      <c r="A19" s="9" t="s">
        <v>305</v>
      </c>
      <c r="B19" s="22">
        <v>669600</v>
      </c>
    </row>
    <row r="20" spans="1:2" x14ac:dyDescent="0.3">
      <c r="A20" s="11" t="s">
        <v>307</v>
      </c>
      <c r="B20" s="22">
        <v>669600</v>
      </c>
    </row>
    <row r="21" spans="1:2" x14ac:dyDescent="0.3">
      <c r="A21" s="9" t="s">
        <v>327</v>
      </c>
      <c r="B21" s="22">
        <v>76700</v>
      </c>
    </row>
    <row r="22" spans="1:2" x14ac:dyDescent="0.3">
      <c r="A22" s="11" t="s">
        <v>329</v>
      </c>
      <c r="B22" s="22">
        <v>76700</v>
      </c>
    </row>
    <row r="23" spans="1:2" x14ac:dyDescent="0.3">
      <c r="A23" s="9" t="s">
        <v>425</v>
      </c>
      <c r="B23" s="22">
        <v>-232905</v>
      </c>
    </row>
    <row r="24" spans="1:2" x14ac:dyDescent="0.3">
      <c r="A24" s="11" t="s">
        <v>427</v>
      </c>
      <c r="B24" s="22">
        <v>-232905</v>
      </c>
    </row>
    <row r="25" spans="1:2" x14ac:dyDescent="0.3">
      <c r="A25" s="9" t="s">
        <v>445</v>
      </c>
      <c r="B25" s="22">
        <v>56300</v>
      </c>
    </row>
    <row r="26" spans="1:2" x14ac:dyDescent="0.3">
      <c r="A26" s="11" t="s">
        <v>450</v>
      </c>
      <c r="B26" s="22">
        <v>70200</v>
      </c>
    </row>
    <row r="27" spans="1:2" x14ac:dyDescent="0.3">
      <c r="A27" s="11" t="s">
        <v>447</v>
      </c>
      <c r="B27" s="22">
        <v>-13900</v>
      </c>
    </row>
    <row r="28" spans="1:2" x14ac:dyDescent="0.3">
      <c r="A28" s="9" t="s">
        <v>482</v>
      </c>
      <c r="B28" s="22">
        <v>748600</v>
      </c>
    </row>
    <row r="29" spans="1:2" x14ac:dyDescent="0.3">
      <c r="A29" s="11" t="s">
        <v>485</v>
      </c>
      <c r="B29" s="22">
        <v>76800</v>
      </c>
    </row>
    <row r="30" spans="1:2" x14ac:dyDescent="0.3">
      <c r="A30" s="11" t="s">
        <v>488</v>
      </c>
      <c r="B30" s="22">
        <v>86240</v>
      </c>
    </row>
    <row r="31" spans="1:2" x14ac:dyDescent="0.3">
      <c r="A31" s="11" t="s">
        <v>491</v>
      </c>
      <c r="B31" s="22">
        <v>57600</v>
      </c>
    </row>
    <row r="32" spans="1:2" x14ac:dyDescent="0.3">
      <c r="A32" s="11" t="s">
        <v>494</v>
      </c>
      <c r="B32" s="22">
        <v>129600</v>
      </c>
    </row>
    <row r="33" spans="1:2" x14ac:dyDescent="0.3">
      <c r="A33" s="11" t="s">
        <v>497</v>
      </c>
      <c r="B33" s="22">
        <v>67200</v>
      </c>
    </row>
    <row r="34" spans="1:2" x14ac:dyDescent="0.3">
      <c r="A34" s="11" t="s">
        <v>500</v>
      </c>
      <c r="B34" s="22">
        <v>72960</v>
      </c>
    </row>
    <row r="35" spans="1:2" x14ac:dyDescent="0.3">
      <c r="A35" s="11" t="s">
        <v>503</v>
      </c>
      <c r="B35" s="22">
        <v>78200</v>
      </c>
    </row>
    <row r="36" spans="1:2" x14ac:dyDescent="0.3">
      <c r="A36" s="11" t="s">
        <v>506</v>
      </c>
      <c r="B36" s="22">
        <v>180000</v>
      </c>
    </row>
    <row r="37" spans="1:2" x14ac:dyDescent="0.3">
      <c r="A37" s="9" t="s">
        <v>508</v>
      </c>
      <c r="B37" s="22">
        <v>-84100</v>
      </c>
    </row>
    <row r="38" spans="1:2" x14ac:dyDescent="0.3">
      <c r="A38" s="11" t="s">
        <v>510</v>
      </c>
      <c r="B38" s="22">
        <v>-84100</v>
      </c>
    </row>
    <row r="39" spans="1:2" x14ac:dyDescent="0.3">
      <c r="A39" s="9" t="s">
        <v>519</v>
      </c>
      <c r="B39" s="22">
        <v>2206373.69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1AC1-523E-4685-8DD6-8D6DBA08A751}">
  <dimension ref="A1:I43"/>
  <sheetViews>
    <sheetView workbookViewId="0">
      <selection activeCell="H7" sqref="H7"/>
    </sheetView>
  </sheetViews>
  <sheetFormatPr baseColWidth="10" defaultRowHeight="14.4" x14ac:dyDescent="0.3"/>
  <cols>
    <col min="1" max="1" width="37.21875" bestFit="1" customWidth="1"/>
    <col min="2" max="2" width="18.33203125" bestFit="1" customWidth="1"/>
    <col min="3" max="3" width="12.5546875" bestFit="1" customWidth="1"/>
    <col min="4" max="4" width="13" bestFit="1" customWidth="1"/>
    <col min="6" max="6" width="19.5546875" bestFit="1" customWidth="1"/>
    <col min="7" max="7" width="18.33203125" bestFit="1" customWidth="1"/>
    <col min="8" max="8" width="12.5546875" bestFit="1" customWidth="1"/>
    <col min="9" max="9" width="12.109375" bestFit="1" customWidth="1"/>
  </cols>
  <sheetData>
    <row r="1" spans="1:9" x14ac:dyDescent="0.3">
      <c r="A1" s="8" t="s">
        <v>4</v>
      </c>
      <c r="B1" t="s">
        <v>534</v>
      </c>
      <c r="F1" s="8" t="s">
        <v>4</v>
      </c>
      <c r="G1" t="s">
        <v>534</v>
      </c>
    </row>
    <row r="2" spans="1:9" x14ac:dyDescent="0.3">
      <c r="A2" s="8" t="s">
        <v>527</v>
      </c>
      <c r="B2" t="s">
        <v>528</v>
      </c>
      <c r="F2" s="8" t="s">
        <v>527</v>
      </c>
      <c r="G2" t="s">
        <v>529</v>
      </c>
    </row>
    <row r="4" spans="1:9" ht="28.8" x14ac:dyDescent="0.3">
      <c r="A4" s="8" t="s">
        <v>518</v>
      </c>
      <c r="B4" s="13" t="s">
        <v>536</v>
      </c>
      <c r="C4" s="13" t="s">
        <v>537</v>
      </c>
      <c r="D4" s="13" t="s">
        <v>535</v>
      </c>
      <c r="F4" s="8" t="s">
        <v>518</v>
      </c>
      <c r="G4" s="13" t="s">
        <v>536</v>
      </c>
      <c r="H4" s="13" t="s">
        <v>537</v>
      </c>
      <c r="I4" s="13" t="s">
        <v>535</v>
      </c>
    </row>
    <row r="5" spans="1:9" x14ac:dyDescent="0.3">
      <c r="A5" s="9" t="s">
        <v>122</v>
      </c>
      <c r="B5" s="22">
        <v>153</v>
      </c>
      <c r="C5" s="22">
        <v>162</v>
      </c>
      <c r="D5" s="22">
        <v>163656.99</v>
      </c>
      <c r="F5" s="9" t="s">
        <v>68</v>
      </c>
      <c r="G5" s="23"/>
      <c r="H5" s="22">
        <v>51</v>
      </c>
      <c r="I5" s="22">
        <v>456300</v>
      </c>
    </row>
    <row r="6" spans="1:9" x14ac:dyDescent="0.3">
      <c r="A6" s="11" t="s">
        <v>126</v>
      </c>
      <c r="B6" s="22">
        <v>15</v>
      </c>
      <c r="C6" s="22">
        <v>30</v>
      </c>
      <c r="D6" s="22">
        <v>2176.9899999999998</v>
      </c>
      <c r="F6" s="11" t="s">
        <v>73</v>
      </c>
      <c r="G6" s="23"/>
      <c r="H6" s="22">
        <v>51</v>
      </c>
      <c r="I6" s="22">
        <v>456300</v>
      </c>
    </row>
    <row r="7" spans="1:9" x14ac:dyDescent="0.3">
      <c r="A7" s="11" t="s">
        <v>129</v>
      </c>
      <c r="B7" s="22">
        <v>23</v>
      </c>
      <c r="C7" s="22">
        <v>22</v>
      </c>
      <c r="D7" s="22">
        <v>24860</v>
      </c>
      <c r="F7" s="9" t="s">
        <v>519</v>
      </c>
      <c r="G7" s="23"/>
      <c r="H7" s="22">
        <v>51</v>
      </c>
      <c r="I7" s="22">
        <v>456300</v>
      </c>
    </row>
    <row r="8" spans="1:9" x14ac:dyDescent="0.3">
      <c r="A8" s="11" t="s">
        <v>132</v>
      </c>
      <c r="B8" s="22">
        <v>23</v>
      </c>
      <c r="C8" s="22">
        <v>22</v>
      </c>
      <c r="D8" s="22">
        <v>24860</v>
      </c>
    </row>
    <row r="9" spans="1:9" x14ac:dyDescent="0.3">
      <c r="A9" s="11" t="s">
        <v>135</v>
      </c>
      <c r="B9" s="22">
        <v>23</v>
      </c>
      <c r="C9" s="22">
        <v>22</v>
      </c>
      <c r="D9" s="22">
        <v>24860</v>
      </c>
    </row>
    <row r="10" spans="1:9" x14ac:dyDescent="0.3">
      <c r="A10" s="11" t="s">
        <v>138</v>
      </c>
      <c r="B10" s="22">
        <v>23</v>
      </c>
      <c r="C10" s="22">
        <v>22</v>
      </c>
      <c r="D10" s="22">
        <v>28800</v>
      </c>
    </row>
    <row r="11" spans="1:9" x14ac:dyDescent="0.3">
      <c r="A11" s="11" t="s">
        <v>141</v>
      </c>
      <c r="B11" s="22">
        <v>23</v>
      </c>
      <c r="C11" s="22">
        <v>22</v>
      </c>
      <c r="D11" s="22">
        <v>28800</v>
      </c>
    </row>
    <row r="12" spans="1:9" x14ac:dyDescent="0.3">
      <c r="A12" s="11" t="s">
        <v>144</v>
      </c>
      <c r="B12" s="22">
        <v>23</v>
      </c>
      <c r="C12" s="22">
        <v>22</v>
      </c>
      <c r="D12" s="22">
        <v>29300</v>
      </c>
    </row>
    <row r="13" spans="1:9" x14ac:dyDescent="0.3">
      <c r="A13" s="9" t="s">
        <v>295</v>
      </c>
      <c r="B13" s="22">
        <v>64</v>
      </c>
      <c r="C13" s="22">
        <v>71</v>
      </c>
      <c r="D13" s="22">
        <v>499964.77</v>
      </c>
    </row>
    <row r="14" spans="1:9" x14ac:dyDescent="0.3">
      <c r="A14" s="11" t="s">
        <v>300</v>
      </c>
      <c r="B14" s="22">
        <v>22</v>
      </c>
      <c r="C14" s="22">
        <v>23</v>
      </c>
      <c r="D14" s="22">
        <v>177221.7</v>
      </c>
    </row>
    <row r="15" spans="1:9" x14ac:dyDescent="0.3">
      <c r="A15" s="11" t="s">
        <v>303</v>
      </c>
      <c r="B15" s="22">
        <v>33</v>
      </c>
      <c r="C15" s="22">
        <v>12</v>
      </c>
      <c r="D15" s="22">
        <v>175000</v>
      </c>
    </row>
    <row r="16" spans="1:9" x14ac:dyDescent="0.3">
      <c r="A16" s="11" t="s">
        <v>297</v>
      </c>
      <c r="B16" s="22">
        <v>9</v>
      </c>
      <c r="C16" s="22">
        <v>36</v>
      </c>
      <c r="D16" s="22">
        <v>147743.07</v>
      </c>
    </row>
    <row r="17" spans="1:4" x14ac:dyDescent="0.3">
      <c r="A17" s="9" t="s">
        <v>305</v>
      </c>
      <c r="B17" s="22">
        <v>22</v>
      </c>
      <c r="C17" s="22">
        <v>23</v>
      </c>
      <c r="D17" s="22">
        <v>669600</v>
      </c>
    </row>
    <row r="18" spans="1:4" x14ac:dyDescent="0.3">
      <c r="A18" s="11" t="s">
        <v>307</v>
      </c>
      <c r="B18" s="22">
        <v>22</v>
      </c>
      <c r="C18" s="22">
        <v>23</v>
      </c>
      <c r="D18" s="22">
        <v>669600</v>
      </c>
    </row>
    <row r="19" spans="1:4" x14ac:dyDescent="0.3">
      <c r="A19" s="9" t="s">
        <v>309</v>
      </c>
      <c r="B19" s="22"/>
      <c r="C19" s="22">
        <v>53</v>
      </c>
      <c r="D19" s="22">
        <v>-182723</v>
      </c>
    </row>
    <row r="20" spans="1:4" x14ac:dyDescent="0.3">
      <c r="A20" s="11" t="s">
        <v>145</v>
      </c>
      <c r="B20" s="22"/>
      <c r="C20" s="22">
        <v>34</v>
      </c>
      <c r="D20" s="22">
        <v>-7410</v>
      </c>
    </row>
    <row r="21" spans="1:4" x14ac:dyDescent="0.3">
      <c r="A21" s="11" t="s">
        <v>539</v>
      </c>
      <c r="B21" s="22"/>
      <c r="C21" s="22">
        <v>19</v>
      </c>
      <c r="D21" s="22">
        <v>-175313</v>
      </c>
    </row>
    <row r="22" spans="1:4" x14ac:dyDescent="0.3">
      <c r="A22" s="9" t="s">
        <v>327</v>
      </c>
      <c r="B22" s="22">
        <v>23</v>
      </c>
      <c r="C22" s="22">
        <v>22</v>
      </c>
      <c r="D22" s="22">
        <v>76700</v>
      </c>
    </row>
    <row r="23" spans="1:4" x14ac:dyDescent="0.3">
      <c r="A23" s="11" t="s">
        <v>329</v>
      </c>
      <c r="B23" s="22">
        <v>23</v>
      </c>
      <c r="C23" s="22">
        <v>22</v>
      </c>
      <c r="D23" s="22">
        <v>76700</v>
      </c>
    </row>
    <row r="24" spans="1:4" x14ac:dyDescent="0.3">
      <c r="A24" s="9" t="s">
        <v>331</v>
      </c>
      <c r="B24" s="22"/>
      <c r="C24" s="22">
        <v>7</v>
      </c>
      <c r="D24" s="22">
        <v>70212</v>
      </c>
    </row>
    <row r="25" spans="1:4" x14ac:dyDescent="0.3">
      <c r="A25" s="11" t="s">
        <v>145</v>
      </c>
      <c r="B25" s="22"/>
      <c r="C25" s="22">
        <v>0</v>
      </c>
      <c r="D25" s="22">
        <v>-6488</v>
      </c>
    </row>
    <row r="26" spans="1:4" x14ac:dyDescent="0.3">
      <c r="A26" s="11" t="s">
        <v>538</v>
      </c>
      <c r="B26" s="22"/>
      <c r="C26" s="22">
        <v>7</v>
      </c>
      <c r="D26" s="22">
        <v>76700</v>
      </c>
    </row>
    <row r="27" spans="1:4" x14ac:dyDescent="0.3">
      <c r="A27" s="9" t="s">
        <v>404</v>
      </c>
      <c r="B27" s="22">
        <v>13</v>
      </c>
      <c r="C27" s="22">
        <v>77</v>
      </c>
      <c r="D27" s="22">
        <v>282040</v>
      </c>
    </row>
    <row r="28" spans="1:4" x14ac:dyDescent="0.3">
      <c r="A28" s="11" t="s">
        <v>406</v>
      </c>
      <c r="B28" s="22">
        <v>1</v>
      </c>
      <c r="C28" s="22">
        <v>44</v>
      </c>
      <c r="D28" s="22">
        <v>156680</v>
      </c>
    </row>
    <row r="29" spans="1:4" x14ac:dyDescent="0.3">
      <c r="A29" s="11" t="s">
        <v>409</v>
      </c>
      <c r="B29" s="22">
        <v>12</v>
      </c>
      <c r="C29" s="22">
        <v>33</v>
      </c>
      <c r="D29" s="22">
        <v>125360</v>
      </c>
    </row>
    <row r="30" spans="1:4" x14ac:dyDescent="0.3">
      <c r="A30" s="9" t="s">
        <v>411</v>
      </c>
      <c r="B30" s="22">
        <v>12</v>
      </c>
      <c r="C30" s="22">
        <v>33</v>
      </c>
      <c r="D30" s="22">
        <v>31275</v>
      </c>
    </row>
    <row r="31" spans="1:4" x14ac:dyDescent="0.3">
      <c r="A31" s="11" t="s">
        <v>413</v>
      </c>
      <c r="B31" s="22">
        <v>12</v>
      </c>
      <c r="C31" s="22">
        <v>33</v>
      </c>
      <c r="D31" s="22">
        <v>31275</v>
      </c>
    </row>
    <row r="32" spans="1:4" x14ac:dyDescent="0.3">
      <c r="A32" s="9" t="s">
        <v>445</v>
      </c>
      <c r="B32" s="22">
        <v>24</v>
      </c>
      <c r="C32" s="22">
        <v>21</v>
      </c>
      <c r="D32" s="22">
        <v>70200</v>
      </c>
    </row>
    <row r="33" spans="1:4" x14ac:dyDescent="0.3">
      <c r="A33" s="11" t="s">
        <v>450</v>
      </c>
      <c r="B33" s="22">
        <v>24</v>
      </c>
      <c r="C33" s="22">
        <v>21</v>
      </c>
      <c r="D33" s="22">
        <v>70200</v>
      </c>
    </row>
    <row r="34" spans="1:4" x14ac:dyDescent="0.3">
      <c r="A34" s="9" t="s">
        <v>482</v>
      </c>
      <c r="B34" s="22">
        <v>134</v>
      </c>
      <c r="C34" s="22">
        <v>160</v>
      </c>
      <c r="D34" s="22">
        <v>748600</v>
      </c>
    </row>
    <row r="35" spans="1:4" x14ac:dyDescent="0.3">
      <c r="A35" s="11" t="s">
        <v>485</v>
      </c>
      <c r="B35" s="22">
        <v>22</v>
      </c>
      <c r="C35" s="22">
        <v>23</v>
      </c>
      <c r="D35" s="22">
        <v>76800</v>
      </c>
    </row>
    <row r="36" spans="1:4" x14ac:dyDescent="0.3">
      <c r="A36" s="11" t="s">
        <v>488</v>
      </c>
      <c r="B36" s="22">
        <v>22</v>
      </c>
      <c r="C36" s="22">
        <v>23</v>
      </c>
      <c r="D36" s="22">
        <v>86240</v>
      </c>
    </row>
    <row r="37" spans="1:4" x14ac:dyDescent="0.3">
      <c r="A37" s="11" t="s">
        <v>491</v>
      </c>
      <c r="B37" s="22">
        <v>22</v>
      </c>
      <c r="C37" s="22">
        <v>23</v>
      </c>
      <c r="D37" s="22">
        <v>57600</v>
      </c>
    </row>
    <row r="38" spans="1:4" x14ac:dyDescent="0.3">
      <c r="A38" s="11" t="s">
        <v>494</v>
      </c>
      <c r="B38" s="22">
        <v>22</v>
      </c>
      <c r="C38" s="22">
        <v>23</v>
      </c>
      <c r="D38" s="22">
        <v>129600</v>
      </c>
    </row>
    <row r="39" spans="1:4" x14ac:dyDescent="0.3">
      <c r="A39" s="11" t="s">
        <v>497</v>
      </c>
      <c r="B39" s="22">
        <v>23</v>
      </c>
      <c r="C39" s="22">
        <v>22</v>
      </c>
      <c r="D39" s="22">
        <v>67200</v>
      </c>
    </row>
    <row r="40" spans="1:4" x14ac:dyDescent="0.3">
      <c r="A40" s="11" t="s">
        <v>500</v>
      </c>
      <c r="B40" s="22">
        <v>23</v>
      </c>
      <c r="C40" s="22">
        <v>22</v>
      </c>
      <c r="D40" s="22">
        <v>72960</v>
      </c>
    </row>
    <row r="41" spans="1:4" x14ac:dyDescent="0.3">
      <c r="A41" s="11" t="s">
        <v>503</v>
      </c>
      <c r="B41" s="22"/>
      <c r="C41" s="22">
        <v>12</v>
      </c>
      <c r="D41" s="22">
        <v>78200</v>
      </c>
    </row>
    <row r="42" spans="1:4" x14ac:dyDescent="0.3">
      <c r="A42" s="11" t="s">
        <v>506</v>
      </c>
      <c r="B42" s="22"/>
      <c r="C42" s="22">
        <v>12</v>
      </c>
      <c r="D42" s="22">
        <v>180000</v>
      </c>
    </row>
    <row r="43" spans="1:4" x14ac:dyDescent="0.3">
      <c r="A43" s="9" t="s">
        <v>519</v>
      </c>
      <c r="B43" s="22">
        <v>445</v>
      </c>
      <c r="C43" s="22">
        <v>629</v>
      </c>
      <c r="D43" s="22">
        <v>2429525.7599999998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59"/>
  <sheetViews>
    <sheetView topLeftCell="F1" workbookViewId="0">
      <pane ySplit="1" topLeftCell="A101" activePane="bottomLeft" state="frozen"/>
      <selection pane="bottomLeft" activeCell="P102" sqref="P102"/>
    </sheetView>
  </sheetViews>
  <sheetFormatPr baseColWidth="10" defaultColWidth="8.88671875" defaultRowHeight="14.4" outlineLevelRow="1" x14ac:dyDescent="0.3"/>
  <cols>
    <col min="1" max="1" width="11" bestFit="1" customWidth="1"/>
    <col min="2" max="2" width="30.21875" customWidth="1"/>
    <col min="3" max="3" width="13" bestFit="1" customWidth="1"/>
    <col min="4" max="4" width="17" bestFit="1" customWidth="1"/>
    <col min="5" max="6" width="19" customWidth="1"/>
    <col min="7" max="7" width="15.44140625" customWidth="1"/>
    <col min="8" max="8" width="14" customWidth="1"/>
    <col min="9" max="9" width="23" customWidth="1"/>
    <col min="10" max="10" width="21" customWidth="1"/>
    <col min="11" max="11" width="20" customWidth="1"/>
    <col min="12" max="12" width="17" customWidth="1"/>
    <col min="13" max="13" width="16" customWidth="1"/>
    <col min="14" max="14" width="10.33203125" bestFit="1" customWidth="1"/>
    <col min="15" max="15" width="10.21875" customWidth="1"/>
    <col min="16" max="16" width="10.88671875" bestFit="1" customWidth="1"/>
    <col min="17" max="17" width="12.77734375" bestFit="1" customWidth="1"/>
    <col min="18" max="18" width="12.21875" bestFit="1" customWidth="1"/>
    <col min="19" max="19" width="12.5546875" customWidth="1"/>
  </cols>
  <sheetData>
    <row r="1" spans="1:20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511</v>
      </c>
      <c r="L1" s="1" t="s">
        <v>10</v>
      </c>
      <c r="M1" s="1" t="s">
        <v>11</v>
      </c>
      <c r="N1" s="12" t="s">
        <v>521</v>
      </c>
      <c r="O1" s="13" t="s">
        <v>522</v>
      </c>
      <c r="P1" s="14" t="s">
        <v>523</v>
      </c>
      <c r="Q1" s="15" t="s">
        <v>524</v>
      </c>
      <c r="R1" s="15" t="s">
        <v>525</v>
      </c>
      <c r="S1" s="16" t="s">
        <v>526</v>
      </c>
      <c r="T1" s="17" t="s">
        <v>527</v>
      </c>
    </row>
    <row r="2" spans="1:20" hidden="1" outlineLevel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45980</v>
      </c>
      <c r="G2" s="4">
        <v>138</v>
      </c>
      <c r="H2" s="3">
        <v>45987</v>
      </c>
      <c r="I2" s="5">
        <v>42.48</v>
      </c>
      <c r="J2" s="2" t="s">
        <v>17</v>
      </c>
      <c r="K2" s="2" t="s">
        <v>512</v>
      </c>
      <c r="L2" s="2" t="s">
        <v>18</v>
      </c>
      <c r="M2" s="2" t="s">
        <v>18</v>
      </c>
      <c r="Q2" s="18">
        <f>H2</f>
        <v>45987</v>
      </c>
      <c r="R2" s="19">
        <f>I2/3.385</f>
        <v>12.549483013293944</v>
      </c>
    </row>
    <row r="3" spans="1:20" hidden="1" outlineLevel="1" x14ac:dyDescent="0.3">
      <c r="A3" s="2" t="s">
        <v>12</v>
      </c>
      <c r="B3" s="2" t="s">
        <v>19</v>
      </c>
      <c r="C3" s="2" t="s">
        <v>20</v>
      </c>
      <c r="D3" s="2" t="s">
        <v>21</v>
      </c>
      <c r="E3" s="2" t="s">
        <v>16</v>
      </c>
      <c r="F3" s="3">
        <v>45980</v>
      </c>
      <c r="G3" s="4">
        <v>138</v>
      </c>
      <c r="H3" s="3">
        <v>45987</v>
      </c>
      <c r="I3" s="5">
        <v>14.16</v>
      </c>
      <c r="J3" s="2" t="s">
        <v>17</v>
      </c>
      <c r="K3" s="2" t="s">
        <v>512</v>
      </c>
      <c r="L3" s="2" t="s">
        <v>18</v>
      </c>
      <c r="M3" s="2" t="s">
        <v>18</v>
      </c>
      <c r="Q3" s="18">
        <f t="shared" ref="Q3:Q18" si="0">H3</f>
        <v>45987</v>
      </c>
      <c r="R3" s="19">
        <f t="shared" ref="R3:R18" si="1">I3/3.385</f>
        <v>4.183161004431315</v>
      </c>
    </row>
    <row r="4" spans="1:20" hidden="1" outlineLevel="1" x14ac:dyDescent="0.3">
      <c r="A4" s="2" t="s">
        <v>12</v>
      </c>
      <c r="B4" s="2" t="s">
        <v>22</v>
      </c>
      <c r="C4" s="2" t="s">
        <v>23</v>
      </c>
      <c r="D4" s="2" t="s">
        <v>24</v>
      </c>
      <c r="E4" s="2" t="s">
        <v>16</v>
      </c>
      <c r="F4" s="3">
        <v>45980</v>
      </c>
      <c r="G4" s="4">
        <v>138</v>
      </c>
      <c r="H4" s="3">
        <v>45987</v>
      </c>
      <c r="I4" s="5">
        <v>14.16</v>
      </c>
      <c r="J4" s="2" t="s">
        <v>17</v>
      </c>
      <c r="K4" s="2" t="s">
        <v>512</v>
      </c>
      <c r="L4" s="2" t="s">
        <v>18</v>
      </c>
      <c r="M4" s="2" t="s">
        <v>18</v>
      </c>
      <c r="Q4" s="18">
        <f t="shared" si="0"/>
        <v>45987</v>
      </c>
      <c r="R4" s="19">
        <f t="shared" si="1"/>
        <v>4.183161004431315</v>
      </c>
    </row>
    <row r="5" spans="1:20" hidden="1" outlineLevel="1" x14ac:dyDescent="0.3">
      <c r="A5" s="2" t="s">
        <v>12</v>
      </c>
      <c r="B5" s="2" t="s">
        <v>25</v>
      </c>
      <c r="C5" s="2" t="s">
        <v>26</v>
      </c>
      <c r="D5" s="2" t="s">
        <v>27</v>
      </c>
      <c r="E5" s="2" t="s">
        <v>16</v>
      </c>
      <c r="F5" s="3">
        <v>45981</v>
      </c>
      <c r="G5" s="4">
        <v>137</v>
      </c>
      <c r="H5" s="3">
        <v>45988</v>
      </c>
      <c r="I5" s="5">
        <v>28.32</v>
      </c>
      <c r="J5" s="2" t="s">
        <v>17</v>
      </c>
      <c r="K5" s="2" t="s">
        <v>512</v>
      </c>
      <c r="L5" s="2" t="s">
        <v>18</v>
      </c>
      <c r="M5" s="2" t="s">
        <v>18</v>
      </c>
      <c r="Q5" s="18">
        <f t="shared" si="0"/>
        <v>45988</v>
      </c>
      <c r="R5" s="19">
        <f t="shared" si="1"/>
        <v>8.36632200886263</v>
      </c>
    </row>
    <row r="6" spans="1:20" hidden="1" outlineLevel="1" x14ac:dyDescent="0.3">
      <c r="A6" s="2" t="s">
        <v>12</v>
      </c>
      <c r="B6" s="2" t="s">
        <v>28</v>
      </c>
      <c r="C6" s="2" t="s">
        <v>29</v>
      </c>
      <c r="D6" s="2" t="s">
        <v>30</v>
      </c>
      <c r="E6" s="2" t="s">
        <v>16</v>
      </c>
      <c r="F6" s="3">
        <v>45981</v>
      </c>
      <c r="G6" s="4">
        <v>137</v>
      </c>
      <c r="H6" s="3">
        <v>45988</v>
      </c>
      <c r="I6" s="5">
        <v>14.16</v>
      </c>
      <c r="J6" s="2" t="s">
        <v>17</v>
      </c>
      <c r="K6" s="2" t="s">
        <v>512</v>
      </c>
      <c r="L6" s="2" t="s">
        <v>18</v>
      </c>
      <c r="M6" s="2" t="s">
        <v>18</v>
      </c>
      <c r="Q6" s="18">
        <f t="shared" si="0"/>
        <v>45988</v>
      </c>
      <c r="R6" s="19">
        <f t="shared" si="1"/>
        <v>4.183161004431315</v>
      </c>
    </row>
    <row r="7" spans="1:20" hidden="1" outlineLevel="1" x14ac:dyDescent="0.3">
      <c r="A7" s="2" t="s">
        <v>12</v>
      </c>
      <c r="B7" s="2" t="s">
        <v>31</v>
      </c>
      <c r="C7" s="2" t="s">
        <v>32</v>
      </c>
      <c r="D7" s="2" t="s">
        <v>33</v>
      </c>
      <c r="E7" s="2" t="s">
        <v>16</v>
      </c>
      <c r="F7" s="3">
        <v>45982</v>
      </c>
      <c r="G7" s="4">
        <v>136</v>
      </c>
      <c r="H7" s="3">
        <v>45989</v>
      </c>
      <c r="I7" s="5">
        <v>28.32</v>
      </c>
      <c r="J7" s="2" t="s">
        <v>17</v>
      </c>
      <c r="K7" s="2" t="s">
        <v>512</v>
      </c>
      <c r="L7" s="2" t="s">
        <v>18</v>
      </c>
      <c r="M7" s="2" t="s">
        <v>18</v>
      </c>
      <c r="Q7" s="18">
        <f t="shared" si="0"/>
        <v>45989</v>
      </c>
      <c r="R7" s="19">
        <f t="shared" si="1"/>
        <v>8.36632200886263</v>
      </c>
    </row>
    <row r="8" spans="1:20" hidden="1" outlineLevel="1" x14ac:dyDescent="0.3">
      <c r="A8" s="2" t="s">
        <v>12</v>
      </c>
      <c r="B8" s="2" t="s">
        <v>34</v>
      </c>
      <c r="C8" s="2" t="s">
        <v>35</v>
      </c>
      <c r="D8" s="2" t="s">
        <v>36</v>
      </c>
      <c r="E8" s="2" t="s">
        <v>16</v>
      </c>
      <c r="F8" s="3">
        <v>45982</v>
      </c>
      <c r="G8" s="4">
        <v>136</v>
      </c>
      <c r="H8" s="3">
        <v>45989</v>
      </c>
      <c r="I8" s="5">
        <v>42.48</v>
      </c>
      <c r="J8" s="2" t="s">
        <v>17</v>
      </c>
      <c r="K8" s="2" t="s">
        <v>512</v>
      </c>
      <c r="L8" s="2" t="s">
        <v>18</v>
      </c>
      <c r="M8" s="2" t="s">
        <v>18</v>
      </c>
      <c r="Q8" s="18">
        <f t="shared" si="0"/>
        <v>45989</v>
      </c>
      <c r="R8" s="19">
        <f t="shared" si="1"/>
        <v>12.549483013293944</v>
      </c>
    </row>
    <row r="9" spans="1:20" hidden="1" outlineLevel="1" x14ac:dyDescent="0.3">
      <c r="A9" s="2" t="s">
        <v>12</v>
      </c>
      <c r="B9" s="2" t="s">
        <v>37</v>
      </c>
      <c r="C9" s="2" t="s">
        <v>38</v>
      </c>
      <c r="D9" s="2" t="s">
        <v>39</v>
      </c>
      <c r="E9" s="2" t="s">
        <v>16</v>
      </c>
      <c r="F9" s="3">
        <v>45982</v>
      </c>
      <c r="G9" s="4">
        <v>136</v>
      </c>
      <c r="H9" s="3">
        <v>45989</v>
      </c>
      <c r="I9" s="5">
        <v>42.48</v>
      </c>
      <c r="J9" s="2" t="s">
        <v>17</v>
      </c>
      <c r="K9" s="2" t="s">
        <v>512</v>
      </c>
      <c r="L9" s="2" t="s">
        <v>18</v>
      </c>
      <c r="M9" s="2" t="s">
        <v>18</v>
      </c>
      <c r="Q9" s="18">
        <f t="shared" si="0"/>
        <v>45989</v>
      </c>
      <c r="R9" s="19">
        <f t="shared" si="1"/>
        <v>12.549483013293944</v>
      </c>
    </row>
    <row r="10" spans="1:20" hidden="1" outlineLevel="1" x14ac:dyDescent="0.3">
      <c r="A10" s="2" t="s">
        <v>12</v>
      </c>
      <c r="B10" s="2" t="s">
        <v>40</v>
      </c>
      <c r="C10" s="2" t="s">
        <v>41</v>
      </c>
      <c r="D10" s="2" t="s">
        <v>42</v>
      </c>
      <c r="E10" s="2" t="s">
        <v>16</v>
      </c>
      <c r="F10" s="3">
        <v>45982</v>
      </c>
      <c r="G10" s="4">
        <v>136</v>
      </c>
      <c r="H10" s="3">
        <v>45989</v>
      </c>
      <c r="I10" s="5">
        <v>14.16</v>
      </c>
      <c r="J10" s="2" t="s">
        <v>17</v>
      </c>
      <c r="K10" s="2" t="s">
        <v>512</v>
      </c>
      <c r="L10" s="2" t="s">
        <v>18</v>
      </c>
      <c r="M10" s="2" t="s">
        <v>18</v>
      </c>
      <c r="Q10" s="18">
        <f t="shared" si="0"/>
        <v>45989</v>
      </c>
      <c r="R10" s="19">
        <f t="shared" si="1"/>
        <v>4.183161004431315</v>
      </c>
    </row>
    <row r="11" spans="1:20" hidden="1" outlineLevel="1" x14ac:dyDescent="0.3">
      <c r="A11" s="2" t="s">
        <v>12</v>
      </c>
      <c r="B11" s="2" t="s">
        <v>43</v>
      </c>
      <c r="C11" s="2" t="s">
        <v>44</v>
      </c>
      <c r="D11" s="2" t="s">
        <v>45</v>
      </c>
      <c r="E11" s="2" t="s">
        <v>16</v>
      </c>
      <c r="F11" s="3">
        <v>45983</v>
      </c>
      <c r="G11" s="4">
        <v>135</v>
      </c>
      <c r="H11" s="3">
        <v>45990</v>
      </c>
      <c r="I11" s="5">
        <v>28.32</v>
      </c>
      <c r="J11" s="2" t="s">
        <v>17</v>
      </c>
      <c r="K11" s="2" t="s">
        <v>512</v>
      </c>
      <c r="L11" s="2" t="s">
        <v>18</v>
      </c>
      <c r="M11" s="2" t="s">
        <v>18</v>
      </c>
      <c r="Q11" s="18">
        <f t="shared" si="0"/>
        <v>45990</v>
      </c>
      <c r="R11" s="19">
        <f t="shared" si="1"/>
        <v>8.36632200886263</v>
      </c>
    </row>
    <row r="12" spans="1:20" hidden="1" outlineLevel="1" x14ac:dyDescent="0.3">
      <c r="A12" s="2" t="s">
        <v>12</v>
      </c>
      <c r="B12" s="2" t="s">
        <v>46</v>
      </c>
      <c r="C12" s="2" t="s">
        <v>47</v>
      </c>
      <c r="D12" s="2" t="s">
        <v>48</v>
      </c>
      <c r="E12" s="2" t="s">
        <v>16</v>
      </c>
      <c r="F12" s="3">
        <v>45988</v>
      </c>
      <c r="G12" s="4">
        <v>130</v>
      </c>
      <c r="H12" s="3">
        <v>45995</v>
      </c>
      <c r="I12" s="5">
        <v>14.16</v>
      </c>
      <c r="J12" s="2" t="s">
        <v>17</v>
      </c>
      <c r="K12" s="2" t="s">
        <v>512</v>
      </c>
      <c r="L12" s="2" t="s">
        <v>18</v>
      </c>
      <c r="M12" s="2" t="s">
        <v>18</v>
      </c>
      <c r="Q12" s="18">
        <f t="shared" si="0"/>
        <v>45995</v>
      </c>
      <c r="R12" s="19">
        <f t="shared" si="1"/>
        <v>4.183161004431315</v>
      </c>
    </row>
    <row r="13" spans="1:20" hidden="1" outlineLevel="1" x14ac:dyDescent="0.3">
      <c r="A13" s="2" t="s">
        <v>12</v>
      </c>
      <c r="B13" s="2" t="s">
        <v>49</v>
      </c>
      <c r="C13" s="2" t="s">
        <v>50</v>
      </c>
      <c r="D13" s="2" t="s">
        <v>51</v>
      </c>
      <c r="E13" s="2" t="s">
        <v>16</v>
      </c>
      <c r="F13" s="3">
        <v>46028</v>
      </c>
      <c r="G13" s="4">
        <v>90</v>
      </c>
      <c r="H13" s="3">
        <v>46035</v>
      </c>
      <c r="I13" s="5">
        <v>14.16</v>
      </c>
      <c r="J13" s="2" t="s">
        <v>17</v>
      </c>
      <c r="K13" s="2" t="s">
        <v>512</v>
      </c>
      <c r="L13" s="2" t="s">
        <v>18</v>
      </c>
      <c r="M13" s="2" t="s">
        <v>18</v>
      </c>
      <c r="Q13" s="18">
        <f t="shared" si="0"/>
        <v>46035</v>
      </c>
      <c r="R13" s="19">
        <f t="shared" si="1"/>
        <v>4.183161004431315</v>
      </c>
    </row>
    <row r="14" spans="1:20" hidden="1" outlineLevel="1" x14ac:dyDescent="0.3">
      <c r="A14" s="2" t="s">
        <v>12</v>
      </c>
      <c r="B14" s="2" t="s">
        <v>52</v>
      </c>
      <c r="C14" s="2" t="s">
        <v>53</v>
      </c>
      <c r="D14" s="2" t="s">
        <v>54</v>
      </c>
      <c r="E14" s="2" t="s">
        <v>16</v>
      </c>
      <c r="F14" s="3">
        <v>46030</v>
      </c>
      <c r="G14" s="4">
        <v>88</v>
      </c>
      <c r="H14" s="3">
        <v>46037</v>
      </c>
      <c r="I14" s="5">
        <v>14.16</v>
      </c>
      <c r="J14" s="2" t="s">
        <v>17</v>
      </c>
      <c r="K14" s="2" t="s">
        <v>512</v>
      </c>
      <c r="L14" s="2" t="s">
        <v>18</v>
      </c>
      <c r="M14" s="2" t="s">
        <v>18</v>
      </c>
      <c r="Q14" s="18">
        <f t="shared" si="0"/>
        <v>46037</v>
      </c>
      <c r="R14" s="19">
        <f t="shared" si="1"/>
        <v>4.183161004431315</v>
      </c>
    </row>
    <row r="15" spans="1:20" hidden="1" outlineLevel="1" x14ac:dyDescent="0.3">
      <c r="A15" s="2" t="s">
        <v>12</v>
      </c>
      <c r="B15" s="2" t="s">
        <v>55</v>
      </c>
      <c r="C15" s="2" t="s">
        <v>56</v>
      </c>
      <c r="D15" s="2" t="s">
        <v>57</v>
      </c>
      <c r="E15" s="2" t="s">
        <v>16</v>
      </c>
      <c r="F15" s="3">
        <v>46032</v>
      </c>
      <c r="G15" s="4">
        <v>86</v>
      </c>
      <c r="H15" s="3">
        <v>46039</v>
      </c>
      <c r="I15" s="5">
        <v>14.16</v>
      </c>
      <c r="J15" s="2" t="s">
        <v>17</v>
      </c>
      <c r="K15" s="2" t="s">
        <v>512</v>
      </c>
      <c r="L15" s="2" t="s">
        <v>18</v>
      </c>
      <c r="M15" s="2" t="s">
        <v>18</v>
      </c>
      <c r="Q15" s="18">
        <f t="shared" si="0"/>
        <v>46039</v>
      </c>
      <c r="R15" s="19">
        <f t="shared" si="1"/>
        <v>4.183161004431315</v>
      </c>
    </row>
    <row r="16" spans="1:20" hidden="1" outlineLevel="1" x14ac:dyDescent="0.3">
      <c r="A16" s="2" t="s">
        <v>12</v>
      </c>
      <c r="B16" s="2" t="s">
        <v>58</v>
      </c>
      <c r="C16" s="2" t="s">
        <v>59</v>
      </c>
      <c r="D16" s="2" t="s">
        <v>60</v>
      </c>
      <c r="E16" s="2" t="s">
        <v>16</v>
      </c>
      <c r="F16" s="3">
        <v>46038</v>
      </c>
      <c r="G16" s="4">
        <v>80</v>
      </c>
      <c r="H16" s="3">
        <v>46045</v>
      </c>
      <c r="I16" s="5">
        <v>14.16</v>
      </c>
      <c r="J16" s="2" t="s">
        <v>17</v>
      </c>
      <c r="K16" s="2" t="s">
        <v>512</v>
      </c>
      <c r="L16" s="2" t="s">
        <v>18</v>
      </c>
      <c r="M16" s="2" t="s">
        <v>18</v>
      </c>
      <c r="Q16" s="18">
        <f t="shared" si="0"/>
        <v>46045</v>
      </c>
      <c r="R16" s="19">
        <f t="shared" si="1"/>
        <v>4.183161004431315</v>
      </c>
    </row>
    <row r="17" spans="1:20" hidden="1" outlineLevel="1" x14ac:dyDescent="0.3">
      <c r="A17" s="2" t="s">
        <v>12</v>
      </c>
      <c r="B17" s="2" t="s">
        <v>61</v>
      </c>
      <c r="C17" s="2" t="s">
        <v>62</v>
      </c>
      <c r="D17" s="2" t="s">
        <v>63</v>
      </c>
      <c r="E17" s="2" t="s">
        <v>16</v>
      </c>
      <c r="F17" s="3">
        <v>46038</v>
      </c>
      <c r="G17" s="4">
        <v>80</v>
      </c>
      <c r="H17" s="3">
        <v>46045</v>
      </c>
      <c r="I17" s="5">
        <v>14.16</v>
      </c>
      <c r="J17" s="2" t="s">
        <v>17</v>
      </c>
      <c r="K17" s="2" t="s">
        <v>512</v>
      </c>
      <c r="L17" s="2" t="s">
        <v>18</v>
      </c>
      <c r="M17" s="2" t="s">
        <v>18</v>
      </c>
      <c r="Q17" s="18">
        <f t="shared" si="0"/>
        <v>46045</v>
      </c>
      <c r="R17" s="19">
        <f t="shared" si="1"/>
        <v>4.183161004431315</v>
      </c>
    </row>
    <row r="18" spans="1:20" hidden="1" outlineLevel="1" x14ac:dyDescent="0.3">
      <c r="A18" s="2" t="s">
        <v>12</v>
      </c>
      <c r="B18" s="2" t="s">
        <v>64</v>
      </c>
      <c r="C18" s="2" t="s">
        <v>65</v>
      </c>
      <c r="D18" s="2" t="s">
        <v>66</v>
      </c>
      <c r="E18" s="2" t="s">
        <v>16</v>
      </c>
      <c r="F18" s="3">
        <v>46041</v>
      </c>
      <c r="G18" s="4">
        <v>77</v>
      </c>
      <c r="H18" s="3">
        <v>46048</v>
      </c>
      <c r="I18" s="5">
        <v>14.16</v>
      </c>
      <c r="J18" s="2" t="s">
        <v>17</v>
      </c>
      <c r="K18" s="2" t="s">
        <v>512</v>
      </c>
      <c r="L18" s="2" t="s">
        <v>18</v>
      </c>
      <c r="M18" s="2" t="s">
        <v>18</v>
      </c>
      <c r="Q18" s="18">
        <f t="shared" si="0"/>
        <v>46048</v>
      </c>
      <c r="R18" s="19">
        <f t="shared" si="1"/>
        <v>4.183161004431315</v>
      </c>
    </row>
    <row r="19" spans="1:20" hidden="1" outlineLevel="1" x14ac:dyDescent="0.3">
      <c r="A19" s="2" t="s">
        <v>67</v>
      </c>
      <c r="B19" s="2" t="s">
        <v>71</v>
      </c>
      <c r="C19" s="2" t="s">
        <v>72</v>
      </c>
      <c r="D19" s="2" t="s">
        <v>73</v>
      </c>
      <c r="E19" s="2" t="s">
        <v>69</v>
      </c>
      <c r="F19" s="3">
        <v>46081</v>
      </c>
      <c r="G19" s="6">
        <v>-1</v>
      </c>
      <c r="H19" s="3">
        <v>46126</v>
      </c>
      <c r="I19" s="5">
        <v>456300</v>
      </c>
      <c r="J19" s="2" t="s">
        <v>70</v>
      </c>
      <c r="K19" s="2" t="s">
        <v>520</v>
      </c>
      <c r="L19" s="2" t="s">
        <v>18</v>
      </c>
      <c r="M19" s="2" t="s">
        <v>18</v>
      </c>
      <c r="N19" s="18">
        <f>F19+45</f>
        <v>46126</v>
      </c>
      <c r="O19" s="20"/>
      <c r="P19" s="18">
        <v>46126</v>
      </c>
      <c r="Q19" s="18">
        <v>46142</v>
      </c>
      <c r="R19" s="10">
        <f t="shared" ref="R19" si="2">I19</f>
        <v>456300</v>
      </c>
      <c r="S19" s="20">
        <f ca="1">TODAY()-F19</f>
        <v>51</v>
      </c>
      <c r="T19" s="21" t="s">
        <v>529</v>
      </c>
    </row>
    <row r="20" spans="1:20" hidden="1" outlineLevel="1" x14ac:dyDescent="0.3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78</v>
      </c>
      <c r="F20" s="3">
        <v>46117</v>
      </c>
      <c r="G20" s="4">
        <v>1</v>
      </c>
      <c r="H20" s="3">
        <v>46124</v>
      </c>
      <c r="I20" s="5">
        <v>250.4</v>
      </c>
      <c r="J20" s="2" t="s">
        <v>17</v>
      </c>
      <c r="K20" s="2" t="s">
        <v>512</v>
      </c>
      <c r="L20" s="2" t="s">
        <v>18</v>
      </c>
      <c r="M20" s="2" t="s">
        <v>18</v>
      </c>
      <c r="Q20" s="18">
        <f t="shared" ref="Q20:Q40" si="3">H20</f>
        <v>46124</v>
      </c>
      <c r="R20" s="19">
        <f t="shared" ref="R20:R33" si="4">I20/3.385</f>
        <v>73.973412112259979</v>
      </c>
    </row>
    <row r="21" spans="1:20" hidden="1" outlineLevel="1" x14ac:dyDescent="0.3">
      <c r="A21" s="2" t="s">
        <v>74</v>
      </c>
      <c r="B21" s="2" t="s">
        <v>79</v>
      </c>
      <c r="C21" s="2" t="s">
        <v>80</v>
      </c>
      <c r="D21" s="2" t="s">
        <v>81</v>
      </c>
      <c r="E21" s="2" t="s">
        <v>78</v>
      </c>
      <c r="F21" s="3">
        <v>46117</v>
      </c>
      <c r="G21" s="4">
        <v>1</v>
      </c>
      <c r="H21" s="3">
        <v>46124</v>
      </c>
      <c r="I21" s="5">
        <v>23.6</v>
      </c>
      <c r="J21" s="2" t="s">
        <v>17</v>
      </c>
      <c r="K21" s="2" t="s">
        <v>512</v>
      </c>
      <c r="L21" s="2" t="s">
        <v>18</v>
      </c>
      <c r="M21" s="2" t="s">
        <v>18</v>
      </c>
      <c r="Q21" s="18">
        <f t="shared" si="3"/>
        <v>46124</v>
      </c>
      <c r="R21" s="19">
        <f t="shared" si="4"/>
        <v>6.9719350073855253</v>
      </c>
    </row>
    <row r="22" spans="1:20" hidden="1" outlineLevel="1" x14ac:dyDescent="0.3">
      <c r="A22" s="2" t="s">
        <v>74</v>
      </c>
      <c r="B22" s="2" t="s">
        <v>82</v>
      </c>
      <c r="C22" s="2" t="s">
        <v>83</v>
      </c>
      <c r="D22" s="2" t="s">
        <v>84</v>
      </c>
      <c r="E22" s="2" t="s">
        <v>78</v>
      </c>
      <c r="F22" s="3">
        <v>46119</v>
      </c>
      <c r="G22" s="4">
        <v>6</v>
      </c>
      <c r="H22" s="3">
        <v>46119</v>
      </c>
      <c r="I22" s="5">
        <v>476.25</v>
      </c>
      <c r="J22" s="2" t="s">
        <v>17</v>
      </c>
      <c r="K22" s="2" t="s">
        <v>512</v>
      </c>
      <c r="L22" s="2" t="s">
        <v>18</v>
      </c>
      <c r="M22" s="2" t="s">
        <v>18</v>
      </c>
      <c r="Q22" s="18">
        <f t="shared" si="3"/>
        <v>46119</v>
      </c>
      <c r="R22" s="19">
        <f t="shared" si="4"/>
        <v>140.69423929098966</v>
      </c>
    </row>
    <row r="23" spans="1:20" hidden="1" outlineLevel="1" x14ac:dyDescent="0.3">
      <c r="A23" s="2" t="s">
        <v>74</v>
      </c>
      <c r="B23" s="2" t="s">
        <v>85</v>
      </c>
      <c r="C23" s="2" t="s">
        <v>86</v>
      </c>
      <c r="D23" s="2" t="s">
        <v>87</v>
      </c>
      <c r="E23" s="2" t="s">
        <v>78</v>
      </c>
      <c r="F23" s="3">
        <v>46119</v>
      </c>
      <c r="G23" s="4">
        <v>6</v>
      </c>
      <c r="H23" s="3">
        <v>46119</v>
      </c>
      <c r="I23" s="5">
        <v>70.8</v>
      </c>
      <c r="J23" s="2" t="s">
        <v>17</v>
      </c>
      <c r="K23" s="2" t="s">
        <v>512</v>
      </c>
      <c r="L23" s="2" t="s">
        <v>18</v>
      </c>
      <c r="M23" s="2" t="s">
        <v>18</v>
      </c>
      <c r="Q23" s="18">
        <f t="shared" si="3"/>
        <v>46119</v>
      </c>
      <c r="R23" s="19">
        <f t="shared" si="4"/>
        <v>20.915805022156572</v>
      </c>
    </row>
    <row r="24" spans="1:20" hidden="1" outlineLevel="1" x14ac:dyDescent="0.3">
      <c r="A24" s="2" t="s">
        <v>74</v>
      </c>
      <c r="B24" s="2" t="s">
        <v>88</v>
      </c>
      <c r="C24" s="2" t="s">
        <v>89</v>
      </c>
      <c r="D24" s="2" t="s">
        <v>90</v>
      </c>
      <c r="E24" s="2" t="s">
        <v>78</v>
      </c>
      <c r="F24" s="3">
        <v>46120</v>
      </c>
      <c r="G24" s="4">
        <v>5</v>
      </c>
      <c r="H24" s="3">
        <v>46120</v>
      </c>
      <c r="I24" s="5">
        <v>278.86</v>
      </c>
      <c r="J24" s="2" t="s">
        <v>17</v>
      </c>
      <c r="K24" s="2" t="s">
        <v>512</v>
      </c>
      <c r="L24" s="2" t="s">
        <v>18</v>
      </c>
      <c r="M24" s="2" t="s">
        <v>18</v>
      </c>
      <c r="Q24" s="18">
        <f t="shared" si="3"/>
        <v>46120</v>
      </c>
      <c r="R24" s="19">
        <f t="shared" si="4"/>
        <v>82.381093057607103</v>
      </c>
    </row>
    <row r="25" spans="1:20" hidden="1" outlineLevel="1" x14ac:dyDescent="0.3">
      <c r="A25" s="2" t="s">
        <v>74</v>
      </c>
      <c r="B25" s="2" t="s">
        <v>91</v>
      </c>
      <c r="C25" s="2" t="s">
        <v>92</v>
      </c>
      <c r="D25" s="2" t="s">
        <v>93</v>
      </c>
      <c r="E25" s="2" t="s">
        <v>78</v>
      </c>
      <c r="F25" s="3">
        <v>46120</v>
      </c>
      <c r="G25" s="4">
        <v>5</v>
      </c>
      <c r="H25" s="3">
        <v>46120</v>
      </c>
      <c r="I25" s="5">
        <v>153.4</v>
      </c>
      <c r="J25" s="2" t="s">
        <v>17</v>
      </c>
      <c r="K25" s="2" t="s">
        <v>512</v>
      </c>
      <c r="L25" s="2" t="s">
        <v>18</v>
      </c>
      <c r="M25" s="2" t="s">
        <v>18</v>
      </c>
      <c r="Q25" s="18">
        <f t="shared" si="3"/>
        <v>46120</v>
      </c>
      <c r="R25" s="19">
        <f t="shared" si="4"/>
        <v>45.317577548005914</v>
      </c>
    </row>
    <row r="26" spans="1:20" hidden="1" outlineLevel="1" x14ac:dyDescent="0.3">
      <c r="A26" s="2" t="s">
        <v>95</v>
      </c>
      <c r="B26" s="2" t="s">
        <v>96</v>
      </c>
      <c r="C26" s="2" t="s">
        <v>97</v>
      </c>
      <c r="D26" s="2" t="s">
        <v>98</v>
      </c>
      <c r="E26" s="2" t="s">
        <v>16</v>
      </c>
      <c r="F26" s="3">
        <v>46098</v>
      </c>
      <c r="G26" s="4">
        <v>20</v>
      </c>
      <c r="H26" s="3">
        <v>46105</v>
      </c>
      <c r="I26" s="5">
        <v>424.8</v>
      </c>
      <c r="J26" s="2" t="s">
        <v>17</v>
      </c>
      <c r="K26" s="2" t="s">
        <v>512</v>
      </c>
      <c r="L26" s="2" t="s">
        <v>18</v>
      </c>
      <c r="M26" s="2" t="s">
        <v>18</v>
      </c>
      <c r="Q26" s="18">
        <f t="shared" si="3"/>
        <v>46105</v>
      </c>
      <c r="R26" s="19">
        <f t="shared" si="4"/>
        <v>125.49483013293946</v>
      </c>
    </row>
    <row r="27" spans="1:20" hidden="1" outlineLevel="1" x14ac:dyDescent="0.3">
      <c r="A27" s="2" t="s">
        <v>95</v>
      </c>
      <c r="B27" s="2" t="s">
        <v>99</v>
      </c>
      <c r="C27" s="2" t="s">
        <v>100</v>
      </c>
      <c r="D27" s="2" t="s">
        <v>101</v>
      </c>
      <c r="E27" s="2" t="s">
        <v>16</v>
      </c>
      <c r="F27" s="3">
        <v>46100</v>
      </c>
      <c r="G27" s="4">
        <v>18</v>
      </c>
      <c r="H27" s="3">
        <v>46107</v>
      </c>
      <c r="I27" s="5">
        <v>283.2</v>
      </c>
      <c r="J27" s="2" t="s">
        <v>17</v>
      </c>
      <c r="K27" s="2" t="s">
        <v>512</v>
      </c>
      <c r="L27" s="2" t="s">
        <v>18</v>
      </c>
      <c r="M27" s="2" t="s">
        <v>18</v>
      </c>
      <c r="Q27" s="18">
        <f t="shared" si="3"/>
        <v>46107</v>
      </c>
      <c r="R27" s="19">
        <f t="shared" si="4"/>
        <v>83.663220088626289</v>
      </c>
    </row>
    <row r="28" spans="1:20" hidden="1" outlineLevel="1" x14ac:dyDescent="0.3">
      <c r="A28" s="2" t="s">
        <v>95</v>
      </c>
      <c r="B28" s="2" t="s">
        <v>102</v>
      </c>
      <c r="C28" s="2" t="s">
        <v>103</v>
      </c>
      <c r="D28" s="2" t="s">
        <v>104</v>
      </c>
      <c r="E28" s="2" t="s">
        <v>16</v>
      </c>
      <c r="F28" s="3">
        <v>46102</v>
      </c>
      <c r="G28" s="4">
        <v>16</v>
      </c>
      <c r="H28" s="3">
        <v>46109</v>
      </c>
      <c r="I28" s="5">
        <v>354</v>
      </c>
      <c r="J28" s="2" t="s">
        <v>17</v>
      </c>
      <c r="K28" s="2" t="s">
        <v>512</v>
      </c>
      <c r="L28" s="2" t="s">
        <v>18</v>
      </c>
      <c r="M28" s="2" t="s">
        <v>18</v>
      </c>
      <c r="Q28" s="18">
        <f t="shared" si="3"/>
        <v>46109</v>
      </c>
      <c r="R28" s="19">
        <f t="shared" si="4"/>
        <v>104.57902511078287</v>
      </c>
    </row>
    <row r="29" spans="1:20" hidden="1" outlineLevel="1" x14ac:dyDescent="0.3">
      <c r="A29" s="2" t="s">
        <v>95</v>
      </c>
      <c r="B29" s="2" t="s">
        <v>105</v>
      </c>
      <c r="C29" s="2" t="s">
        <v>106</v>
      </c>
      <c r="D29" s="2" t="s">
        <v>107</v>
      </c>
      <c r="E29" s="2" t="s">
        <v>16</v>
      </c>
      <c r="F29" s="3">
        <v>46111</v>
      </c>
      <c r="G29" s="4">
        <v>7</v>
      </c>
      <c r="H29" s="3">
        <v>46118</v>
      </c>
      <c r="I29" s="5">
        <v>283.2</v>
      </c>
      <c r="J29" s="2" t="s">
        <v>17</v>
      </c>
      <c r="K29" s="2" t="s">
        <v>512</v>
      </c>
      <c r="L29" s="2" t="s">
        <v>18</v>
      </c>
      <c r="M29" s="2" t="s">
        <v>18</v>
      </c>
      <c r="Q29" s="18">
        <f t="shared" si="3"/>
        <v>46118</v>
      </c>
      <c r="R29" s="19">
        <f t="shared" si="4"/>
        <v>83.663220088626289</v>
      </c>
    </row>
    <row r="30" spans="1:20" hidden="1" outlineLevel="1" x14ac:dyDescent="0.3">
      <c r="A30" s="2" t="s">
        <v>95</v>
      </c>
      <c r="B30" s="2" t="s">
        <v>108</v>
      </c>
      <c r="C30" s="2" t="s">
        <v>109</v>
      </c>
      <c r="D30" s="2" t="s">
        <v>110</v>
      </c>
      <c r="E30" s="2" t="s">
        <v>16</v>
      </c>
      <c r="F30" s="3">
        <v>46121</v>
      </c>
      <c r="G30" s="6">
        <v>-3</v>
      </c>
      <c r="H30" s="3">
        <v>46128</v>
      </c>
      <c r="I30" s="5">
        <v>354</v>
      </c>
      <c r="J30" s="2" t="s">
        <v>17</v>
      </c>
      <c r="K30" s="2" t="s">
        <v>512</v>
      </c>
      <c r="L30" s="2" t="s">
        <v>18</v>
      </c>
      <c r="M30" s="2" t="s">
        <v>18</v>
      </c>
      <c r="Q30" s="18">
        <f t="shared" si="3"/>
        <v>46128</v>
      </c>
      <c r="R30" s="19">
        <f t="shared" si="4"/>
        <v>104.57902511078287</v>
      </c>
    </row>
    <row r="31" spans="1:20" hidden="1" outlineLevel="1" x14ac:dyDescent="0.3">
      <c r="A31" s="2" t="s">
        <v>95</v>
      </c>
      <c r="B31" s="2" t="s">
        <v>111</v>
      </c>
      <c r="C31" s="2" t="s">
        <v>112</v>
      </c>
      <c r="D31" s="2" t="s">
        <v>113</v>
      </c>
      <c r="E31" s="2" t="s">
        <v>16</v>
      </c>
      <c r="F31" s="3">
        <v>46122</v>
      </c>
      <c r="G31" s="6">
        <v>-4</v>
      </c>
      <c r="H31" s="3">
        <v>46129</v>
      </c>
      <c r="I31" s="5">
        <v>236</v>
      </c>
      <c r="J31" s="2" t="s">
        <v>17</v>
      </c>
      <c r="K31" s="2" t="s">
        <v>512</v>
      </c>
      <c r="L31" s="2" t="s">
        <v>18</v>
      </c>
      <c r="M31" s="2" t="s">
        <v>18</v>
      </c>
      <c r="Q31" s="18">
        <f t="shared" si="3"/>
        <v>46129</v>
      </c>
      <c r="R31" s="19">
        <f t="shared" si="4"/>
        <v>69.719350073855253</v>
      </c>
    </row>
    <row r="32" spans="1:20" hidden="1" outlineLevel="1" x14ac:dyDescent="0.3">
      <c r="A32" s="2" t="s">
        <v>114</v>
      </c>
      <c r="B32" s="2" t="s">
        <v>115</v>
      </c>
      <c r="C32" s="2" t="s">
        <v>116</v>
      </c>
      <c r="D32" s="2" t="s">
        <v>117</v>
      </c>
      <c r="E32" s="2" t="s">
        <v>16</v>
      </c>
      <c r="F32" s="3">
        <v>46122</v>
      </c>
      <c r="G32" s="6">
        <v>-4</v>
      </c>
      <c r="H32" s="3">
        <v>46129</v>
      </c>
      <c r="I32" s="5">
        <v>303.31</v>
      </c>
      <c r="J32" s="2" t="s">
        <v>17</v>
      </c>
      <c r="K32" s="2" t="s">
        <v>512</v>
      </c>
      <c r="L32" s="2" t="s">
        <v>18</v>
      </c>
      <c r="M32" s="2" t="s">
        <v>18</v>
      </c>
      <c r="Q32" s="18">
        <f t="shared" si="3"/>
        <v>46129</v>
      </c>
      <c r="R32" s="19">
        <f t="shared" si="4"/>
        <v>89.604135893648461</v>
      </c>
    </row>
    <row r="33" spans="1:20" hidden="1" outlineLevel="1" x14ac:dyDescent="0.3">
      <c r="A33" s="2" t="s">
        <v>114</v>
      </c>
      <c r="B33" s="2" t="s">
        <v>118</v>
      </c>
      <c r="C33" s="2" t="s">
        <v>119</v>
      </c>
      <c r="D33" s="2" t="s">
        <v>120</v>
      </c>
      <c r="E33" s="2" t="s">
        <v>16</v>
      </c>
      <c r="F33" s="3">
        <v>46122</v>
      </c>
      <c r="G33" s="6">
        <v>-4</v>
      </c>
      <c r="H33" s="3">
        <v>46129</v>
      </c>
      <c r="I33" s="5">
        <v>123.9</v>
      </c>
      <c r="J33" s="2" t="s">
        <v>17</v>
      </c>
      <c r="K33" s="2" t="s">
        <v>512</v>
      </c>
      <c r="L33" s="2" t="s">
        <v>18</v>
      </c>
      <c r="M33" s="2" t="s">
        <v>18</v>
      </c>
      <c r="Q33" s="18">
        <f t="shared" si="3"/>
        <v>46129</v>
      </c>
      <c r="R33" s="19">
        <f t="shared" si="4"/>
        <v>36.602658788774008</v>
      </c>
    </row>
    <row r="34" spans="1:20" hidden="1" outlineLevel="1" x14ac:dyDescent="0.3">
      <c r="A34" s="2" t="s">
        <v>121</v>
      </c>
      <c r="B34" s="2" t="s">
        <v>124</v>
      </c>
      <c r="C34" s="2" t="s">
        <v>125</v>
      </c>
      <c r="D34" s="2" t="s">
        <v>126</v>
      </c>
      <c r="E34" s="2" t="s">
        <v>69</v>
      </c>
      <c r="F34" s="3">
        <v>46102</v>
      </c>
      <c r="G34" s="6">
        <v>-22</v>
      </c>
      <c r="H34" s="3">
        <v>46147</v>
      </c>
      <c r="I34" s="5">
        <v>2176.9899999999998</v>
      </c>
      <c r="J34" s="2" t="s">
        <v>70</v>
      </c>
      <c r="K34" s="2" t="s">
        <v>520</v>
      </c>
      <c r="L34" s="2" t="s">
        <v>18</v>
      </c>
      <c r="M34" s="2" t="s">
        <v>18</v>
      </c>
      <c r="N34" s="18">
        <f t="shared" ref="N34:N40" si="5">F34+45</f>
        <v>46147</v>
      </c>
      <c r="O34" s="20">
        <f t="shared" ref="O34:O40" ca="1" si="6">P34-TODAY()</f>
        <v>15</v>
      </c>
      <c r="P34" s="18">
        <v>46147</v>
      </c>
      <c r="Q34" s="18">
        <f t="shared" si="3"/>
        <v>46147</v>
      </c>
      <c r="R34" s="10">
        <f t="shared" ref="R34:R40" si="7">I34</f>
        <v>2176.9899999999998</v>
      </c>
      <c r="S34" s="20">
        <f t="shared" ref="S34:S40" ca="1" si="8">TODAY()-F34</f>
        <v>30</v>
      </c>
      <c r="T34" s="21" t="s">
        <v>528</v>
      </c>
    </row>
    <row r="35" spans="1:20" hidden="1" outlineLevel="1" x14ac:dyDescent="0.3">
      <c r="A35" s="2" t="s">
        <v>121</v>
      </c>
      <c r="B35" s="2" t="s">
        <v>127</v>
      </c>
      <c r="C35" s="2" t="s">
        <v>128</v>
      </c>
      <c r="D35" s="2" t="s">
        <v>129</v>
      </c>
      <c r="E35" s="2" t="s">
        <v>69</v>
      </c>
      <c r="F35" s="3">
        <v>46110</v>
      </c>
      <c r="G35" s="6">
        <v>-30</v>
      </c>
      <c r="H35" s="3">
        <v>46155</v>
      </c>
      <c r="I35" s="5">
        <v>24860</v>
      </c>
      <c r="J35" s="2" t="s">
        <v>70</v>
      </c>
      <c r="K35" s="2" t="s">
        <v>520</v>
      </c>
      <c r="L35" s="2" t="s">
        <v>18</v>
      </c>
      <c r="M35" s="2" t="s">
        <v>18</v>
      </c>
      <c r="N35" s="18">
        <f t="shared" si="5"/>
        <v>46155</v>
      </c>
      <c r="O35" s="20">
        <f t="shared" ca="1" si="6"/>
        <v>23</v>
      </c>
      <c r="P35" s="18">
        <v>46155</v>
      </c>
      <c r="Q35" s="18">
        <f t="shared" si="3"/>
        <v>46155</v>
      </c>
      <c r="R35" s="10">
        <f t="shared" si="7"/>
        <v>24860</v>
      </c>
      <c r="S35" s="20">
        <f t="shared" ca="1" si="8"/>
        <v>22</v>
      </c>
      <c r="T35" s="21" t="s">
        <v>528</v>
      </c>
    </row>
    <row r="36" spans="1:20" hidden="1" outlineLevel="1" x14ac:dyDescent="0.3">
      <c r="A36" s="2" t="s">
        <v>121</v>
      </c>
      <c r="B36" s="2" t="s">
        <v>130</v>
      </c>
      <c r="C36" s="2" t="s">
        <v>131</v>
      </c>
      <c r="D36" s="2" t="s">
        <v>132</v>
      </c>
      <c r="E36" s="2" t="s">
        <v>69</v>
      </c>
      <c r="F36" s="3">
        <v>46110</v>
      </c>
      <c r="G36" s="6">
        <v>-30</v>
      </c>
      <c r="H36" s="3">
        <v>46155</v>
      </c>
      <c r="I36" s="5">
        <v>24860</v>
      </c>
      <c r="J36" s="2" t="s">
        <v>70</v>
      </c>
      <c r="K36" s="2" t="s">
        <v>520</v>
      </c>
      <c r="L36" s="2" t="s">
        <v>18</v>
      </c>
      <c r="M36" s="2" t="s">
        <v>18</v>
      </c>
      <c r="N36" s="18">
        <f t="shared" si="5"/>
        <v>46155</v>
      </c>
      <c r="O36" s="20">
        <f t="shared" ca="1" si="6"/>
        <v>23</v>
      </c>
      <c r="P36" s="18">
        <v>46155</v>
      </c>
      <c r="Q36" s="18">
        <f t="shared" si="3"/>
        <v>46155</v>
      </c>
      <c r="R36" s="10">
        <f t="shared" si="7"/>
        <v>24860</v>
      </c>
      <c r="S36" s="20">
        <f t="shared" ca="1" si="8"/>
        <v>22</v>
      </c>
      <c r="T36" s="21" t="s">
        <v>528</v>
      </c>
    </row>
    <row r="37" spans="1:20" hidden="1" outlineLevel="1" x14ac:dyDescent="0.3">
      <c r="A37" s="2" t="s">
        <v>121</v>
      </c>
      <c r="B37" s="2" t="s">
        <v>133</v>
      </c>
      <c r="C37" s="2" t="s">
        <v>134</v>
      </c>
      <c r="D37" s="2" t="s">
        <v>135</v>
      </c>
      <c r="E37" s="2" t="s">
        <v>69</v>
      </c>
      <c r="F37" s="3">
        <v>46110</v>
      </c>
      <c r="G37" s="6">
        <v>-30</v>
      </c>
      <c r="H37" s="3">
        <v>46155</v>
      </c>
      <c r="I37" s="5">
        <v>24860</v>
      </c>
      <c r="J37" s="2" t="s">
        <v>70</v>
      </c>
      <c r="K37" s="2" t="s">
        <v>520</v>
      </c>
      <c r="L37" s="2" t="s">
        <v>18</v>
      </c>
      <c r="M37" s="2" t="s">
        <v>18</v>
      </c>
      <c r="N37" s="18">
        <f t="shared" si="5"/>
        <v>46155</v>
      </c>
      <c r="O37" s="20">
        <f t="shared" ca="1" si="6"/>
        <v>23</v>
      </c>
      <c r="P37" s="18">
        <v>46155</v>
      </c>
      <c r="Q37" s="18">
        <f t="shared" si="3"/>
        <v>46155</v>
      </c>
      <c r="R37" s="10">
        <f t="shared" si="7"/>
        <v>24860</v>
      </c>
      <c r="S37" s="20">
        <f t="shared" ca="1" si="8"/>
        <v>22</v>
      </c>
      <c r="T37" s="21" t="s">
        <v>528</v>
      </c>
    </row>
    <row r="38" spans="1:20" hidden="1" outlineLevel="1" x14ac:dyDescent="0.3">
      <c r="A38" s="2" t="s">
        <v>121</v>
      </c>
      <c r="B38" s="2" t="s">
        <v>136</v>
      </c>
      <c r="C38" s="2" t="s">
        <v>137</v>
      </c>
      <c r="D38" s="2" t="s">
        <v>138</v>
      </c>
      <c r="E38" s="2" t="s">
        <v>69</v>
      </c>
      <c r="F38" s="3">
        <v>46110</v>
      </c>
      <c r="G38" s="6">
        <v>-30</v>
      </c>
      <c r="H38" s="3">
        <v>46155</v>
      </c>
      <c r="I38" s="5">
        <v>28800</v>
      </c>
      <c r="J38" s="2" t="s">
        <v>70</v>
      </c>
      <c r="K38" s="2" t="s">
        <v>520</v>
      </c>
      <c r="L38" s="2" t="s">
        <v>18</v>
      </c>
      <c r="M38" s="2" t="s">
        <v>18</v>
      </c>
      <c r="N38" s="18">
        <f t="shared" si="5"/>
        <v>46155</v>
      </c>
      <c r="O38" s="20">
        <f t="shared" ca="1" si="6"/>
        <v>23</v>
      </c>
      <c r="P38" s="18">
        <v>46155</v>
      </c>
      <c r="Q38" s="18">
        <f t="shared" si="3"/>
        <v>46155</v>
      </c>
      <c r="R38" s="10">
        <f t="shared" si="7"/>
        <v>28800</v>
      </c>
      <c r="S38" s="20">
        <f t="shared" ca="1" si="8"/>
        <v>22</v>
      </c>
      <c r="T38" s="21" t="s">
        <v>528</v>
      </c>
    </row>
    <row r="39" spans="1:20" hidden="1" outlineLevel="1" x14ac:dyDescent="0.3">
      <c r="A39" s="2" t="s">
        <v>121</v>
      </c>
      <c r="B39" s="2" t="s">
        <v>139</v>
      </c>
      <c r="C39" s="2" t="s">
        <v>140</v>
      </c>
      <c r="D39" s="2" t="s">
        <v>141</v>
      </c>
      <c r="E39" s="2" t="s">
        <v>69</v>
      </c>
      <c r="F39" s="3">
        <v>46110</v>
      </c>
      <c r="G39" s="6">
        <v>-30</v>
      </c>
      <c r="H39" s="3">
        <v>46155</v>
      </c>
      <c r="I39" s="5">
        <v>28800</v>
      </c>
      <c r="J39" s="2" t="s">
        <v>70</v>
      </c>
      <c r="K39" s="2" t="s">
        <v>520</v>
      </c>
      <c r="L39" s="2" t="s">
        <v>18</v>
      </c>
      <c r="M39" s="2" t="s">
        <v>18</v>
      </c>
      <c r="N39" s="18">
        <f t="shared" si="5"/>
        <v>46155</v>
      </c>
      <c r="O39" s="20">
        <f t="shared" ca="1" si="6"/>
        <v>23</v>
      </c>
      <c r="P39" s="18">
        <v>46155</v>
      </c>
      <c r="Q39" s="18">
        <f t="shared" si="3"/>
        <v>46155</v>
      </c>
      <c r="R39" s="10">
        <f t="shared" si="7"/>
        <v>28800</v>
      </c>
      <c r="S39" s="20">
        <f t="shared" ca="1" si="8"/>
        <v>22</v>
      </c>
      <c r="T39" s="21" t="s">
        <v>528</v>
      </c>
    </row>
    <row r="40" spans="1:20" hidden="1" outlineLevel="1" x14ac:dyDescent="0.3">
      <c r="A40" s="2" t="s">
        <v>121</v>
      </c>
      <c r="B40" s="2" t="s">
        <v>142</v>
      </c>
      <c r="C40" s="2" t="s">
        <v>143</v>
      </c>
      <c r="D40" s="2" t="s">
        <v>144</v>
      </c>
      <c r="E40" s="2" t="s">
        <v>69</v>
      </c>
      <c r="F40" s="3">
        <v>46110</v>
      </c>
      <c r="G40" s="6">
        <v>-30</v>
      </c>
      <c r="H40" s="3">
        <v>46155</v>
      </c>
      <c r="I40" s="5">
        <v>29300</v>
      </c>
      <c r="J40" s="2" t="s">
        <v>70</v>
      </c>
      <c r="K40" s="2" t="s">
        <v>520</v>
      </c>
      <c r="L40" s="2" t="s">
        <v>18</v>
      </c>
      <c r="M40" s="2" t="s">
        <v>18</v>
      </c>
      <c r="N40" s="18">
        <f t="shared" si="5"/>
        <v>46155</v>
      </c>
      <c r="O40" s="20">
        <f t="shared" ca="1" si="6"/>
        <v>23</v>
      </c>
      <c r="P40" s="18">
        <v>46155</v>
      </c>
      <c r="Q40" s="18">
        <f t="shared" si="3"/>
        <v>46155</v>
      </c>
      <c r="R40" s="10">
        <f t="shared" si="7"/>
        <v>29300</v>
      </c>
      <c r="S40" s="20">
        <f t="shared" ca="1" si="8"/>
        <v>22</v>
      </c>
      <c r="T40" s="21" t="s">
        <v>528</v>
      </c>
    </row>
    <row r="41" spans="1:20" hidden="1" outlineLevel="1" x14ac:dyDescent="0.3">
      <c r="A41" s="2" t="s">
        <v>147</v>
      </c>
      <c r="B41" s="2" t="s">
        <v>148</v>
      </c>
      <c r="C41" s="2" t="s">
        <v>149</v>
      </c>
      <c r="D41" s="2" t="s">
        <v>150</v>
      </c>
      <c r="E41" s="2" t="s">
        <v>78</v>
      </c>
      <c r="F41" s="3">
        <v>46112</v>
      </c>
      <c r="G41" s="4">
        <v>6</v>
      </c>
      <c r="H41" s="3">
        <v>46119</v>
      </c>
      <c r="I41" s="5">
        <v>771.72</v>
      </c>
      <c r="J41" s="2" t="s">
        <v>17</v>
      </c>
      <c r="K41" s="2" t="s">
        <v>512</v>
      </c>
      <c r="L41" s="2" t="s">
        <v>18</v>
      </c>
      <c r="M41" s="2" t="s">
        <v>18</v>
      </c>
      <c r="Q41" s="18">
        <f t="shared" ref="Q41:Q46" si="9">H41</f>
        <v>46119</v>
      </c>
      <c r="R41" s="19">
        <f t="shared" ref="R41:R46" si="10">I41/3.385</f>
        <v>227.98227474150667</v>
      </c>
    </row>
    <row r="42" spans="1:20" hidden="1" outlineLevel="1" x14ac:dyDescent="0.3">
      <c r="A42" s="2" t="s">
        <v>147</v>
      </c>
      <c r="B42" s="2" t="s">
        <v>151</v>
      </c>
      <c r="C42" s="2" t="s">
        <v>152</v>
      </c>
      <c r="D42" s="2" t="s">
        <v>153</v>
      </c>
      <c r="E42" s="2" t="s">
        <v>78</v>
      </c>
      <c r="F42" s="3">
        <v>46112</v>
      </c>
      <c r="G42" s="4">
        <v>6</v>
      </c>
      <c r="H42" s="3">
        <v>46119</v>
      </c>
      <c r="I42" s="5">
        <v>94.4</v>
      </c>
      <c r="J42" s="2" t="s">
        <v>17</v>
      </c>
      <c r="K42" s="2" t="s">
        <v>512</v>
      </c>
      <c r="L42" s="2" t="s">
        <v>18</v>
      </c>
      <c r="M42" s="2" t="s">
        <v>18</v>
      </c>
      <c r="Q42" s="18">
        <f t="shared" si="9"/>
        <v>46119</v>
      </c>
      <c r="R42" s="19">
        <f t="shared" si="10"/>
        <v>27.887740029542101</v>
      </c>
    </row>
    <row r="43" spans="1:20" hidden="1" outlineLevel="1" x14ac:dyDescent="0.3">
      <c r="A43" s="2" t="s">
        <v>147</v>
      </c>
      <c r="B43" s="2" t="s">
        <v>154</v>
      </c>
      <c r="C43" s="2" t="s">
        <v>155</v>
      </c>
      <c r="D43" s="2" t="s">
        <v>156</v>
      </c>
      <c r="E43" s="2" t="s">
        <v>78</v>
      </c>
      <c r="F43" s="3">
        <v>46119</v>
      </c>
      <c r="G43" s="6">
        <v>-1</v>
      </c>
      <c r="H43" s="3">
        <v>46126</v>
      </c>
      <c r="I43" s="5">
        <v>373.59</v>
      </c>
      <c r="J43" s="2" t="s">
        <v>17</v>
      </c>
      <c r="K43" s="2" t="s">
        <v>512</v>
      </c>
      <c r="L43" s="2" t="s">
        <v>18</v>
      </c>
      <c r="M43" s="2" t="s">
        <v>18</v>
      </c>
      <c r="Q43" s="18">
        <f t="shared" si="9"/>
        <v>46126</v>
      </c>
      <c r="R43" s="19">
        <f t="shared" si="10"/>
        <v>110.36632200886262</v>
      </c>
    </row>
    <row r="44" spans="1:20" hidden="1" outlineLevel="1" x14ac:dyDescent="0.3">
      <c r="A44" s="2" t="s">
        <v>147</v>
      </c>
      <c r="B44" s="2" t="s">
        <v>157</v>
      </c>
      <c r="C44" s="2" t="s">
        <v>158</v>
      </c>
      <c r="D44" s="2" t="s">
        <v>159</v>
      </c>
      <c r="E44" s="2" t="s">
        <v>78</v>
      </c>
      <c r="F44" s="3">
        <v>46119</v>
      </c>
      <c r="G44" s="6">
        <v>-1</v>
      </c>
      <c r="H44" s="3">
        <v>46126</v>
      </c>
      <c r="I44" s="5">
        <v>47.2</v>
      </c>
      <c r="J44" s="2" t="s">
        <v>17</v>
      </c>
      <c r="K44" s="2" t="s">
        <v>512</v>
      </c>
      <c r="L44" s="2" t="s">
        <v>18</v>
      </c>
      <c r="M44" s="2" t="s">
        <v>18</v>
      </c>
      <c r="Q44" s="18">
        <f t="shared" si="9"/>
        <v>46126</v>
      </c>
      <c r="R44" s="19">
        <f t="shared" si="10"/>
        <v>13.943870014771051</v>
      </c>
    </row>
    <row r="45" spans="1:20" hidden="1" outlineLevel="1" x14ac:dyDescent="0.3">
      <c r="A45" s="2" t="s">
        <v>147</v>
      </c>
      <c r="B45" s="2" t="s">
        <v>160</v>
      </c>
      <c r="C45" s="2" t="s">
        <v>161</v>
      </c>
      <c r="D45" s="2" t="s">
        <v>162</v>
      </c>
      <c r="E45" s="2" t="s">
        <v>78</v>
      </c>
      <c r="F45" s="3">
        <v>46120</v>
      </c>
      <c r="G45" s="6">
        <v>-2</v>
      </c>
      <c r="H45" s="3">
        <v>46127</v>
      </c>
      <c r="I45" s="5">
        <v>713.66</v>
      </c>
      <c r="J45" s="2" t="s">
        <v>17</v>
      </c>
      <c r="K45" s="2" t="s">
        <v>512</v>
      </c>
      <c r="L45" s="2" t="s">
        <v>18</v>
      </c>
      <c r="M45" s="2" t="s">
        <v>18</v>
      </c>
      <c r="Q45" s="18">
        <f t="shared" si="9"/>
        <v>46127</v>
      </c>
      <c r="R45" s="19">
        <f t="shared" si="10"/>
        <v>210.8301329394387</v>
      </c>
    </row>
    <row r="46" spans="1:20" hidden="1" outlineLevel="1" x14ac:dyDescent="0.3">
      <c r="A46" s="2" t="s">
        <v>147</v>
      </c>
      <c r="B46" s="2" t="s">
        <v>163</v>
      </c>
      <c r="C46" s="2" t="s">
        <v>164</v>
      </c>
      <c r="D46" s="2" t="s">
        <v>165</v>
      </c>
      <c r="E46" s="2" t="s">
        <v>78</v>
      </c>
      <c r="F46" s="3">
        <v>46120</v>
      </c>
      <c r="G46" s="6">
        <v>-2</v>
      </c>
      <c r="H46" s="3">
        <v>46127</v>
      </c>
      <c r="I46" s="5">
        <v>70.8</v>
      </c>
      <c r="J46" s="2" t="s">
        <v>17</v>
      </c>
      <c r="K46" s="2" t="s">
        <v>512</v>
      </c>
      <c r="L46" s="2" t="s">
        <v>18</v>
      </c>
      <c r="M46" s="2" t="s">
        <v>18</v>
      </c>
      <c r="Q46" s="18">
        <f t="shared" si="9"/>
        <v>46127</v>
      </c>
      <c r="R46" s="19">
        <f t="shared" si="10"/>
        <v>20.915805022156572</v>
      </c>
    </row>
    <row r="47" spans="1:20" hidden="1" outlineLevel="1" x14ac:dyDescent="0.3">
      <c r="A47" s="2" t="s">
        <v>166</v>
      </c>
      <c r="B47" s="2" t="s">
        <v>167</v>
      </c>
      <c r="C47" s="2" t="s">
        <v>168</v>
      </c>
      <c r="D47" s="2" t="s">
        <v>169</v>
      </c>
      <c r="E47" s="2" t="s">
        <v>16</v>
      </c>
      <c r="F47" s="3">
        <v>46118</v>
      </c>
      <c r="G47" s="4">
        <v>0</v>
      </c>
      <c r="H47" s="3">
        <v>46125</v>
      </c>
      <c r="I47" s="5">
        <v>484.04</v>
      </c>
      <c r="J47" s="2" t="s">
        <v>17</v>
      </c>
      <c r="K47" s="2" t="s">
        <v>512</v>
      </c>
      <c r="L47" s="2" t="s">
        <v>18</v>
      </c>
      <c r="M47" s="2" t="s">
        <v>18</v>
      </c>
      <c r="Q47" s="18">
        <f t="shared" ref="Q47:Q94" si="11">H47</f>
        <v>46125</v>
      </c>
      <c r="R47" s="19">
        <f t="shared" ref="R47:R88" si="12">I47/3.385</f>
        <v>142.99556868537667</v>
      </c>
    </row>
    <row r="48" spans="1:20" hidden="1" outlineLevel="1" x14ac:dyDescent="0.3">
      <c r="A48" s="2" t="s">
        <v>166</v>
      </c>
      <c r="B48" s="2" t="s">
        <v>170</v>
      </c>
      <c r="C48" s="2" t="s">
        <v>171</v>
      </c>
      <c r="D48" s="2" t="s">
        <v>172</v>
      </c>
      <c r="E48" s="2" t="s">
        <v>16</v>
      </c>
      <c r="F48" s="3">
        <v>46118</v>
      </c>
      <c r="G48" s="4">
        <v>0</v>
      </c>
      <c r="H48" s="3">
        <v>46125</v>
      </c>
      <c r="I48" s="5">
        <v>123.9</v>
      </c>
      <c r="J48" s="2" t="s">
        <v>17</v>
      </c>
      <c r="K48" s="2" t="s">
        <v>512</v>
      </c>
      <c r="L48" s="2" t="s">
        <v>18</v>
      </c>
      <c r="M48" s="2" t="s">
        <v>18</v>
      </c>
      <c r="Q48" s="18">
        <f t="shared" si="11"/>
        <v>46125</v>
      </c>
      <c r="R48" s="19">
        <f t="shared" si="12"/>
        <v>36.602658788774008</v>
      </c>
    </row>
    <row r="49" spans="1:18" hidden="1" outlineLevel="1" x14ac:dyDescent="0.3">
      <c r="A49" s="2" t="s">
        <v>166</v>
      </c>
      <c r="B49" s="2" t="s">
        <v>173</v>
      </c>
      <c r="C49" s="2" t="s">
        <v>174</v>
      </c>
      <c r="D49" s="2" t="s">
        <v>175</v>
      </c>
      <c r="E49" s="2" t="s">
        <v>16</v>
      </c>
      <c r="F49" s="3">
        <v>46119</v>
      </c>
      <c r="G49" s="4">
        <v>6</v>
      </c>
      <c r="H49" s="3">
        <v>46119</v>
      </c>
      <c r="I49" s="5">
        <v>118</v>
      </c>
      <c r="J49" s="2" t="s">
        <v>17</v>
      </c>
      <c r="K49" s="2" t="s">
        <v>512</v>
      </c>
      <c r="L49" s="2" t="s">
        <v>18</v>
      </c>
      <c r="M49" s="2" t="s">
        <v>18</v>
      </c>
      <c r="Q49" s="18">
        <f t="shared" si="11"/>
        <v>46119</v>
      </c>
      <c r="R49" s="19">
        <f t="shared" si="12"/>
        <v>34.859675036927626</v>
      </c>
    </row>
    <row r="50" spans="1:18" hidden="1" outlineLevel="1" x14ac:dyDescent="0.3">
      <c r="A50" s="2" t="s">
        <v>166</v>
      </c>
      <c r="B50" s="2" t="s">
        <v>176</v>
      </c>
      <c r="C50" s="2" t="s">
        <v>177</v>
      </c>
      <c r="D50" s="2" t="s">
        <v>178</v>
      </c>
      <c r="E50" s="2" t="s">
        <v>16</v>
      </c>
      <c r="F50" s="3">
        <v>46121</v>
      </c>
      <c r="G50" s="4">
        <v>4</v>
      </c>
      <c r="H50" s="3">
        <v>46121</v>
      </c>
      <c r="I50" s="5">
        <v>118</v>
      </c>
      <c r="J50" s="2" t="s">
        <v>17</v>
      </c>
      <c r="K50" s="2" t="s">
        <v>512</v>
      </c>
      <c r="L50" s="2" t="s">
        <v>18</v>
      </c>
      <c r="M50" s="2" t="s">
        <v>18</v>
      </c>
      <c r="Q50" s="18">
        <f t="shared" si="11"/>
        <v>46121</v>
      </c>
      <c r="R50" s="19">
        <f t="shared" si="12"/>
        <v>34.859675036927626</v>
      </c>
    </row>
    <row r="51" spans="1:18" hidden="1" outlineLevel="1" x14ac:dyDescent="0.3">
      <c r="A51" s="2" t="s">
        <v>179</v>
      </c>
      <c r="B51" s="2" t="s">
        <v>180</v>
      </c>
      <c r="C51" s="2" t="s">
        <v>181</v>
      </c>
      <c r="D51" s="2" t="s">
        <v>182</v>
      </c>
      <c r="E51" s="2" t="s">
        <v>16</v>
      </c>
      <c r="F51" s="3">
        <v>46036</v>
      </c>
      <c r="G51" s="4">
        <v>82</v>
      </c>
      <c r="H51" s="3">
        <v>46043</v>
      </c>
      <c r="I51" s="5">
        <v>231.52</v>
      </c>
      <c r="J51" s="2" t="s">
        <v>17</v>
      </c>
      <c r="K51" s="2" t="s">
        <v>512</v>
      </c>
      <c r="L51" s="2" t="s">
        <v>18</v>
      </c>
      <c r="M51" s="2" t="s">
        <v>18</v>
      </c>
      <c r="Q51" s="18">
        <f t="shared" si="11"/>
        <v>46043</v>
      </c>
      <c r="R51" s="19">
        <f t="shared" si="12"/>
        <v>68.395864106351553</v>
      </c>
    </row>
    <row r="52" spans="1:18" hidden="1" outlineLevel="1" x14ac:dyDescent="0.3">
      <c r="A52" s="2" t="s">
        <v>179</v>
      </c>
      <c r="B52" s="2" t="s">
        <v>183</v>
      </c>
      <c r="C52" s="2" t="s">
        <v>184</v>
      </c>
      <c r="D52" s="2" t="s">
        <v>185</v>
      </c>
      <c r="E52" s="2" t="s">
        <v>16</v>
      </c>
      <c r="F52" s="3">
        <v>46036</v>
      </c>
      <c r="G52" s="4">
        <v>82</v>
      </c>
      <c r="H52" s="3">
        <v>46043</v>
      </c>
      <c r="I52" s="5">
        <v>23.6</v>
      </c>
      <c r="J52" s="2" t="s">
        <v>17</v>
      </c>
      <c r="K52" s="2" t="s">
        <v>512</v>
      </c>
      <c r="L52" s="2" t="s">
        <v>18</v>
      </c>
      <c r="M52" s="2" t="s">
        <v>18</v>
      </c>
      <c r="Q52" s="18">
        <f t="shared" si="11"/>
        <v>46043</v>
      </c>
      <c r="R52" s="19">
        <f t="shared" si="12"/>
        <v>6.9719350073855253</v>
      </c>
    </row>
    <row r="53" spans="1:18" hidden="1" outlineLevel="1" x14ac:dyDescent="0.3">
      <c r="A53" s="2" t="s">
        <v>179</v>
      </c>
      <c r="B53" s="2" t="s">
        <v>186</v>
      </c>
      <c r="C53" s="2" t="s">
        <v>187</v>
      </c>
      <c r="D53" s="2" t="s">
        <v>188</v>
      </c>
      <c r="E53" s="2" t="s">
        <v>16</v>
      </c>
      <c r="F53" s="3">
        <v>46051</v>
      </c>
      <c r="G53" s="4">
        <v>67</v>
      </c>
      <c r="H53" s="3">
        <v>46058</v>
      </c>
      <c r="I53" s="5">
        <v>251.1</v>
      </c>
      <c r="J53" s="2" t="s">
        <v>17</v>
      </c>
      <c r="K53" s="2" t="s">
        <v>512</v>
      </c>
      <c r="L53" s="2" t="s">
        <v>18</v>
      </c>
      <c r="M53" s="2" t="s">
        <v>18</v>
      </c>
      <c r="Q53" s="18">
        <f t="shared" si="11"/>
        <v>46058</v>
      </c>
      <c r="R53" s="19">
        <f t="shared" si="12"/>
        <v>74.18020679468242</v>
      </c>
    </row>
    <row r="54" spans="1:18" hidden="1" outlineLevel="1" x14ac:dyDescent="0.3">
      <c r="A54" s="2" t="s">
        <v>179</v>
      </c>
      <c r="B54" s="2" t="s">
        <v>189</v>
      </c>
      <c r="C54" s="2" t="s">
        <v>190</v>
      </c>
      <c r="D54" s="2" t="s">
        <v>191</v>
      </c>
      <c r="E54" s="2" t="s">
        <v>16</v>
      </c>
      <c r="F54" s="3">
        <v>46051</v>
      </c>
      <c r="G54" s="4">
        <v>67</v>
      </c>
      <c r="H54" s="3">
        <v>46058</v>
      </c>
      <c r="I54" s="5">
        <v>47.2</v>
      </c>
      <c r="J54" s="2" t="s">
        <v>17</v>
      </c>
      <c r="K54" s="2" t="s">
        <v>512</v>
      </c>
      <c r="L54" s="2" t="s">
        <v>18</v>
      </c>
      <c r="M54" s="2" t="s">
        <v>18</v>
      </c>
      <c r="Q54" s="18">
        <f t="shared" si="11"/>
        <v>46058</v>
      </c>
      <c r="R54" s="19">
        <f t="shared" si="12"/>
        <v>13.943870014771051</v>
      </c>
    </row>
    <row r="55" spans="1:18" hidden="1" outlineLevel="1" x14ac:dyDescent="0.3">
      <c r="A55" s="2" t="s">
        <v>179</v>
      </c>
      <c r="B55" s="2" t="s">
        <v>192</v>
      </c>
      <c r="C55" s="2" t="s">
        <v>193</v>
      </c>
      <c r="D55" s="2" t="s">
        <v>194</v>
      </c>
      <c r="E55" s="2" t="s">
        <v>16</v>
      </c>
      <c r="F55" s="3">
        <v>46058</v>
      </c>
      <c r="G55" s="4">
        <v>60</v>
      </c>
      <c r="H55" s="3">
        <v>46065</v>
      </c>
      <c r="I55" s="5">
        <v>333.94</v>
      </c>
      <c r="J55" s="2" t="s">
        <v>17</v>
      </c>
      <c r="K55" s="2" t="s">
        <v>512</v>
      </c>
      <c r="L55" s="2" t="s">
        <v>18</v>
      </c>
      <c r="M55" s="2" t="s">
        <v>18</v>
      </c>
      <c r="Q55" s="18">
        <f t="shared" si="11"/>
        <v>46065</v>
      </c>
      <c r="R55" s="19">
        <f t="shared" si="12"/>
        <v>98.652880354505172</v>
      </c>
    </row>
    <row r="56" spans="1:18" hidden="1" outlineLevel="1" x14ac:dyDescent="0.3">
      <c r="A56" s="2" t="s">
        <v>179</v>
      </c>
      <c r="B56" s="2" t="s">
        <v>195</v>
      </c>
      <c r="C56" s="2" t="s">
        <v>196</v>
      </c>
      <c r="D56" s="2" t="s">
        <v>197</v>
      </c>
      <c r="E56" s="2" t="s">
        <v>16</v>
      </c>
      <c r="F56" s="3">
        <v>46058</v>
      </c>
      <c r="G56" s="4">
        <v>60</v>
      </c>
      <c r="H56" s="3">
        <v>46065</v>
      </c>
      <c r="I56" s="5">
        <v>47.2</v>
      </c>
      <c r="J56" s="2" t="s">
        <v>17</v>
      </c>
      <c r="K56" s="2" t="s">
        <v>512</v>
      </c>
      <c r="L56" s="2" t="s">
        <v>18</v>
      </c>
      <c r="M56" s="2" t="s">
        <v>18</v>
      </c>
      <c r="Q56" s="18">
        <f t="shared" si="11"/>
        <v>46065</v>
      </c>
      <c r="R56" s="19">
        <f t="shared" si="12"/>
        <v>13.943870014771051</v>
      </c>
    </row>
    <row r="57" spans="1:18" hidden="1" outlineLevel="1" x14ac:dyDescent="0.3">
      <c r="A57" s="2" t="s">
        <v>179</v>
      </c>
      <c r="B57" s="2" t="s">
        <v>198</v>
      </c>
      <c r="C57" s="2" t="s">
        <v>199</v>
      </c>
      <c r="D57" s="2" t="s">
        <v>200</v>
      </c>
      <c r="E57" s="2" t="s">
        <v>16</v>
      </c>
      <c r="F57" s="3">
        <v>46102</v>
      </c>
      <c r="G57" s="4">
        <v>16</v>
      </c>
      <c r="H57" s="3">
        <v>46109</v>
      </c>
      <c r="I57" s="5">
        <v>367.07</v>
      </c>
      <c r="J57" s="2" t="s">
        <v>17</v>
      </c>
      <c r="K57" s="2" t="s">
        <v>512</v>
      </c>
      <c r="L57" s="2" t="s">
        <v>18</v>
      </c>
      <c r="M57" s="2" t="s">
        <v>18</v>
      </c>
      <c r="Q57" s="18">
        <f t="shared" si="11"/>
        <v>46109</v>
      </c>
      <c r="R57" s="19">
        <f t="shared" si="12"/>
        <v>108.44017725258495</v>
      </c>
    </row>
    <row r="58" spans="1:18" hidden="1" outlineLevel="1" x14ac:dyDescent="0.3">
      <c r="A58" s="2" t="s">
        <v>179</v>
      </c>
      <c r="B58" s="2" t="s">
        <v>201</v>
      </c>
      <c r="C58" s="2" t="s">
        <v>202</v>
      </c>
      <c r="D58" s="2" t="s">
        <v>203</v>
      </c>
      <c r="E58" s="2" t="s">
        <v>16</v>
      </c>
      <c r="F58" s="3">
        <v>46102</v>
      </c>
      <c r="G58" s="4">
        <v>16</v>
      </c>
      <c r="H58" s="3">
        <v>46109</v>
      </c>
      <c r="I58" s="5">
        <v>135.69999999999999</v>
      </c>
      <c r="J58" s="2" t="s">
        <v>17</v>
      </c>
      <c r="K58" s="2" t="s">
        <v>512</v>
      </c>
      <c r="L58" s="2" t="s">
        <v>18</v>
      </c>
      <c r="M58" s="2" t="s">
        <v>18</v>
      </c>
      <c r="Q58" s="18">
        <f t="shared" si="11"/>
        <v>46109</v>
      </c>
      <c r="R58" s="19">
        <f t="shared" si="12"/>
        <v>40.088626292466763</v>
      </c>
    </row>
    <row r="59" spans="1:18" hidden="1" outlineLevel="1" x14ac:dyDescent="0.3">
      <c r="A59" s="2" t="s">
        <v>179</v>
      </c>
      <c r="B59" s="2" t="s">
        <v>204</v>
      </c>
      <c r="C59" s="2" t="s">
        <v>205</v>
      </c>
      <c r="D59" s="2" t="s">
        <v>206</v>
      </c>
      <c r="E59" s="2" t="s">
        <v>16</v>
      </c>
      <c r="F59" s="3">
        <v>46104</v>
      </c>
      <c r="G59" s="4">
        <v>14</v>
      </c>
      <c r="H59" s="3">
        <v>46111</v>
      </c>
      <c r="I59" s="5">
        <v>257</v>
      </c>
      <c r="J59" s="2" t="s">
        <v>17</v>
      </c>
      <c r="K59" s="2" t="s">
        <v>512</v>
      </c>
      <c r="L59" s="2" t="s">
        <v>18</v>
      </c>
      <c r="M59" s="2" t="s">
        <v>18</v>
      </c>
      <c r="Q59" s="18">
        <f t="shared" si="11"/>
        <v>46111</v>
      </c>
      <c r="R59" s="19">
        <f t="shared" si="12"/>
        <v>75.923190546528815</v>
      </c>
    </row>
    <row r="60" spans="1:18" hidden="1" outlineLevel="1" x14ac:dyDescent="0.3">
      <c r="A60" s="2" t="s">
        <v>179</v>
      </c>
      <c r="B60" s="2" t="s">
        <v>207</v>
      </c>
      <c r="C60" s="2" t="s">
        <v>208</v>
      </c>
      <c r="D60" s="2" t="s">
        <v>209</v>
      </c>
      <c r="E60" s="2" t="s">
        <v>16</v>
      </c>
      <c r="F60" s="3">
        <v>46104</v>
      </c>
      <c r="G60" s="4">
        <v>14</v>
      </c>
      <c r="H60" s="3">
        <v>46111</v>
      </c>
      <c r="I60" s="5">
        <v>35.4</v>
      </c>
      <c r="J60" s="2" t="s">
        <v>17</v>
      </c>
      <c r="K60" s="2" t="s">
        <v>512</v>
      </c>
      <c r="L60" s="2" t="s">
        <v>18</v>
      </c>
      <c r="M60" s="2" t="s">
        <v>18</v>
      </c>
      <c r="Q60" s="18">
        <f t="shared" si="11"/>
        <v>46111</v>
      </c>
      <c r="R60" s="19">
        <f t="shared" si="12"/>
        <v>10.457902511078286</v>
      </c>
    </row>
    <row r="61" spans="1:18" hidden="1" outlineLevel="1" x14ac:dyDescent="0.3">
      <c r="A61" s="2" t="s">
        <v>179</v>
      </c>
      <c r="B61" s="2" t="s">
        <v>210</v>
      </c>
      <c r="C61" s="2" t="s">
        <v>211</v>
      </c>
      <c r="D61" s="2" t="s">
        <v>212</v>
      </c>
      <c r="E61" s="2" t="s">
        <v>16</v>
      </c>
      <c r="F61" s="3">
        <v>46105</v>
      </c>
      <c r="G61" s="4">
        <v>13</v>
      </c>
      <c r="H61" s="3">
        <v>46112</v>
      </c>
      <c r="I61" s="5">
        <v>262.67</v>
      </c>
      <c r="J61" s="2" t="s">
        <v>17</v>
      </c>
      <c r="K61" s="2" t="s">
        <v>512</v>
      </c>
      <c r="L61" s="2" t="s">
        <v>18</v>
      </c>
      <c r="M61" s="2" t="s">
        <v>18</v>
      </c>
      <c r="Q61" s="18">
        <f t="shared" si="11"/>
        <v>46112</v>
      </c>
      <c r="R61" s="19">
        <f t="shared" si="12"/>
        <v>77.598227474150676</v>
      </c>
    </row>
    <row r="62" spans="1:18" hidden="1" outlineLevel="1" x14ac:dyDescent="0.3">
      <c r="A62" s="2" t="s">
        <v>179</v>
      </c>
      <c r="B62" s="2" t="s">
        <v>213</v>
      </c>
      <c r="C62" s="2" t="s">
        <v>214</v>
      </c>
      <c r="D62" s="2" t="s">
        <v>215</v>
      </c>
      <c r="E62" s="2" t="s">
        <v>16</v>
      </c>
      <c r="F62" s="3">
        <v>46105</v>
      </c>
      <c r="G62" s="4">
        <v>13</v>
      </c>
      <c r="H62" s="3">
        <v>46112</v>
      </c>
      <c r="I62" s="5">
        <v>47.2</v>
      </c>
      <c r="J62" s="2" t="s">
        <v>17</v>
      </c>
      <c r="K62" s="2" t="s">
        <v>512</v>
      </c>
      <c r="L62" s="2" t="s">
        <v>18</v>
      </c>
      <c r="M62" s="2" t="s">
        <v>18</v>
      </c>
      <c r="Q62" s="18">
        <f t="shared" si="11"/>
        <v>46112</v>
      </c>
      <c r="R62" s="19">
        <f t="shared" si="12"/>
        <v>13.943870014771051</v>
      </c>
    </row>
    <row r="63" spans="1:18" hidden="1" outlineLevel="1" x14ac:dyDescent="0.3">
      <c r="A63" s="2" t="s">
        <v>179</v>
      </c>
      <c r="B63" s="2" t="s">
        <v>216</v>
      </c>
      <c r="C63" s="2" t="s">
        <v>217</v>
      </c>
      <c r="D63" s="2" t="s">
        <v>218</v>
      </c>
      <c r="E63" s="2" t="s">
        <v>16</v>
      </c>
      <c r="F63" s="3">
        <v>46105</v>
      </c>
      <c r="G63" s="4">
        <v>13</v>
      </c>
      <c r="H63" s="3">
        <v>46112</v>
      </c>
      <c r="I63" s="5">
        <v>181.01</v>
      </c>
      <c r="J63" s="2" t="s">
        <v>17</v>
      </c>
      <c r="K63" s="2" t="s">
        <v>512</v>
      </c>
      <c r="L63" s="2" t="s">
        <v>18</v>
      </c>
      <c r="M63" s="2" t="s">
        <v>18</v>
      </c>
      <c r="Q63" s="18">
        <f t="shared" si="11"/>
        <v>46112</v>
      </c>
      <c r="R63" s="19">
        <f t="shared" si="12"/>
        <v>53.474150664697191</v>
      </c>
    </row>
    <row r="64" spans="1:18" hidden="1" outlineLevel="1" x14ac:dyDescent="0.3">
      <c r="A64" s="2" t="s">
        <v>179</v>
      </c>
      <c r="B64" s="2" t="s">
        <v>219</v>
      </c>
      <c r="C64" s="2" t="s">
        <v>220</v>
      </c>
      <c r="D64" s="2" t="s">
        <v>221</v>
      </c>
      <c r="E64" s="2" t="s">
        <v>16</v>
      </c>
      <c r="F64" s="3">
        <v>46105</v>
      </c>
      <c r="G64" s="4">
        <v>13</v>
      </c>
      <c r="H64" s="3">
        <v>46112</v>
      </c>
      <c r="I64" s="5">
        <v>35.4</v>
      </c>
      <c r="J64" s="2" t="s">
        <v>17</v>
      </c>
      <c r="K64" s="2" t="s">
        <v>512</v>
      </c>
      <c r="L64" s="2" t="s">
        <v>18</v>
      </c>
      <c r="M64" s="2" t="s">
        <v>18</v>
      </c>
      <c r="Q64" s="18">
        <f t="shared" si="11"/>
        <v>46112</v>
      </c>
      <c r="R64" s="19">
        <f t="shared" si="12"/>
        <v>10.457902511078286</v>
      </c>
    </row>
    <row r="65" spans="1:18" hidden="1" outlineLevel="1" x14ac:dyDescent="0.3">
      <c r="A65" s="2" t="s">
        <v>179</v>
      </c>
      <c r="B65" s="2" t="s">
        <v>222</v>
      </c>
      <c r="C65" s="2" t="s">
        <v>223</v>
      </c>
      <c r="D65" s="2" t="s">
        <v>224</v>
      </c>
      <c r="E65" s="2" t="s">
        <v>16</v>
      </c>
      <c r="F65" s="3">
        <v>46111</v>
      </c>
      <c r="G65" s="4">
        <v>7</v>
      </c>
      <c r="H65" s="3">
        <v>46118</v>
      </c>
      <c r="I65" s="5">
        <v>293.35000000000002</v>
      </c>
      <c r="J65" s="2" t="s">
        <v>17</v>
      </c>
      <c r="K65" s="2" t="s">
        <v>512</v>
      </c>
      <c r="L65" s="2" t="s">
        <v>18</v>
      </c>
      <c r="M65" s="2" t="s">
        <v>18</v>
      </c>
      <c r="Q65" s="18">
        <f t="shared" si="11"/>
        <v>46118</v>
      </c>
      <c r="R65" s="19">
        <f t="shared" si="12"/>
        <v>86.661742983751864</v>
      </c>
    </row>
    <row r="66" spans="1:18" hidden="1" outlineLevel="1" x14ac:dyDescent="0.3">
      <c r="A66" s="2" t="s">
        <v>179</v>
      </c>
      <c r="B66" s="2" t="s">
        <v>225</v>
      </c>
      <c r="C66" s="2" t="s">
        <v>226</v>
      </c>
      <c r="D66" s="2" t="s">
        <v>227</v>
      </c>
      <c r="E66" s="2" t="s">
        <v>16</v>
      </c>
      <c r="F66" s="3">
        <v>46111</v>
      </c>
      <c r="G66" s="4">
        <v>7</v>
      </c>
      <c r="H66" s="3">
        <v>46118</v>
      </c>
      <c r="I66" s="5">
        <v>47.2</v>
      </c>
      <c r="J66" s="2" t="s">
        <v>17</v>
      </c>
      <c r="K66" s="2" t="s">
        <v>512</v>
      </c>
      <c r="L66" s="2" t="s">
        <v>18</v>
      </c>
      <c r="M66" s="2" t="s">
        <v>18</v>
      </c>
      <c r="Q66" s="18">
        <f t="shared" si="11"/>
        <v>46118</v>
      </c>
      <c r="R66" s="19">
        <f t="shared" si="12"/>
        <v>13.943870014771051</v>
      </c>
    </row>
    <row r="67" spans="1:18" hidden="1" outlineLevel="1" x14ac:dyDescent="0.3">
      <c r="A67" s="2" t="s">
        <v>179</v>
      </c>
      <c r="B67" s="2" t="s">
        <v>228</v>
      </c>
      <c r="C67" s="2" t="s">
        <v>229</v>
      </c>
      <c r="D67" s="2" t="s">
        <v>230</v>
      </c>
      <c r="E67" s="2" t="s">
        <v>16</v>
      </c>
      <c r="F67" s="3">
        <v>46112</v>
      </c>
      <c r="G67" s="4">
        <v>6</v>
      </c>
      <c r="H67" s="3">
        <v>46119</v>
      </c>
      <c r="I67" s="5">
        <v>670.71</v>
      </c>
      <c r="J67" s="2" t="s">
        <v>17</v>
      </c>
      <c r="K67" s="2" t="s">
        <v>512</v>
      </c>
      <c r="L67" s="2" t="s">
        <v>18</v>
      </c>
      <c r="M67" s="2" t="s">
        <v>18</v>
      </c>
      <c r="Q67" s="18">
        <f t="shared" si="11"/>
        <v>46119</v>
      </c>
      <c r="R67" s="19">
        <f t="shared" si="12"/>
        <v>198.14180206794686</v>
      </c>
    </row>
    <row r="68" spans="1:18" hidden="1" outlineLevel="1" x14ac:dyDescent="0.3">
      <c r="A68" s="2" t="s">
        <v>179</v>
      </c>
      <c r="B68" s="2" t="s">
        <v>231</v>
      </c>
      <c r="C68" s="2" t="s">
        <v>232</v>
      </c>
      <c r="D68" s="2" t="s">
        <v>233</v>
      </c>
      <c r="E68" s="2" t="s">
        <v>16</v>
      </c>
      <c r="F68" s="3">
        <v>46112</v>
      </c>
      <c r="G68" s="4">
        <v>6</v>
      </c>
      <c r="H68" s="3">
        <v>46119</v>
      </c>
      <c r="I68" s="5">
        <v>70.8</v>
      </c>
      <c r="J68" s="2" t="s">
        <v>17</v>
      </c>
      <c r="K68" s="2" t="s">
        <v>512</v>
      </c>
      <c r="L68" s="2" t="s">
        <v>18</v>
      </c>
      <c r="M68" s="2" t="s">
        <v>18</v>
      </c>
      <c r="Q68" s="18">
        <f t="shared" si="11"/>
        <v>46119</v>
      </c>
      <c r="R68" s="19">
        <f t="shared" si="12"/>
        <v>20.915805022156572</v>
      </c>
    </row>
    <row r="69" spans="1:18" hidden="1" outlineLevel="1" x14ac:dyDescent="0.3">
      <c r="A69" s="2" t="s">
        <v>179</v>
      </c>
      <c r="B69" s="2" t="s">
        <v>234</v>
      </c>
      <c r="C69" s="2" t="s">
        <v>235</v>
      </c>
      <c r="D69" s="2" t="s">
        <v>236</v>
      </c>
      <c r="E69" s="2" t="s">
        <v>16</v>
      </c>
      <c r="F69" s="3">
        <v>46112</v>
      </c>
      <c r="G69" s="4">
        <v>6</v>
      </c>
      <c r="H69" s="3">
        <v>46119</v>
      </c>
      <c r="I69" s="5">
        <v>268.10000000000002</v>
      </c>
      <c r="J69" s="2" t="s">
        <v>17</v>
      </c>
      <c r="K69" s="2" t="s">
        <v>512</v>
      </c>
      <c r="L69" s="2" t="s">
        <v>18</v>
      </c>
      <c r="M69" s="2" t="s">
        <v>18</v>
      </c>
      <c r="Q69" s="18">
        <f t="shared" si="11"/>
        <v>46119</v>
      </c>
      <c r="R69" s="19">
        <f t="shared" si="12"/>
        <v>79.202363367799123</v>
      </c>
    </row>
    <row r="70" spans="1:18" hidden="1" outlineLevel="1" x14ac:dyDescent="0.3">
      <c r="A70" s="2" t="s">
        <v>179</v>
      </c>
      <c r="B70" s="2" t="s">
        <v>237</v>
      </c>
      <c r="C70" s="2" t="s">
        <v>238</v>
      </c>
      <c r="D70" s="2" t="s">
        <v>239</v>
      </c>
      <c r="E70" s="2" t="s">
        <v>16</v>
      </c>
      <c r="F70" s="3">
        <v>46112</v>
      </c>
      <c r="G70" s="4">
        <v>6</v>
      </c>
      <c r="H70" s="3">
        <v>46119</v>
      </c>
      <c r="I70" s="5">
        <v>47.2</v>
      </c>
      <c r="J70" s="2" t="s">
        <v>17</v>
      </c>
      <c r="K70" s="2" t="s">
        <v>512</v>
      </c>
      <c r="L70" s="2" t="s">
        <v>18</v>
      </c>
      <c r="M70" s="2" t="s">
        <v>18</v>
      </c>
      <c r="Q70" s="18">
        <f t="shared" si="11"/>
        <v>46119</v>
      </c>
      <c r="R70" s="19">
        <f t="shared" si="12"/>
        <v>13.943870014771051</v>
      </c>
    </row>
    <row r="71" spans="1:18" hidden="1" outlineLevel="1" x14ac:dyDescent="0.3">
      <c r="A71" s="2" t="s">
        <v>179</v>
      </c>
      <c r="B71" s="2" t="s">
        <v>240</v>
      </c>
      <c r="C71" s="2" t="s">
        <v>241</v>
      </c>
      <c r="D71" s="2" t="s">
        <v>242</v>
      </c>
      <c r="E71" s="2" t="s">
        <v>16</v>
      </c>
      <c r="F71" s="3">
        <v>46113</v>
      </c>
      <c r="G71" s="4">
        <v>5</v>
      </c>
      <c r="H71" s="3">
        <v>46120</v>
      </c>
      <c r="I71" s="5">
        <v>1010.32</v>
      </c>
      <c r="J71" s="2" t="s">
        <v>17</v>
      </c>
      <c r="K71" s="2" t="s">
        <v>512</v>
      </c>
      <c r="L71" s="2" t="s">
        <v>18</v>
      </c>
      <c r="M71" s="2" t="s">
        <v>18</v>
      </c>
      <c r="Q71" s="18">
        <f t="shared" si="11"/>
        <v>46120</v>
      </c>
      <c r="R71" s="19">
        <f t="shared" si="12"/>
        <v>298.46971935007389</v>
      </c>
    </row>
    <row r="72" spans="1:18" hidden="1" outlineLevel="1" x14ac:dyDescent="0.3">
      <c r="A72" s="2" t="s">
        <v>179</v>
      </c>
      <c r="B72" s="2" t="s">
        <v>243</v>
      </c>
      <c r="C72" s="2" t="s">
        <v>244</v>
      </c>
      <c r="D72" s="2" t="s">
        <v>245</v>
      </c>
      <c r="E72" s="2" t="s">
        <v>16</v>
      </c>
      <c r="F72" s="3">
        <v>46113</v>
      </c>
      <c r="G72" s="4">
        <v>5</v>
      </c>
      <c r="H72" s="3">
        <v>46120</v>
      </c>
      <c r="I72" s="5">
        <v>94.4</v>
      </c>
      <c r="J72" s="2" t="s">
        <v>17</v>
      </c>
      <c r="K72" s="2" t="s">
        <v>512</v>
      </c>
      <c r="L72" s="2" t="s">
        <v>18</v>
      </c>
      <c r="M72" s="2" t="s">
        <v>18</v>
      </c>
      <c r="Q72" s="18">
        <f t="shared" si="11"/>
        <v>46120</v>
      </c>
      <c r="R72" s="19">
        <f t="shared" si="12"/>
        <v>27.887740029542101</v>
      </c>
    </row>
    <row r="73" spans="1:18" hidden="1" outlineLevel="1" x14ac:dyDescent="0.3">
      <c r="A73" s="2" t="s">
        <v>179</v>
      </c>
      <c r="B73" s="2" t="s">
        <v>246</v>
      </c>
      <c r="C73" s="2" t="s">
        <v>247</v>
      </c>
      <c r="D73" s="2" t="s">
        <v>248</v>
      </c>
      <c r="E73" s="2" t="s">
        <v>16</v>
      </c>
      <c r="F73" s="3">
        <v>46116</v>
      </c>
      <c r="G73" s="4">
        <v>2</v>
      </c>
      <c r="H73" s="3">
        <v>46123</v>
      </c>
      <c r="I73" s="5">
        <v>849.84</v>
      </c>
      <c r="J73" s="2" t="s">
        <v>17</v>
      </c>
      <c r="K73" s="2" t="s">
        <v>512</v>
      </c>
      <c r="L73" s="2" t="s">
        <v>18</v>
      </c>
      <c r="M73" s="2" t="s">
        <v>18</v>
      </c>
      <c r="Q73" s="18">
        <f t="shared" si="11"/>
        <v>46123</v>
      </c>
      <c r="R73" s="19">
        <f t="shared" si="12"/>
        <v>251.06056129985231</v>
      </c>
    </row>
    <row r="74" spans="1:18" hidden="1" outlineLevel="1" x14ac:dyDescent="0.3">
      <c r="A74" s="2" t="s">
        <v>179</v>
      </c>
      <c r="B74" s="2" t="s">
        <v>249</v>
      </c>
      <c r="C74" s="2" t="s">
        <v>250</v>
      </c>
      <c r="D74" s="2" t="s">
        <v>251</v>
      </c>
      <c r="E74" s="2" t="s">
        <v>16</v>
      </c>
      <c r="F74" s="3">
        <v>46116</v>
      </c>
      <c r="G74" s="4">
        <v>2</v>
      </c>
      <c r="H74" s="3">
        <v>46123</v>
      </c>
      <c r="I74" s="5">
        <v>94.4</v>
      </c>
      <c r="J74" s="2" t="s">
        <v>17</v>
      </c>
      <c r="K74" s="2" t="s">
        <v>512</v>
      </c>
      <c r="L74" s="2" t="s">
        <v>18</v>
      </c>
      <c r="M74" s="2" t="s">
        <v>18</v>
      </c>
      <c r="Q74" s="18">
        <f t="shared" si="11"/>
        <v>46123</v>
      </c>
      <c r="R74" s="19">
        <f t="shared" si="12"/>
        <v>27.887740029542101</v>
      </c>
    </row>
    <row r="75" spans="1:18" hidden="1" outlineLevel="1" x14ac:dyDescent="0.3">
      <c r="A75" s="2" t="s">
        <v>179</v>
      </c>
      <c r="B75" s="2" t="s">
        <v>252</v>
      </c>
      <c r="C75" s="2" t="s">
        <v>253</v>
      </c>
      <c r="D75" s="2" t="s">
        <v>254</v>
      </c>
      <c r="E75" s="2" t="s">
        <v>16</v>
      </c>
      <c r="F75" s="3">
        <v>46117</v>
      </c>
      <c r="G75" s="4">
        <v>1</v>
      </c>
      <c r="H75" s="3">
        <v>46124</v>
      </c>
      <c r="I75" s="5">
        <v>188.33</v>
      </c>
      <c r="J75" s="2" t="s">
        <v>17</v>
      </c>
      <c r="K75" s="2" t="s">
        <v>512</v>
      </c>
      <c r="L75" s="2" t="s">
        <v>18</v>
      </c>
      <c r="M75" s="2" t="s">
        <v>18</v>
      </c>
      <c r="Q75" s="18">
        <f t="shared" si="11"/>
        <v>46124</v>
      </c>
      <c r="R75" s="19">
        <f t="shared" si="12"/>
        <v>55.636632200886268</v>
      </c>
    </row>
    <row r="76" spans="1:18" hidden="1" outlineLevel="1" x14ac:dyDescent="0.3">
      <c r="A76" s="2" t="s">
        <v>179</v>
      </c>
      <c r="B76" s="2" t="s">
        <v>255</v>
      </c>
      <c r="C76" s="2" t="s">
        <v>256</v>
      </c>
      <c r="D76" s="2" t="s">
        <v>257</v>
      </c>
      <c r="E76" s="2" t="s">
        <v>16</v>
      </c>
      <c r="F76" s="3">
        <v>46117</v>
      </c>
      <c r="G76" s="4">
        <v>1</v>
      </c>
      <c r="H76" s="3">
        <v>46124</v>
      </c>
      <c r="I76" s="5">
        <v>47.2</v>
      </c>
      <c r="J76" s="2" t="s">
        <v>17</v>
      </c>
      <c r="K76" s="2" t="s">
        <v>512</v>
      </c>
      <c r="L76" s="2" t="s">
        <v>18</v>
      </c>
      <c r="M76" s="2" t="s">
        <v>18</v>
      </c>
      <c r="Q76" s="18">
        <f t="shared" si="11"/>
        <v>46124</v>
      </c>
      <c r="R76" s="19">
        <f t="shared" si="12"/>
        <v>13.943870014771051</v>
      </c>
    </row>
    <row r="77" spans="1:18" hidden="1" outlineLevel="1" x14ac:dyDescent="0.3">
      <c r="A77" s="2" t="s">
        <v>179</v>
      </c>
      <c r="B77" s="2" t="s">
        <v>258</v>
      </c>
      <c r="C77" s="2" t="s">
        <v>259</v>
      </c>
      <c r="D77" s="2" t="s">
        <v>260</v>
      </c>
      <c r="E77" s="2" t="s">
        <v>16</v>
      </c>
      <c r="F77" s="3">
        <v>46118</v>
      </c>
      <c r="G77" s="4">
        <v>0</v>
      </c>
      <c r="H77" s="3">
        <v>46125</v>
      </c>
      <c r="I77" s="5">
        <v>280.13</v>
      </c>
      <c r="J77" s="2" t="s">
        <v>17</v>
      </c>
      <c r="K77" s="2" t="s">
        <v>512</v>
      </c>
      <c r="L77" s="2" t="s">
        <v>18</v>
      </c>
      <c r="M77" s="2" t="s">
        <v>18</v>
      </c>
      <c r="Q77" s="18">
        <f t="shared" si="11"/>
        <v>46125</v>
      </c>
      <c r="R77" s="19">
        <f t="shared" si="12"/>
        <v>82.756277695716406</v>
      </c>
    </row>
    <row r="78" spans="1:18" hidden="1" outlineLevel="1" x14ac:dyDescent="0.3">
      <c r="A78" s="2" t="s">
        <v>179</v>
      </c>
      <c r="B78" s="2" t="s">
        <v>261</v>
      </c>
      <c r="C78" s="2" t="s">
        <v>262</v>
      </c>
      <c r="D78" s="2" t="s">
        <v>263</v>
      </c>
      <c r="E78" s="2" t="s">
        <v>16</v>
      </c>
      <c r="F78" s="3">
        <v>46118</v>
      </c>
      <c r="G78" s="4">
        <v>0</v>
      </c>
      <c r="H78" s="3">
        <v>46125</v>
      </c>
      <c r="I78" s="5">
        <v>47.2</v>
      </c>
      <c r="J78" s="2" t="s">
        <v>17</v>
      </c>
      <c r="K78" s="2" t="s">
        <v>512</v>
      </c>
      <c r="L78" s="2" t="s">
        <v>18</v>
      </c>
      <c r="M78" s="2" t="s">
        <v>18</v>
      </c>
      <c r="Q78" s="18">
        <f t="shared" si="11"/>
        <v>46125</v>
      </c>
      <c r="R78" s="19">
        <f t="shared" si="12"/>
        <v>13.943870014771051</v>
      </c>
    </row>
    <row r="79" spans="1:18" hidden="1" outlineLevel="1" x14ac:dyDescent="0.3">
      <c r="A79" s="2" t="s">
        <v>179</v>
      </c>
      <c r="B79" s="2" t="s">
        <v>264</v>
      </c>
      <c r="C79" s="2" t="s">
        <v>265</v>
      </c>
      <c r="D79" s="2" t="s">
        <v>266</v>
      </c>
      <c r="E79" s="2" t="s">
        <v>16</v>
      </c>
      <c r="F79" s="3">
        <v>46119</v>
      </c>
      <c r="G79" s="6">
        <v>-1</v>
      </c>
      <c r="H79" s="3">
        <v>46126</v>
      </c>
      <c r="I79" s="5">
        <v>321.2</v>
      </c>
      <c r="J79" s="2" t="s">
        <v>17</v>
      </c>
      <c r="K79" s="2" t="s">
        <v>512</v>
      </c>
      <c r="L79" s="2" t="s">
        <v>18</v>
      </c>
      <c r="M79" s="2" t="s">
        <v>18</v>
      </c>
      <c r="Q79" s="18">
        <f t="shared" si="11"/>
        <v>46126</v>
      </c>
      <c r="R79" s="19">
        <f t="shared" si="12"/>
        <v>94.88921713441654</v>
      </c>
    </row>
    <row r="80" spans="1:18" hidden="1" outlineLevel="1" x14ac:dyDescent="0.3">
      <c r="A80" s="2" t="s">
        <v>179</v>
      </c>
      <c r="B80" s="2" t="s">
        <v>267</v>
      </c>
      <c r="C80" s="2" t="s">
        <v>268</v>
      </c>
      <c r="D80" s="2" t="s">
        <v>269</v>
      </c>
      <c r="E80" s="2" t="s">
        <v>16</v>
      </c>
      <c r="F80" s="3">
        <v>46119</v>
      </c>
      <c r="G80" s="6">
        <v>-1</v>
      </c>
      <c r="H80" s="3">
        <v>46126</v>
      </c>
      <c r="I80" s="5">
        <v>47.2</v>
      </c>
      <c r="J80" s="2" t="s">
        <v>17</v>
      </c>
      <c r="K80" s="2" t="s">
        <v>512</v>
      </c>
      <c r="L80" s="2" t="s">
        <v>18</v>
      </c>
      <c r="M80" s="2" t="s">
        <v>18</v>
      </c>
      <c r="Q80" s="18">
        <f t="shared" si="11"/>
        <v>46126</v>
      </c>
      <c r="R80" s="19">
        <f t="shared" si="12"/>
        <v>13.943870014771051</v>
      </c>
    </row>
    <row r="81" spans="1:20" hidden="1" outlineLevel="1" x14ac:dyDescent="0.3">
      <c r="A81" s="2" t="s">
        <v>179</v>
      </c>
      <c r="B81" s="2" t="s">
        <v>270</v>
      </c>
      <c r="C81" s="2" t="s">
        <v>271</v>
      </c>
      <c r="D81" s="2" t="s">
        <v>272</v>
      </c>
      <c r="E81" s="2" t="s">
        <v>16</v>
      </c>
      <c r="F81" s="3">
        <v>46120</v>
      </c>
      <c r="G81" s="6">
        <v>-2</v>
      </c>
      <c r="H81" s="3">
        <v>46127</v>
      </c>
      <c r="I81" s="5">
        <v>298.3</v>
      </c>
      <c r="J81" s="2" t="s">
        <v>17</v>
      </c>
      <c r="K81" s="2" t="s">
        <v>512</v>
      </c>
      <c r="L81" s="2" t="s">
        <v>18</v>
      </c>
      <c r="M81" s="2" t="s">
        <v>18</v>
      </c>
      <c r="Q81" s="18">
        <f t="shared" si="11"/>
        <v>46127</v>
      </c>
      <c r="R81" s="19">
        <f t="shared" si="12"/>
        <v>88.124076809453484</v>
      </c>
    </row>
    <row r="82" spans="1:20" hidden="1" outlineLevel="1" x14ac:dyDescent="0.3">
      <c r="A82" s="2" t="s">
        <v>179</v>
      </c>
      <c r="B82" s="2" t="s">
        <v>273</v>
      </c>
      <c r="C82" s="2" t="s">
        <v>274</v>
      </c>
      <c r="D82" s="2" t="s">
        <v>275</v>
      </c>
      <c r="E82" s="2" t="s">
        <v>16</v>
      </c>
      <c r="F82" s="3">
        <v>46120</v>
      </c>
      <c r="G82" s="6">
        <v>-2</v>
      </c>
      <c r="H82" s="3">
        <v>46127</v>
      </c>
      <c r="I82" s="5">
        <v>47.2</v>
      </c>
      <c r="J82" s="2" t="s">
        <v>17</v>
      </c>
      <c r="K82" s="2" t="s">
        <v>512</v>
      </c>
      <c r="L82" s="2" t="s">
        <v>18</v>
      </c>
      <c r="M82" s="2" t="s">
        <v>18</v>
      </c>
      <c r="Q82" s="18">
        <f t="shared" si="11"/>
        <v>46127</v>
      </c>
      <c r="R82" s="19">
        <f t="shared" si="12"/>
        <v>13.943870014771051</v>
      </c>
    </row>
    <row r="83" spans="1:20" hidden="1" outlineLevel="1" x14ac:dyDescent="0.3">
      <c r="A83" s="2" t="s">
        <v>179</v>
      </c>
      <c r="B83" s="2" t="s">
        <v>276</v>
      </c>
      <c r="C83" s="2" t="s">
        <v>277</v>
      </c>
      <c r="D83" s="2" t="s">
        <v>278</v>
      </c>
      <c r="E83" s="2" t="s">
        <v>16</v>
      </c>
      <c r="F83" s="3">
        <v>46120</v>
      </c>
      <c r="G83" s="6">
        <v>-2</v>
      </c>
      <c r="H83" s="3">
        <v>46127</v>
      </c>
      <c r="I83" s="5">
        <v>602.65</v>
      </c>
      <c r="J83" s="2" t="s">
        <v>17</v>
      </c>
      <c r="K83" s="2" t="s">
        <v>512</v>
      </c>
      <c r="L83" s="2" t="s">
        <v>18</v>
      </c>
      <c r="M83" s="2" t="s">
        <v>18</v>
      </c>
      <c r="Q83" s="18">
        <f t="shared" si="11"/>
        <v>46127</v>
      </c>
      <c r="R83" s="19">
        <f t="shared" si="12"/>
        <v>178.03545051698671</v>
      </c>
    </row>
    <row r="84" spans="1:20" hidden="1" outlineLevel="1" x14ac:dyDescent="0.3">
      <c r="A84" s="2" t="s">
        <v>179</v>
      </c>
      <c r="B84" s="2" t="s">
        <v>279</v>
      </c>
      <c r="C84" s="2" t="s">
        <v>280</v>
      </c>
      <c r="D84" s="2" t="s">
        <v>281</v>
      </c>
      <c r="E84" s="2" t="s">
        <v>16</v>
      </c>
      <c r="F84" s="3">
        <v>46120</v>
      </c>
      <c r="G84" s="6">
        <v>-2</v>
      </c>
      <c r="H84" s="3">
        <v>46127</v>
      </c>
      <c r="I84" s="5">
        <v>194.7</v>
      </c>
      <c r="J84" s="2" t="s">
        <v>17</v>
      </c>
      <c r="K84" s="2" t="s">
        <v>512</v>
      </c>
      <c r="L84" s="2" t="s">
        <v>18</v>
      </c>
      <c r="M84" s="2" t="s">
        <v>18</v>
      </c>
      <c r="Q84" s="18">
        <f t="shared" si="11"/>
        <v>46127</v>
      </c>
      <c r="R84" s="19">
        <f t="shared" si="12"/>
        <v>57.518463810930577</v>
      </c>
    </row>
    <row r="85" spans="1:20" hidden="1" outlineLevel="1" x14ac:dyDescent="0.3">
      <c r="A85" s="2" t="s">
        <v>179</v>
      </c>
      <c r="B85" s="2" t="s">
        <v>282</v>
      </c>
      <c r="C85" s="2" t="s">
        <v>283</v>
      </c>
      <c r="D85" s="2" t="s">
        <v>284</v>
      </c>
      <c r="E85" s="2" t="s">
        <v>16</v>
      </c>
      <c r="F85" s="3">
        <v>46122</v>
      </c>
      <c r="G85" s="6">
        <v>-4</v>
      </c>
      <c r="H85" s="3">
        <v>46129</v>
      </c>
      <c r="I85" s="5">
        <v>322.47000000000003</v>
      </c>
      <c r="J85" s="2" t="s">
        <v>17</v>
      </c>
      <c r="K85" s="2" t="s">
        <v>512</v>
      </c>
      <c r="L85" s="2" t="s">
        <v>18</v>
      </c>
      <c r="M85" s="2" t="s">
        <v>18</v>
      </c>
      <c r="Q85" s="18">
        <f t="shared" si="11"/>
        <v>46129</v>
      </c>
      <c r="R85" s="19">
        <f t="shared" si="12"/>
        <v>95.264401772525858</v>
      </c>
    </row>
    <row r="86" spans="1:20" hidden="1" outlineLevel="1" x14ac:dyDescent="0.3">
      <c r="A86" s="2" t="s">
        <v>179</v>
      </c>
      <c r="B86" s="2" t="s">
        <v>285</v>
      </c>
      <c r="C86" s="2" t="s">
        <v>286</v>
      </c>
      <c r="D86" s="2" t="s">
        <v>287</v>
      </c>
      <c r="E86" s="2" t="s">
        <v>16</v>
      </c>
      <c r="F86" s="3">
        <v>46122</v>
      </c>
      <c r="G86" s="6">
        <v>-4</v>
      </c>
      <c r="H86" s="3">
        <v>46129</v>
      </c>
      <c r="I86" s="5">
        <v>135.69999999999999</v>
      </c>
      <c r="J86" s="2" t="s">
        <v>17</v>
      </c>
      <c r="K86" s="2" t="s">
        <v>512</v>
      </c>
      <c r="L86" s="2" t="s">
        <v>18</v>
      </c>
      <c r="M86" s="2" t="s">
        <v>18</v>
      </c>
      <c r="Q86" s="18">
        <f t="shared" si="11"/>
        <v>46129</v>
      </c>
      <c r="R86" s="19">
        <f t="shared" si="12"/>
        <v>40.088626292466763</v>
      </c>
    </row>
    <row r="87" spans="1:20" hidden="1" outlineLevel="1" x14ac:dyDescent="0.3">
      <c r="A87" s="2" t="s">
        <v>179</v>
      </c>
      <c r="B87" s="2" t="s">
        <v>288</v>
      </c>
      <c r="C87" s="2" t="s">
        <v>289</v>
      </c>
      <c r="D87" s="2" t="s">
        <v>290</v>
      </c>
      <c r="E87" s="2" t="s">
        <v>16</v>
      </c>
      <c r="F87" s="3">
        <v>46122</v>
      </c>
      <c r="G87" s="6">
        <v>-4</v>
      </c>
      <c r="H87" s="3">
        <v>46129</v>
      </c>
      <c r="I87" s="5">
        <v>320.49</v>
      </c>
      <c r="J87" s="2" t="s">
        <v>17</v>
      </c>
      <c r="K87" s="2" t="s">
        <v>512</v>
      </c>
      <c r="L87" s="2" t="s">
        <v>18</v>
      </c>
      <c r="M87" s="2" t="s">
        <v>18</v>
      </c>
      <c r="Q87" s="18">
        <f t="shared" si="11"/>
        <v>46129</v>
      </c>
      <c r="R87" s="19">
        <f t="shared" si="12"/>
        <v>94.679468242245207</v>
      </c>
    </row>
    <row r="88" spans="1:20" hidden="1" outlineLevel="1" x14ac:dyDescent="0.3">
      <c r="A88" s="2" t="s">
        <v>179</v>
      </c>
      <c r="B88" s="2" t="s">
        <v>291</v>
      </c>
      <c r="C88" s="2" t="s">
        <v>292</v>
      </c>
      <c r="D88" s="2" t="s">
        <v>293</v>
      </c>
      <c r="E88" s="2" t="s">
        <v>16</v>
      </c>
      <c r="F88" s="3">
        <v>46122</v>
      </c>
      <c r="G88" s="6">
        <v>-4</v>
      </c>
      <c r="H88" s="3">
        <v>46129</v>
      </c>
      <c r="I88" s="5">
        <v>135.69999999999999</v>
      </c>
      <c r="J88" s="2" t="s">
        <v>17</v>
      </c>
      <c r="K88" s="2" t="s">
        <v>512</v>
      </c>
      <c r="L88" s="2" t="s">
        <v>18</v>
      </c>
      <c r="M88" s="2" t="s">
        <v>18</v>
      </c>
      <c r="Q88" s="18">
        <f t="shared" si="11"/>
        <v>46129</v>
      </c>
      <c r="R88" s="19">
        <f t="shared" si="12"/>
        <v>40.088626292466763</v>
      </c>
    </row>
    <row r="89" spans="1:20" hidden="1" outlineLevel="1" x14ac:dyDescent="0.3">
      <c r="A89" s="2" t="s">
        <v>294</v>
      </c>
      <c r="B89" s="2" t="s">
        <v>295</v>
      </c>
      <c r="C89" s="2" t="s">
        <v>296</v>
      </c>
      <c r="D89" s="2" t="s">
        <v>297</v>
      </c>
      <c r="E89" s="2" t="s">
        <v>146</v>
      </c>
      <c r="F89" s="3">
        <v>46096</v>
      </c>
      <c r="G89" s="4">
        <v>29</v>
      </c>
      <c r="H89" s="3">
        <v>46096</v>
      </c>
      <c r="I89" s="5">
        <v>147743.07</v>
      </c>
      <c r="J89" s="2" t="s">
        <v>70</v>
      </c>
      <c r="K89" s="2" t="s">
        <v>520</v>
      </c>
      <c r="L89" s="2" t="s">
        <v>18</v>
      </c>
      <c r="M89" s="2" t="s">
        <v>18</v>
      </c>
      <c r="N89" s="18">
        <f t="shared" ref="N89:N94" si="13">F89+45</f>
        <v>46141</v>
      </c>
      <c r="O89" s="20">
        <f t="shared" ref="O89:O92" ca="1" si="14">P89-TODAY()</f>
        <v>9</v>
      </c>
      <c r="P89" s="18">
        <v>46141</v>
      </c>
      <c r="Q89" s="18">
        <v>46141</v>
      </c>
      <c r="R89" s="10">
        <f t="shared" ref="R89:R94" si="15">I89</f>
        <v>147743.07</v>
      </c>
      <c r="S89" s="20">
        <f t="shared" ref="S89:S94" ca="1" si="16">TODAY()-F89</f>
        <v>36</v>
      </c>
      <c r="T89" s="21" t="s">
        <v>528</v>
      </c>
    </row>
    <row r="90" spans="1:20" hidden="1" outlineLevel="1" x14ac:dyDescent="0.3">
      <c r="A90" s="2" t="s">
        <v>294</v>
      </c>
      <c r="B90" s="2" t="s">
        <v>298</v>
      </c>
      <c r="C90" s="2" t="s">
        <v>299</v>
      </c>
      <c r="D90" s="2" t="s">
        <v>300</v>
      </c>
      <c r="E90" s="2" t="s">
        <v>69</v>
      </c>
      <c r="F90" s="3">
        <v>46109</v>
      </c>
      <c r="G90" s="6">
        <v>-29</v>
      </c>
      <c r="H90" s="3">
        <v>46154</v>
      </c>
      <c r="I90" s="5">
        <v>177221.7</v>
      </c>
      <c r="J90" s="2" t="s">
        <v>70</v>
      </c>
      <c r="K90" s="2" t="s">
        <v>520</v>
      </c>
      <c r="L90" s="2" t="s">
        <v>18</v>
      </c>
      <c r="M90" s="2" t="s">
        <v>18</v>
      </c>
      <c r="N90" s="18">
        <f t="shared" si="13"/>
        <v>46154</v>
      </c>
      <c r="O90" s="20">
        <f t="shared" ca="1" si="14"/>
        <v>22</v>
      </c>
      <c r="P90" s="18">
        <v>46154</v>
      </c>
      <c r="Q90" s="18">
        <f t="shared" si="11"/>
        <v>46154</v>
      </c>
      <c r="R90" s="10">
        <f t="shared" si="15"/>
        <v>177221.7</v>
      </c>
      <c r="S90" s="20">
        <f t="shared" ca="1" si="16"/>
        <v>23</v>
      </c>
      <c r="T90" s="21" t="s">
        <v>528</v>
      </c>
    </row>
    <row r="91" spans="1:20" hidden="1" outlineLevel="1" x14ac:dyDescent="0.3">
      <c r="A91" s="2" t="s">
        <v>294</v>
      </c>
      <c r="B91" s="2" t="s">
        <v>301</v>
      </c>
      <c r="C91" s="2" t="s">
        <v>302</v>
      </c>
      <c r="D91" s="2" t="s">
        <v>303</v>
      </c>
      <c r="E91" s="2" t="s">
        <v>69</v>
      </c>
      <c r="F91" s="3">
        <v>46120</v>
      </c>
      <c r="G91" s="6">
        <v>-40</v>
      </c>
      <c r="H91" s="3">
        <v>46165</v>
      </c>
      <c r="I91" s="5">
        <v>175000</v>
      </c>
      <c r="J91" s="2" t="s">
        <v>70</v>
      </c>
      <c r="K91" s="2" t="s">
        <v>520</v>
      </c>
      <c r="L91" s="2" t="s">
        <v>18</v>
      </c>
      <c r="M91" s="2" t="s">
        <v>18</v>
      </c>
      <c r="N91" s="18">
        <f t="shared" si="13"/>
        <v>46165</v>
      </c>
      <c r="O91" s="20">
        <f t="shared" ca="1" si="14"/>
        <v>33</v>
      </c>
      <c r="P91" s="18">
        <v>46165</v>
      </c>
      <c r="Q91" s="18">
        <f t="shared" si="11"/>
        <v>46165</v>
      </c>
      <c r="R91" s="10">
        <f t="shared" si="15"/>
        <v>175000</v>
      </c>
      <c r="S91" s="20">
        <f t="shared" ca="1" si="16"/>
        <v>12</v>
      </c>
      <c r="T91" s="21" t="s">
        <v>528</v>
      </c>
    </row>
    <row r="92" spans="1:20" hidden="1" outlineLevel="1" x14ac:dyDescent="0.3">
      <c r="A92" s="2" t="s">
        <v>304</v>
      </c>
      <c r="B92" s="2" t="s">
        <v>305</v>
      </c>
      <c r="C92" s="2" t="s">
        <v>306</v>
      </c>
      <c r="D92" s="2" t="s">
        <v>307</v>
      </c>
      <c r="E92" s="2" t="s">
        <v>69</v>
      </c>
      <c r="F92" s="3">
        <v>46109</v>
      </c>
      <c r="G92" s="6">
        <v>-29</v>
      </c>
      <c r="H92" s="3">
        <v>46154</v>
      </c>
      <c r="I92" s="5">
        <v>669600</v>
      </c>
      <c r="J92" s="2" t="s">
        <v>70</v>
      </c>
      <c r="K92" s="2" t="s">
        <v>520</v>
      </c>
      <c r="L92" s="2" t="s">
        <v>18</v>
      </c>
      <c r="M92" s="2" t="s">
        <v>18</v>
      </c>
      <c r="N92" s="18">
        <f t="shared" si="13"/>
        <v>46154</v>
      </c>
      <c r="O92" s="20">
        <f t="shared" ca="1" si="14"/>
        <v>22</v>
      </c>
      <c r="P92" s="18">
        <v>46154</v>
      </c>
      <c r="Q92" s="18">
        <f t="shared" si="11"/>
        <v>46154</v>
      </c>
      <c r="R92" s="10">
        <f t="shared" si="15"/>
        <v>669600</v>
      </c>
      <c r="S92" s="20">
        <f t="shared" ca="1" si="16"/>
        <v>23</v>
      </c>
      <c r="T92" s="21" t="s">
        <v>528</v>
      </c>
    </row>
    <row r="93" spans="1:20" hidden="1" outlineLevel="1" x14ac:dyDescent="0.3">
      <c r="A93" s="2" t="s">
        <v>308</v>
      </c>
      <c r="B93" s="2" t="s">
        <v>309</v>
      </c>
      <c r="C93" s="2" t="s">
        <v>310</v>
      </c>
      <c r="D93" s="2" t="s">
        <v>311</v>
      </c>
      <c r="E93" s="2" t="s">
        <v>146</v>
      </c>
      <c r="F93" s="3">
        <v>46098</v>
      </c>
      <c r="G93" s="4">
        <v>0</v>
      </c>
      <c r="H93" s="3">
        <v>46098</v>
      </c>
      <c r="I93" s="7">
        <v>-7410</v>
      </c>
      <c r="J93" s="2" t="s">
        <v>70</v>
      </c>
      <c r="K93" s="2" t="s">
        <v>520</v>
      </c>
      <c r="L93" s="2" t="s">
        <v>18</v>
      </c>
      <c r="M93" s="2" t="s">
        <v>18</v>
      </c>
      <c r="N93" s="18">
        <f t="shared" si="13"/>
        <v>46143</v>
      </c>
      <c r="O93" s="20"/>
      <c r="Q93" s="18">
        <f t="shared" si="11"/>
        <v>46098</v>
      </c>
      <c r="R93" s="10">
        <f t="shared" si="15"/>
        <v>-7410</v>
      </c>
      <c r="S93" s="20">
        <f t="shared" ca="1" si="16"/>
        <v>34</v>
      </c>
      <c r="T93" s="21" t="s">
        <v>528</v>
      </c>
    </row>
    <row r="94" spans="1:20" hidden="1" outlineLevel="1" x14ac:dyDescent="0.3">
      <c r="A94" s="2" t="s">
        <v>308</v>
      </c>
      <c r="B94" s="2" t="s">
        <v>309</v>
      </c>
      <c r="C94" s="2" t="s">
        <v>312</v>
      </c>
      <c r="D94" s="2" t="s">
        <v>539</v>
      </c>
      <c r="E94" s="2" t="s">
        <v>146</v>
      </c>
      <c r="F94" s="3">
        <v>46119</v>
      </c>
      <c r="G94" s="4">
        <v>0</v>
      </c>
      <c r="H94" s="3">
        <v>46119</v>
      </c>
      <c r="I94" s="7">
        <v>-147370</v>
      </c>
      <c r="J94" s="2" t="s">
        <v>70</v>
      </c>
      <c r="K94" s="2" t="s">
        <v>520</v>
      </c>
      <c r="L94" s="2" t="s">
        <v>18</v>
      </c>
      <c r="M94" s="2" t="s">
        <v>94</v>
      </c>
      <c r="N94" s="18">
        <f t="shared" si="13"/>
        <v>46164</v>
      </c>
      <c r="O94" s="20"/>
      <c r="Q94" s="18">
        <f t="shared" si="11"/>
        <v>46119</v>
      </c>
      <c r="R94" s="10">
        <f t="shared" si="15"/>
        <v>-147370</v>
      </c>
      <c r="S94" s="20">
        <f t="shared" ca="1" si="16"/>
        <v>13</v>
      </c>
      <c r="T94" s="21" t="s">
        <v>528</v>
      </c>
    </row>
    <row r="95" spans="1:20" hidden="1" outlineLevel="1" x14ac:dyDescent="0.3">
      <c r="A95" s="2" t="s">
        <v>308</v>
      </c>
      <c r="B95" s="2" t="s">
        <v>309</v>
      </c>
      <c r="C95" s="2" t="s">
        <v>312</v>
      </c>
      <c r="D95" s="2" t="s">
        <v>539</v>
      </c>
      <c r="E95" s="2" t="s">
        <v>146</v>
      </c>
      <c r="F95" s="3">
        <v>46126</v>
      </c>
      <c r="G95" s="4">
        <v>0</v>
      </c>
      <c r="H95" s="3">
        <v>46126</v>
      </c>
      <c r="I95" s="7">
        <v>-27943</v>
      </c>
      <c r="J95" s="2" t="s">
        <v>70</v>
      </c>
      <c r="K95" s="2" t="s">
        <v>520</v>
      </c>
      <c r="L95" s="2" t="s">
        <v>18</v>
      </c>
      <c r="M95" s="2" t="s">
        <v>94</v>
      </c>
      <c r="N95" s="18">
        <f t="shared" ref="N95" si="17">F95+45</f>
        <v>46171</v>
      </c>
      <c r="O95" s="20"/>
      <c r="Q95" s="18">
        <f t="shared" ref="Q95" si="18">H95</f>
        <v>46126</v>
      </c>
      <c r="R95" s="10">
        <f t="shared" ref="R95" si="19">I95</f>
        <v>-27943</v>
      </c>
      <c r="S95" s="20">
        <f t="shared" ref="S95" ca="1" si="20">TODAY()-F95</f>
        <v>6</v>
      </c>
      <c r="T95" s="21" t="s">
        <v>528</v>
      </c>
    </row>
    <row r="96" spans="1:20" hidden="1" outlineLevel="1" x14ac:dyDescent="0.3">
      <c r="A96" s="2" t="s">
        <v>313</v>
      </c>
      <c r="B96" s="2" t="s">
        <v>314</v>
      </c>
      <c r="C96" s="2" t="s">
        <v>315</v>
      </c>
      <c r="D96" s="2" t="s">
        <v>316</v>
      </c>
      <c r="E96" s="2" t="s">
        <v>16</v>
      </c>
      <c r="F96" s="3">
        <v>45964</v>
      </c>
      <c r="G96" s="4">
        <v>154</v>
      </c>
      <c r="H96" s="3">
        <v>45971</v>
      </c>
      <c r="I96" s="5">
        <v>1403.26</v>
      </c>
      <c r="J96" s="2" t="s">
        <v>17</v>
      </c>
      <c r="K96" s="2" t="s">
        <v>516</v>
      </c>
      <c r="L96" s="2" t="s">
        <v>18</v>
      </c>
      <c r="M96" s="2" t="s">
        <v>18</v>
      </c>
      <c r="Q96" s="18">
        <f>H96</f>
        <v>45971</v>
      </c>
      <c r="R96" s="19">
        <f>I96/3.385</f>
        <v>414.55243722304289</v>
      </c>
    </row>
    <row r="97" spans="1:20" hidden="1" outlineLevel="1" x14ac:dyDescent="0.3">
      <c r="A97" s="2" t="s">
        <v>313</v>
      </c>
      <c r="B97" s="2" t="s">
        <v>317</v>
      </c>
      <c r="C97" s="2" t="s">
        <v>318</v>
      </c>
      <c r="D97" s="2" t="s">
        <v>319</v>
      </c>
      <c r="E97" s="2" t="s">
        <v>16</v>
      </c>
      <c r="F97" s="3">
        <v>45964</v>
      </c>
      <c r="G97" s="4">
        <v>154</v>
      </c>
      <c r="H97" s="3">
        <v>45971</v>
      </c>
      <c r="I97" s="5">
        <v>141.6</v>
      </c>
      <c r="J97" s="2" t="s">
        <v>17</v>
      </c>
      <c r="K97" s="2" t="s">
        <v>516</v>
      </c>
      <c r="L97" s="2" t="s">
        <v>18</v>
      </c>
      <c r="M97" s="2" t="s">
        <v>18</v>
      </c>
      <c r="Q97" s="18">
        <f t="shared" ref="Q97:Q101" si="21">H97</f>
        <v>45971</v>
      </c>
      <c r="R97" s="19">
        <f t="shared" ref="R97:R99" si="22">I97/3.385</f>
        <v>41.831610044313145</v>
      </c>
    </row>
    <row r="98" spans="1:20" hidden="1" outlineLevel="1" x14ac:dyDescent="0.3">
      <c r="A98" s="2" t="s">
        <v>313</v>
      </c>
      <c r="B98" s="2" t="s">
        <v>320</v>
      </c>
      <c r="C98" s="2" t="s">
        <v>321</v>
      </c>
      <c r="D98" s="2" t="s">
        <v>322</v>
      </c>
      <c r="E98" s="2" t="s">
        <v>16</v>
      </c>
      <c r="F98" s="3">
        <v>45967</v>
      </c>
      <c r="G98" s="4">
        <v>151</v>
      </c>
      <c r="H98" s="3">
        <v>45974</v>
      </c>
      <c r="I98" s="5">
        <v>1193.22</v>
      </c>
      <c r="J98" s="2" t="s">
        <v>17</v>
      </c>
      <c r="K98" s="2" t="s">
        <v>516</v>
      </c>
      <c r="L98" s="2" t="s">
        <v>18</v>
      </c>
      <c r="M98" s="2" t="s">
        <v>18</v>
      </c>
      <c r="Q98" s="18">
        <f t="shared" si="21"/>
        <v>45974</v>
      </c>
      <c r="R98" s="19">
        <f t="shared" si="22"/>
        <v>352.50221565731169</v>
      </c>
    </row>
    <row r="99" spans="1:20" hidden="1" outlineLevel="1" x14ac:dyDescent="0.3">
      <c r="A99" s="2" t="s">
        <v>313</v>
      </c>
      <c r="B99" s="2" t="s">
        <v>323</v>
      </c>
      <c r="C99" s="2" t="s">
        <v>324</v>
      </c>
      <c r="D99" s="2" t="s">
        <v>325</v>
      </c>
      <c r="E99" s="2" t="s">
        <v>16</v>
      </c>
      <c r="F99" s="3">
        <v>45967</v>
      </c>
      <c r="G99" s="4">
        <v>151</v>
      </c>
      <c r="H99" s="3">
        <v>45974</v>
      </c>
      <c r="I99" s="5">
        <v>106.2</v>
      </c>
      <c r="J99" s="2" t="s">
        <v>17</v>
      </c>
      <c r="K99" s="2" t="s">
        <v>516</v>
      </c>
      <c r="L99" s="2" t="s">
        <v>18</v>
      </c>
      <c r="M99" s="2" t="s">
        <v>18</v>
      </c>
      <c r="Q99" s="18">
        <f t="shared" si="21"/>
        <v>45974</v>
      </c>
      <c r="R99" s="19">
        <f t="shared" si="22"/>
        <v>31.373707533234864</v>
      </c>
    </row>
    <row r="100" spans="1:20" hidden="1" outlineLevel="1" x14ac:dyDescent="0.3">
      <c r="A100" s="2" t="s">
        <v>326</v>
      </c>
      <c r="B100" s="2" t="s">
        <v>327</v>
      </c>
      <c r="C100" s="2" t="s">
        <v>328</v>
      </c>
      <c r="D100" s="2" t="s">
        <v>329</v>
      </c>
      <c r="E100" s="2" t="s">
        <v>69</v>
      </c>
      <c r="F100" s="3">
        <v>46110</v>
      </c>
      <c r="G100" s="6">
        <v>-30</v>
      </c>
      <c r="H100" s="3">
        <v>46155</v>
      </c>
      <c r="I100" s="5">
        <v>76700</v>
      </c>
      <c r="J100" s="2" t="s">
        <v>70</v>
      </c>
      <c r="K100" s="2" t="s">
        <v>520</v>
      </c>
      <c r="L100" s="2" t="s">
        <v>18</v>
      </c>
      <c r="M100" s="2" t="s">
        <v>18</v>
      </c>
      <c r="N100" s="18">
        <f t="shared" ref="N100:N101" si="23">F100+45</f>
        <v>46155</v>
      </c>
      <c r="O100" s="20">
        <f t="shared" ref="O100" ca="1" si="24">P100-TODAY()</f>
        <v>23</v>
      </c>
      <c r="P100" s="18">
        <v>46155</v>
      </c>
      <c r="Q100" s="18">
        <f t="shared" si="21"/>
        <v>46155</v>
      </c>
      <c r="R100" s="10">
        <f t="shared" ref="R100:R101" si="25">I100</f>
        <v>76700</v>
      </c>
      <c r="S100" s="20">
        <f t="shared" ref="S100:S101" ca="1" si="26">TODAY()-F100</f>
        <v>22</v>
      </c>
      <c r="T100" s="21" t="s">
        <v>528</v>
      </c>
    </row>
    <row r="101" spans="1:20" outlineLevel="1" x14ac:dyDescent="0.3">
      <c r="A101" s="2" t="s">
        <v>330</v>
      </c>
      <c r="B101" s="2" t="s">
        <v>332</v>
      </c>
      <c r="C101" s="2" t="s">
        <v>333</v>
      </c>
      <c r="D101" s="2" t="s">
        <v>334</v>
      </c>
      <c r="E101" s="2" t="s">
        <v>146</v>
      </c>
      <c r="F101" s="3">
        <v>46132</v>
      </c>
      <c r="G101" s="4">
        <v>0</v>
      </c>
      <c r="H101" s="3">
        <v>46132</v>
      </c>
      <c r="I101" s="7">
        <v>-6488</v>
      </c>
      <c r="J101" s="2" t="s">
        <v>70</v>
      </c>
      <c r="K101" s="2" t="s">
        <v>520</v>
      </c>
      <c r="L101" s="2" t="s">
        <v>18</v>
      </c>
      <c r="M101" s="2" t="s">
        <v>18</v>
      </c>
      <c r="N101" s="18">
        <f t="shared" si="23"/>
        <v>46177</v>
      </c>
      <c r="O101" s="20"/>
      <c r="P101" s="18">
        <f>H101</f>
        <v>46132</v>
      </c>
      <c r="Q101" s="18">
        <f t="shared" si="21"/>
        <v>46132</v>
      </c>
      <c r="R101" s="10">
        <f t="shared" si="25"/>
        <v>-6488</v>
      </c>
      <c r="S101" s="20">
        <f t="shared" ca="1" si="26"/>
        <v>0</v>
      </c>
      <c r="T101" s="21" t="s">
        <v>528</v>
      </c>
    </row>
    <row r="102" spans="1:20" outlineLevel="1" x14ac:dyDescent="0.3">
      <c r="A102" s="2" t="s">
        <v>330</v>
      </c>
      <c r="B102" s="2" t="s">
        <v>331</v>
      </c>
      <c r="C102" s="2" t="s">
        <v>333</v>
      </c>
      <c r="D102" s="2" t="s">
        <v>538</v>
      </c>
      <c r="E102" s="2" t="s">
        <v>146</v>
      </c>
      <c r="F102" s="3">
        <v>46125</v>
      </c>
      <c r="G102" s="4">
        <v>0</v>
      </c>
      <c r="H102" s="3">
        <v>46170</v>
      </c>
      <c r="I102" s="7">
        <v>76700</v>
      </c>
      <c r="J102" s="2" t="s">
        <v>70</v>
      </c>
      <c r="K102" s="2" t="s">
        <v>520</v>
      </c>
      <c r="L102" s="2" t="s">
        <v>18</v>
      </c>
      <c r="M102" s="2" t="s">
        <v>18</v>
      </c>
      <c r="N102" s="18">
        <f t="shared" ref="N102" si="27">F102+45</f>
        <v>46170</v>
      </c>
      <c r="O102" s="20"/>
      <c r="P102" s="18">
        <f>H102</f>
        <v>46170</v>
      </c>
      <c r="Q102" s="18">
        <f t="shared" ref="Q102" si="28">H102</f>
        <v>46170</v>
      </c>
      <c r="R102" s="10">
        <f t="shared" ref="R102" si="29">I102</f>
        <v>76700</v>
      </c>
      <c r="S102" s="20">
        <f t="shared" ref="S102" ca="1" si="30">TODAY()-F102</f>
        <v>7</v>
      </c>
      <c r="T102" s="21" t="s">
        <v>528</v>
      </c>
    </row>
    <row r="103" spans="1:20" hidden="1" outlineLevel="1" x14ac:dyDescent="0.3">
      <c r="A103" s="2" t="s">
        <v>335</v>
      </c>
      <c r="B103" s="2" t="s">
        <v>336</v>
      </c>
      <c r="C103" s="2" t="s">
        <v>337</v>
      </c>
      <c r="D103" s="2" t="s">
        <v>338</v>
      </c>
      <c r="E103" s="2" t="s">
        <v>146</v>
      </c>
      <c r="F103" s="3">
        <v>45951</v>
      </c>
      <c r="G103" s="4">
        <v>174</v>
      </c>
      <c r="H103" s="3">
        <v>45951</v>
      </c>
      <c r="I103" s="5">
        <v>4460</v>
      </c>
      <c r="J103" s="2" t="s">
        <v>17</v>
      </c>
      <c r="K103" s="2" t="s">
        <v>515</v>
      </c>
      <c r="L103" s="2" t="s">
        <v>18</v>
      </c>
      <c r="M103" s="2" t="s">
        <v>18</v>
      </c>
      <c r="Q103" s="18">
        <f>H103</f>
        <v>45951</v>
      </c>
      <c r="R103" s="19">
        <f>I103/3.385</f>
        <v>1317.5775480059085</v>
      </c>
    </row>
    <row r="104" spans="1:20" hidden="1" outlineLevel="1" x14ac:dyDescent="0.3">
      <c r="A104" s="2" t="s">
        <v>335</v>
      </c>
      <c r="B104" s="2" t="s">
        <v>339</v>
      </c>
      <c r="C104" s="2" t="s">
        <v>340</v>
      </c>
      <c r="D104" s="2" t="s">
        <v>341</v>
      </c>
      <c r="E104" s="2" t="s">
        <v>16</v>
      </c>
      <c r="F104" s="3">
        <v>45965</v>
      </c>
      <c r="G104" s="4">
        <v>153</v>
      </c>
      <c r="H104" s="3">
        <v>45972</v>
      </c>
      <c r="I104" s="5">
        <v>7097.98</v>
      </c>
      <c r="J104" s="2" t="s">
        <v>17</v>
      </c>
      <c r="K104" s="2" t="s">
        <v>515</v>
      </c>
      <c r="L104" s="2" t="s">
        <v>18</v>
      </c>
      <c r="M104" s="2" t="s">
        <v>18</v>
      </c>
      <c r="Q104" s="18">
        <f t="shared" ref="Q104:Q106" si="31">H104</f>
        <v>45972</v>
      </c>
      <c r="R104" s="19">
        <f t="shared" ref="R104:R106" si="32">I104/3.385</f>
        <v>2096.8921713441655</v>
      </c>
    </row>
    <row r="105" spans="1:20" hidden="1" outlineLevel="1" x14ac:dyDescent="0.3">
      <c r="A105" s="2" t="s">
        <v>335</v>
      </c>
      <c r="B105" s="2" t="s">
        <v>342</v>
      </c>
      <c r="C105" s="2" t="s">
        <v>343</v>
      </c>
      <c r="D105" s="2" t="s">
        <v>344</v>
      </c>
      <c r="E105" s="2" t="s">
        <v>16</v>
      </c>
      <c r="F105" s="3">
        <v>46053</v>
      </c>
      <c r="G105" s="4">
        <v>65</v>
      </c>
      <c r="H105" s="3">
        <v>46060</v>
      </c>
      <c r="I105" s="5">
        <v>4003.46</v>
      </c>
      <c r="J105" s="2" t="s">
        <v>17</v>
      </c>
      <c r="K105" s="2" t="s">
        <v>515</v>
      </c>
      <c r="L105" s="2" t="s">
        <v>18</v>
      </c>
      <c r="M105" s="2" t="s">
        <v>18</v>
      </c>
      <c r="Q105" s="18">
        <f t="shared" si="31"/>
        <v>46060</v>
      </c>
      <c r="R105" s="19">
        <f t="shared" si="32"/>
        <v>1182.7060561299854</v>
      </c>
    </row>
    <row r="106" spans="1:20" hidden="1" outlineLevel="1" x14ac:dyDescent="0.3">
      <c r="A106" s="2" t="s">
        <v>335</v>
      </c>
      <c r="B106" s="2" t="s">
        <v>345</v>
      </c>
      <c r="C106" s="2" t="s">
        <v>346</v>
      </c>
      <c r="D106" s="2" t="s">
        <v>347</v>
      </c>
      <c r="E106" s="2" t="s">
        <v>16</v>
      </c>
      <c r="F106" s="3">
        <v>46084</v>
      </c>
      <c r="G106" s="4">
        <v>34</v>
      </c>
      <c r="H106" s="3">
        <v>46091</v>
      </c>
      <c r="I106" s="5">
        <v>4956</v>
      </c>
      <c r="J106" s="2" t="s">
        <v>17</v>
      </c>
      <c r="K106" s="2" t="s">
        <v>515</v>
      </c>
      <c r="L106" s="2" t="s">
        <v>18</v>
      </c>
      <c r="M106" s="2" t="s">
        <v>94</v>
      </c>
      <c r="Q106" s="18">
        <f t="shared" si="31"/>
        <v>46091</v>
      </c>
      <c r="R106" s="19">
        <f t="shared" si="32"/>
        <v>1464.1063515509602</v>
      </c>
    </row>
    <row r="107" spans="1:20" hidden="1" outlineLevel="1" x14ac:dyDescent="0.3">
      <c r="A107" s="2" t="s">
        <v>348</v>
      </c>
      <c r="B107" s="2" t="s">
        <v>349</v>
      </c>
      <c r="C107" s="2" t="s">
        <v>350</v>
      </c>
      <c r="D107" s="2" t="s">
        <v>351</v>
      </c>
      <c r="E107" s="2" t="s">
        <v>16</v>
      </c>
      <c r="F107" s="3">
        <v>46112</v>
      </c>
      <c r="G107" s="4">
        <v>6</v>
      </c>
      <c r="H107" s="3">
        <v>46119</v>
      </c>
      <c r="I107" s="5">
        <v>194.7</v>
      </c>
      <c r="J107" s="2" t="s">
        <v>17</v>
      </c>
      <c r="K107" s="2" t="s">
        <v>512</v>
      </c>
      <c r="L107" s="2" t="s">
        <v>18</v>
      </c>
      <c r="M107" s="2" t="s">
        <v>18</v>
      </c>
      <c r="Q107" s="18">
        <f t="shared" ref="Q107:Q124" si="33">H107</f>
        <v>46119</v>
      </c>
      <c r="R107" s="19">
        <f t="shared" ref="R107:R124" si="34">I107/3.385</f>
        <v>57.518463810930577</v>
      </c>
    </row>
    <row r="108" spans="1:20" hidden="1" outlineLevel="1" x14ac:dyDescent="0.3">
      <c r="A108" s="2" t="s">
        <v>348</v>
      </c>
      <c r="B108" s="2" t="s">
        <v>352</v>
      </c>
      <c r="C108" s="2" t="s">
        <v>353</v>
      </c>
      <c r="D108" s="2" t="s">
        <v>354</v>
      </c>
      <c r="E108" s="2" t="s">
        <v>16</v>
      </c>
      <c r="F108" s="3">
        <v>46112</v>
      </c>
      <c r="G108" s="4">
        <v>6</v>
      </c>
      <c r="H108" s="3">
        <v>46119</v>
      </c>
      <c r="I108" s="5">
        <v>376.33</v>
      </c>
      <c r="J108" s="2" t="s">
        <v>17</v>
      </c>
      <c r="K108" s="2" t="s">
        <v>512</v>
      </c>
      <c r="L108" s="2" t="s">
        <v>18</v>
      </c>
      <c r="M108" s="2" t="s">
        <v>18</v>
      </c>
      <c r="Q108" s="18">
        <f t="shared" si="33"/>
        <v>46119</v>
      </c>
      <c r="R108" s="19">
        <f t="shared" si="34"/>
        <v>111.17577548005909</v>
      </c>
    </row>
    <row r="109" spans="1:20" hidden="1" outlineLevel="1" x14ac:dyDescent="0.3">
      <c r="A109" s="2" t="s">
        <v>348</v>
      </c>
      <c r="B109" s="2" t="s">
        <v>355</v>
      </c>
      <c r="C109" s="2" t="s">
        <v>356</v>
      </c>
      <c r="D109" s="2" t="s">
        <v>357</v>
      </c>
      <c r="E109" s="2" t="s">
        <v>16</v>
      </c>
      <c r="F109" s="3">
        <v>46112</v>
      </c>
      <c r="G109" s="4">
        <v>6</v>
      </c>
      <c r="H109" s="3">
        <v>46119</v>
      </c>
      <c r="I109" s="5">
        <v>153.4</v>
      </c>
      <c r="J109" s="2" t="s">
        <v>17</v>
      </c>
      <c r="K109" s="2" t="s">
        <v>512</v>
      </c>
      <c r="L109" s="2" t="s">
        <v>18</v>
      </c>
      <c r="M109" s="2" t="s">
        <v>18</v>
      </c>
      <c r="Q109" s="18">
        <f t="shared" si="33"/>
        <v>46119</v>
      </c>
      <c r="R109" s="19">
        <f t="shared" si="34"/>
        <v>45.317577548005914</v>
      </c>
    </row>
    <row r="110" spans="1:20" hidden="1" outlineLevel="1" x14ac:dyDescent="0.3">
      <c r="A110" s="2" t="s">
        <v>348</v>
      </c>
      <c r="B110" s="2" t="s">
        <v>358</v>
      </c>
      <c r="C110" s="2" t="s">
        <v>359</v>
      </c>
      <c r="D110" s="2" t="s">
        <v>360</v>
      </c>
      <c r="E110" s="2" t="s">
        <v>146</v>
      </c>
      <c r="F110" s="3">
        <v>46112</v>
      </c>
      <c r="G110" s="4">
        <v>13</v>
      </c>
      <c r="H110" s="3">
        <v>46112</v>
      </c>
      <c r="I110" s="5">
        <v>160.30000000000001</v>
      </c>
      <c r="J110" s="2" t="s">
        <v>17</v>
      </c>
      <c r="K110" s="2" t="s">
        <v>512</v>
      </c>
      <c r="L110" s="2" t="s">
        <v>18</v>
      </c>
      <c r="M110" s="2" t="s">
        <v>18</v>
      </c>
      <c r="Q110" s="18">
        <f t="shared" si="33"/>
        <v>46112</v>
      </c>
      <c r="R110" s="19">
        <f t="shared" si="34"/>
        <v>47.355982274741514</v>
      </c>
    </row>
    <row r="111" spans="1:20" hidden="1" outlineLevel="1" x14ac:dyDescent="0.3">
      <c r="A111" s="2" t="s">
        <v>348</v>
      </c>
      <c r="B111" s="2" t="s">
        <v>361</v>
      </c>
      <c r="C111" s="2" t="s">
        <v>362</v>
      </c>
      <c r="D111" s="2" t="s">
        <v>363</v>
      </c>
      <c r="E111" s="2" t="s">
        <v>123</v>
      </c>
      <c r="F111" s="3">
        <v>46113</v>
      </c>
      <c r="G111" s="4">
        <v>0</v>
      </c>
      <c r="H111" s="3">
        <v>46142</v>
      </c>
      <c r="I111" s="7">
        <v>-23</v>
      </c>
      <c r="J111" s="2" t="s">
        <v>17</v>
      </c>
      <c r="K111" s="2" t="s">
        <v>512</v>
      </c>
      <c r="L111" s="2" t="s">
        <v>18</v>
      </c>
      <c r="M111" s="2" t="s">
        <v>18</v>
      </c>
      <c r="Q111" s="18">
        <f t="shared" si="33"/>
        <v>46142</v>
      </c>
      <c r="R111" s="19">
        <f t="shared" si="34"/>
        <v>-6.7946824224519942</v>
      </c>
    </row>
    <row r="112" spans="1:20" hidden="1" outlineLevel="1" x14ac:dyDescent="0.3">
      <c r="A112" s="2" t="s">
        <v>348</v>
      </c>
      <c r="B112" s="2" t="s">
        <v>364</v>
      </c>
      <c r="C112" s="2" t="s">
        <v>365</v>
      </c>
      <c r="D112" s="2" t="s">
        <v>366</v>
      </c>
      <c r="E112" s="2" t="s">
        <v>123</v>
      </c>
      <c r="F112" s="3">
        <v>46113</v>
      </c>
      <c r="G112" s="4">
        <v>0</v>
      </c>
      <c r="H112" s="3">
        <v>46142</v>
      </c>
      <c r="I112" s="7">
        <v>-77</v>
      </c>
      <c r="J112" s="2" t="s">
        <v>17</v>
      </c>
      <c r="K112" s="2" t="s">
        <v>512</v>
      </c>
      <c r="L112" s="2" t="s">
        <v>18</v>
      </c>
      <c r="M112" s="2" t="s">
        <v>18</v>
      </c>
      <c r="Q112" s="18">
        <f t="shared" si="33"/>
        <v>46142</v>
      </c>
      <c r="R112" s="19">
        <f t="shared" si="34"/>
        <v>-22.747415066469721</v>
      </c>
    </row>
    <row r="113" spans="1:20" hidden="1" outlineLevel="1" x14ac:dyDescent="0.3">
      <c r="A113" s="2" t="s">
        <v>348</v>
      </c>
      <c r="B113" s="2" t="s">
        <v>367</v>
      </c>
      <c r="C113" s="2" t="s">
        <v>368</v>
      </c>
      <c r="D113" s="2" t="s">
        <v>369</v>
      </c>
      <c r="E113" s="2" t="s">
        <v>123</v>
      </c>
      <c r="F113" s="3">
        <v>46113</v>
      </c>
      <c r="G113" s="4">
        <v>0</v>
      </c>
      <c r="H113" s="3">
        <v>46142</v>
      </c>
      <c r="I113" s="7">
        <v>-21</v>
      </c>
      <c r="J113" s="2" t="s">
        <v>17</v>
      </c>
      <c r="K113" s="2" t="s">
        <v>512</v>
      </c>
      <c r="L113" s="2" t="s">
        <v>18</v>
      </c>
      <c r="M113" s="2" t="s">
        <v>18</v>
      </c>
      <c r="Q113" s="18">
        <f t="shared" si="33"/>
        <v>46142</v>
      </c>
      <c r="R113" s="19">
        <f t="shared" si="34"/>
        <v>-6.2038404726735603</v>
      </c>
    </row>
    <row r="114" spans="1:20" hidden="1" outlineLevel="1" x14ac:dyDescent="0.3">
      <c r="A114" s="2" t="s">
        <v>348</v>
      </c>
      <c r="B114" s="2" t="s">
        <v>370</v>
      </c>
      <c r="C114" s="2" t="s">
        <v>371</v>
      </c>
      <c r="D114" s="2" t="s">
        <v>372</v>
      </c>
      <c r="E114" s="2" t="s">
        <v>123</v>
      </c>
      <c r="F114" s="3">
        <v>46113</v>
      </c>
      <c r="G114" s="4">
        <v>0</v>
      </c>
      <c r="H114" s="3">
        <v>46142</v>
      </c>
      <c r="I114" s="7">
        <v>-78</v>
      </c>
      <c r="J114" s="2" t="s">
        <v>17</v>
      </c>
      <c r="K114" s="2" t="s">
        <v>512</v>
      </c>
      <c r="L114" s="2" t="s">
        <v>18</v>
      </c>
      <c r="M114" s="2" t="s">
        <v>18</v>
      </c>
      <c r="Q114" s="18">
        <f t="shared" si="33"/>
        <v>46142</v>
      </c>
      <c r="R114" s="19">
        <f t="shared" si="34"/>
        <v>-23.042836041358939</v>
      </c>
    </row>
    <row r="115" spans="1:20" hidden="1" outlineLevel="1" x14ac:dyDescent="0.3">
      <c r="A115" s="2" t="s">
        <v>348</v>
      </c>
      <c r="B115" s="2" t="s">
        <v>373</v>
      </c>
      <c r="C115" s="2" t="s">
        <v>374</v>
      </c>
      <c r="D115" s="2" t="s">
        <v>375</v>
      </c>
      <c r="E115" s="2" t="s">
        <v>123</v>
      </c>
      <c r="F115" s="3">
        <v>46113</v>
      </c>
      <c r="G115" s="4">
        <v>0</v>
      </c>
      <c r="H115" s="3">
        <v>46142</v>
      </c>
      <c r="I115" s="7">
        <v>-42</v>
      </c>
      <c r="J115" s="2" t="s">
        <v>17</v>
      </c>
      <c r="K115" s="2" t="s">
        <v>512</v>
      </c>
      <c r="L115" s="2" t="s">
        <v>18</v>
      </c>
      <c r="M115" s="2" t="s">
        <v>18</v>
      </c>
      <c r="Q115" s="18">
        <f t="shared" si="33"/>
        <v>46142</v>
      </c>
      <c r="R115" s="19">
        <f t="shared" si="34"/>
        <v>-12.407680945347121</v>
      </c>
    </row>
    <row r="116" spans="1:20" hidden="1" outlineLevel="1" x14ac:dyDescent="0.3">
      <c r="A116" s="2" t="s">
        <v>348</v>
      </c>
      <c r="B116" s="2" t="s">
        <v>376</v>
      </c>
      <c r="C116" s="2" t="s">
        <v>377</v>
      </c>
      <c r="D116" s="2" t="s">
        <v>378</v>
      </c>
      <c r="E116" s="2" t="s">
        <v>123</v>
      </c>
      <c r="F116" s="3">
        <v>46113</v>
      </c>
      <c r="G116" s="4">
        <v>0</v>
      </c>
      <c r="H116" s="3">
        <v>46142</v>
      </c>
      <c r="I116" s="7">
        <v>-114</v>
      </c>
      <c r="J116" s="2" t="s">
        <v>17</v>
      </c>
      <c r="K116" s="2" t="s">
        <v>512</v>
      </c>
      <c r="L116" s="2" t="s">
        <v>18</v>
      </c>
      <c r="M116" s="2" t="s">
        <v>18</v>
      </c>
      <c r="Q116" s="18">
        <f t="shared" si="33"/>
        <v>46142</v>
      </c>
      <c r="R116" s="19">
        <f t="shared" si="34"/>
        <v>-33.677991137370753</v>
      </c>
    </row>
    <row r="117" spans="1:20" hidden="1" outlineLevel="1" x14ac:dyDescent="0.3">
      <c r="A117" s="2" t="s">
        <v>348</v>
      </c>
      <c r="B117" s="2" t="s">
        <v>379</v>
      </c>
      <c r="C117" s="2" t="s">
        <v>380</v>
      </c>
      <c r="D117" s="2" t="s">
        <v>381</v>
      </c>
      <c r="E117" s="2" t="s">
        <v>16</v>
      </c>
      <c r="F117" s="3">
        <v>46116</v>
      </c>
      <c r="G117" s="4">
        <v>2</v>
      </c>
      <c r="H117" s="3">
        <v>46123</v>
      </c>
      <c r="I117" s="5">
        <v>1053.98</v>
      </c>
      <c r="J117" s="2" t="s">
        <v>17</v>
      </c>
      <c r="K117" s="2" t="s">
        <v>512</v>
      </c>
      <c r="L117" s="2" t="s">
        <v>18</v>
      </c>
      <c r="M117" s="2" t="s">
        <v>94</v>
      </c>
      <c r="Q117" s="18">
        <f t="shared" si="33"/>
        <v>46123</v>
      </c>
      <c r="R117" s="19">
        <f t="shared" si="34"/>
        <v>311.36779911373708</v>
      </c>
    </row>
    <row r="118" spans="1:20" hidden="1" outlineLevel="1" x14ac:dyDescent="0.3">
      <c r="A118" s="2" t="s">
        <v>348</v>
      </c>
      <c r="B118" s="2" t="s">
        <v>382</v>
      </c>
      <c r="C118" s="2" t="s">
        <v>383</v>
      </c>
      <c r="D118" s="2" t="s">
        <v>384</v>
      </c>
      <c r="E118" s="2" t="s">
        <v>16</v>
      </c>
      <c r="F118" s="3">
        <v>46116</v>
      </c>
      <c r="G118" s="4">
        <v>2</v>
      </c>
      <c r="H118" s="3">
        <v>46123</v>
      </c>
      <c r="I118" s="5">
        <v>348.1</v>
      </c>
      <c r="J118" s="2" t="s">
        <v>17</v>
      </c>
      <c r="K118" s="2" t="s">
        <v>512</v>
      </c>
      <c r="L118" s="2" t="s">
        <v>18</v>
      </c>
      <c r="M118" s="2" t="s">
        <v>18</v>
      </c>
      <c r="Q118" s="18">
        <f t="shared" si="33"/>
        <v>46123</v>
      </c>
      <c r="R118" s="19">
        <f t="shared" si="34"/>
        <v>102.8360413589365</v>
      </c>
    </row>
    <row r="119" spans="1:20" hidden="1" outlineLevel="1" x14ac:dyDescent="0.3">
      <c r="A119" s="2" t="s">
        <v>348</v>
      </c>
      <c r="B119" s="2" t="s">
        <v>385</v>
      </c>
      <c r="C119" s="2" t="s">
        <v>386</v>
      </c>
      <c r="D119" s="2" t="s">
        <v>387</v>
      </c>
      <c r="E119" s="2" t="s">
        <v>16</v>
      </c>
      <c r="F119" s="3">
        <v>46118</v>
      </c>
      <c r="G119" s="4">
        <v>0</v>
      </c>
      <c r="H119" s="3">
        <v>46125</v>
      </c>
      <c r="I119" s="5">
        <v>680.62</v>
      </c>
      <c r="J119" s="2" t="s">
        <v>17</v>
      </c>
      <c r="K119" s="2" t="s">
        <v>512</v>
      </c>
      <c r="L119" s="2" t="s">
        <v>18</v>
      </c>
      <c r="M119" s="2" t="s">
        <v>18</v>
      </c>
      <c r="Q119" s="18">
        <f t="shared" si="33"/>
        <v>46125</v>
      </c>
      <c r="R119" s="19">
        <f t="shared" si="34"/>
        <v>201.06942392909897</v>
      </c>
    </row>
    <row r="120" spans="1:20" hidden="1" outlineLevel="1" x14ac:dyDescent="0.3">
      <c r="A120" s="2" t="s">
        <v>348</v>
      </c>
      <c r="B120" s="2" t="s">
        <v>388</v>
      </c>
      <c r="C120" s="2" t="s">
        <v>389</v>
      </c>
      <c r="D120" s="2" t="s">
        <v>390</v>
      </c>
      <c r="E120" s="2" t="s">
        <v>16</v>
      </c>
      <c r="F120" s="3">
        <v>46118</v>
      </c>
      <c r="G120" s="4">
        <v>0</v>
      </c>
      <c r="H120" s="3">
        <v>46125</v>
      </c>
      <c r="I120" s="5">
        <v>194.7</v>
      </c>
      <c r="J120" s="2" t="s">
        <v>17</v>
      </c>
      <c r="K120" s="2" t="s">
        <v>512</v>
      </c>
      <c r="L120" s="2" t="s">
        <v>18</v>
      </c>
      <c r="M120" s="2" t="s">
        <v>18</v>
      </c>
      <c r="Q120" s="18">
        <f t="shared" si="33"/>
        <v>46125</v>
      </c>
      <c r="R120" s="19">
        <f t="shared" si="34"/>
        <v>57.518463810930577</v>
      </c>
    </row>
    <row r="121" spans="1:20" hidden="1" outlineLevel="1" x14ac:dyDescent="0.3">
      <c r="A121" s="2" t="s">
        <v>348</v>
      </c>
      <c r="B121" s="2" t="s">
        <v>391</v>
      </c>
      <c r="C121" s="2" t="s">
        <v>392</v>
      </c>
      <c r="D121" s="2" t="s">
        <v>393</v>
      </c>
      <c r="E121" s="2" t="s">
        <v>16</v>
      </c>
      <c r="F121" s="3">
        <v>46120</v>
      </c>
      <c r="G121" s="6">
        <v>-2</v>
      </c>
      <c r="H121" s="3">
        <v>46127</v>
      </c>
      <c r="I121" s="5">
        <v>410.03</v>
      </c>
      <c r="J121" s="2" t="s">
        <v>17</v>
      </c>
      <c r="K121" s="2" t="s">
        <v>512</v>
      </c>
      <c r="L121" s="2" t="s">
        <v>18</v>
      </c>
      <c r="M121" s="2" t="s">
        <v>18</v>
      </c>
      <c r="Q121" s="18">
        <f t="shared" si="33"/>
        <v>46127</v>
      </c>
      <c r="R121" s="19">
        <f t="shared" si="34"/>
        <v>121.1314623338257</v>
      </c>
    </row>
    <row r="122" spans="1:20" hidden="1" outlineLevel="1" x14ac:dyDescent="0.3">
      <c r="A122" s="2" t="s">
        <v>348</v>
      </c>
      <c r="B122" s="2" t="s">
        <v>394</v>
      </c>
      <c r="C122" s="2" t="s">
        <v>395</v>
      </c>
      <c r="D122" s="2" t="s">
        <v>396</v>
      </c>
      <c r="E122" s="2" t="s">
        <v>16</v>
      </c>
      <c r="F122" s="3">
        <v>46120</v>
      </c>
      <c r="G122" s="6">
        <v>-2</v>
      </c>
      <c r="H122" s="3">
        <v>46127</v>
      </c>
      <c r="I122" s="5">
        <v>153.4</v>
      </c>
      <c r="J122" s="2" t="s">
        <v>17</v>
      </c>
      <c r="K122" s="2" t="s">
        <v>512</v>
      </c>
      <c r="L122" s="2" t="s">
        <v>18</v>
      </c>
      <c r="M122" s="2" t="s">
        <v>18</v>
      </c>
      <c r="Q122" s="18">
        <f t="shared" si="33"/>
        <v>46127</v>
      </c>
      <c r="R122" s="19">
        <f t="shared" si="34"/>
        <v>45.317577548005914</v>
      </c>
    </row>
    <row r="123" spans="1:20" hidden="1" outlineLevel="1" x14ac:dyDescent="0.3">
      <c r="A123" s="2" t="s">
        <v>348</v>
      </c>
      <c r="B123" s="2" t="s">
        <v>397</v>
      </c>
      <c r="C123" s="2" t="s">
        <v>398</v>
      </c>
      <c r="D123" s="2" t="s">
        <v>399</v>
      </c>
      <c r="E123" s="2" t="s">
        <v>16</v>
      </c>
      <c r="F123" s="3">
        <v>46121</v>
      </c>
      <c r="G123" s="6">
        <v>-3</v>
      </c>
      <c r="H123" s="3">
        <v>46128</v>
      </c>
      <c r="I123" s="5">
        <v>642.96</v>
      </c>
      <c r="J123" s="2" t="s">
        <v>17</v>
      </c>
      <c r="K123" s="2" t="s">
        <v>512</v>
      </c>
      <c r="L123" s="2" t="s">
        <v>18</v>
      </c>
      <c r="M123" s="2" t="s">
        <v>18</v>
      </c>
      <c r="Q123" s="18">
        <f t="shared" si="33"/>
        <v>46128</v>
      </c>
      <c r="R123" s="19">
        <f t="shared" si="34"/>
        <v>189.94387001477108</v>
      </c>
    </row>
    <row r="124" spans="1:20" hidden="1" outlineLevel="1" x14ac:dyDescent="0.3">
      <c r="A124" s="2" t="s">
        <v>348</v>
      </c>
      <c r="B124" s="2" t="s">
        <v>400</v>
      </c>
      <c r="C124" s="2" t="s">
        <v>401</v>
      </c>
      <c r="D124" s="2" t="s">
        <v>402</v>
      </c>
      <c r="E124" s="2" t="s">
        <v>16</v>
      </c>
      <c r="F124" s="3">
        <v>46121</v>
      </c>
      <c r="G124" s="6">
        <v>-3</v>
      </c>
      <c r="H124" s="3">
        <v>46128</v>
      </c>
      <c r="I124" s="5">
        <v>194.7</v>
      </c>
      <c r="J124" s="2" t="s">
        <v>17</v>
      </c>
      <c r="K124" s="2" t="s">
        <v>512</v>
      </c>
      <c r="L124" s="2" t="s">
        <v>18</v>
      </c>
      <c r="M124" s="2" t="s">
        <v>18</v>
      </c>
      <c r="Q124" s="18">
        <f t="shared" si="33"/>
        <v>46128</v>
      </c>
      <c r="R124" s="19">
        <f t="shared" si="34"/>
        <v>57.518463810930577</v>
      </c>
    </row>
    <row r="125" spans="1:20" hidden="1" outlineLevel="1" x14ac:dyDescent="0.3">
      <c r="A125" s="2" t="s">
        <v>403</v>
      </c>
      <c r="B125" s="2" t="s">
        <v>404</v>
      </c>
      <c r="C125" s="2" t="s">
        <v>405</v>
      </c>
      <c r="D125" s="2" t="s">
        <v>406</v>
      </c>
      <c r="E125" s="2" t="s">
        <v>146</v>
      </c>
      <c r="F125" s="3">
        <v>46088</v>
      </c>
      <c r="G125" s="4">
        <v>37</v>
      </c>
      <c r="H125" s="3">
        <v>46088</v>
      </c>
      <c r="I125" s="5">
        <v>156680</v>
      </c>
      <c r="J125" s="2" t="s">
        <v>70</v>
      </c>
      <c r="K125" s="2" t="s">
        <v>520</v>
      </c>
      <c r="L125" s="2" t="s">
        <v>18</v>
      </c>
      <c r="M125" s="2" t="s">
        <v>18</v>
      </c>
      <c r="N125" s="18">
        <f t="shared" ref="N125:N127" si="35">F125+45</f>
        <v>46133</v>
      </c>
      <c r="O125" s="20">
        <f t="shared" ref="O125:O127" ca="1" si="36">P125-TODAY()</f>
        <v>1</v>
      </c>
      <c r="P125" s="18">
        <v>46133</v>
      </c>
      <c r="Q125" s="18">
        <v>46133</v>
      </c>
      <c r="R125" s="10">
        <f t="shared" ref="R125:R127" si="37">I125</f>
        <v>156680</v>
      </c>
      <c r="S125" s="20">
        <f t="shared" ref="S125:S127" ca="1" si="38">TODAY()-F125</f>
        <v>44</v>
      </c>
      <c r="T125" s="21" t="s">
        <v>528</v>
      </c>
    </row>
    <row r="126" spans="1:20" hidden="1" outlineLevel="1" x14ac:dyDescent="0.3">
      <c r="A126" s="2" t="s">
        <v>403</v>
      </c>
      <c r="B126" s="2" t="s">
        <v>407</v>
      </c>
      <c r="C126" s="2" t="s">
        <v>408</v>
      </c>
      <c r="D126" s="2" t="s">
        <v>409</v>
      </c>
      <c r="E126" s="2" t="s">
        <v>146</v>
      </c>
      <c r="F126" s="3">
        <v>46099</v>
      </c>
      <c r="G126" s="4">
        <v>26</v>
      </c>
      <c r="H126" s="3">
        <v>46099</v>
      </c>
      <c r="I126" s="5">
        <v>125360</v>
      </c>
      <c r="J126" s="2" t="s">
        <v>70</v>
      </c>
      <c r="K126" s="2" t="s">
        <v>520</v>
      </c>
      <c r="L126" s="2" t="s">
        <v>18</v>
      </c>
      <c r="M126" s="2" t="s">
        <v>18</v>
      </c>
      <c r="N126" s="18">
        <f t="shared" si="35"/>
        <v>46144</v>
      </c>
      <c r="O126" s="20">
        <f t="shared" ca="1" si="36"/>
        <v>12</v>
      </c>
      <c r="P126" s="18">
        <v>46144</v>
      </c>
      <c r="Q126" s="18">
        <v>46144</v>
      </c>
      <c r="R126" s="10">
        <f t="shared" si="37"/>
        <v>125360</v>
      </c>
      <c r="S126" s="20">
        <f t="shared" ca="1" si="38"/>
        <v>33</v>
      </c>
      <c r="T126" s="21" t="s">
        <v>528</v>
      </c>
    </row>
    <row r="127" spans="1:20" hidden="1" outlineLevel="1" x14ac:dyDescent="0.3">
      <c r="A127" s="2" t="s">
        <v>410</v>
      </c>
      <c r="B127" s="2" t="s">
        <v>411</v>
      </c>
      <c r="C127" s="2" t="s">
        <v>412</v>
      </c>
      <c r="D127" s="2" t="s">
        <v>413</v>
      </c>
      <c r="E127" s="2" t="s">
        <v>146</v>
      </c>
      <c r="F127" s="3">
        <v>46099</v>
      </c>
      <c r="G127" s="4">
        <v>26</v>
      </c>
      <c r="H127" s="3">
        <v>46099</v>
      </c>
      <c r="I127" s="5">
        <v>31275</v>
      </c>
      <c r="J127" s="2" t="s">
        <v>70</v>
      </c>
      <c r="K127" s="2" t="s">
        <v>520</v>
      </c>
      <c r="L127" s="2" t="s">
        <v>18</v>
      </c>
      <c r="M127" s="2" t="s">
        <v>18</v>
      </c>
      <c r="N127" s="18">
        <f t="shared" si="35"/>
        <v>46144</v>
      </c>
      <c r="O127" s="20">
        <f t="shared" ca="1" si="36"/>
        <v>12</v>
      </c>
      <c r="P127" s="18">
        <v>46144</v>
      </c>
      <c r="Q127" s="18">
        <v>46144</v>
      </c>
      <c r="R127" s="10">
        <f t="shared" si="37"/>
        <v>31275</v>
      </c>
      <c r="S127" s="20">
        <f t="shared" ca="1" si="38"/>
        <v>33</v>
      </c>
      <c r="T127" s="21" t="s">
        <v>528</v>
      </c>
    </row>
    <row r="128" spans="1:20" hidden="1" outlineLevel="1" x14ac:dyDescent="0.3">
      <c r="A128" s="2" t="s">
        <v>414</v>
      </c>
      <c r="B128" s="2" t="s">
        <v>415</v>
      </c>
      <c r="C128" s="2" t="s">
        <v>416</v>
      </c>
      <c r="D128" s="2" t="s">
        <v>417</v>
      </c>
      <c r="E128" s="2" t="s">
        <v>16</v>
      </c>
      <c r="F128" s="3">
        <v>45937</v>
      </c>
      <c r="G128" s="4">
        <v>181</v>
      </c>
      <c r="H128" s="3">
        <v>45944</v>
      </c>
      <c r="I128" s="5">
        <v>790</v>
      </c>
      <c r="J128" s="2" t="s">
        <v>17</v>
      </c>
      <c r="K128" s="2" t="s">
        <v>513</v>
      </c>
      <c r="L128" s="2" t="s">
        <v>18</v>
      </c>
      <c r="M128" s="2" t="s">
        <v>18</v>
      </c>
      <c r="Q128" s="18">
        <f>H128</f>
        <v>45944</v>
      </c>
      <c r="R128" s="19">
        <f>I128/3.385</f>
        <v>233.38257016248156</v>
      </c>
    </row>
    <row r="129" spans="1:20" hidden="1" outlineLevel="1" x14ac:dyDescent="0.3">
      <c r="A129" s="2" t="s">
        <v>418</v>
      </c>
      <c r="B129" s="2" t="s">
        <v>419</v>
      </c>
      <c r="C129" s="2" t="s">
        <v>420</v>
      </c>
      <c r="D129" s="2" t="s">
        <v>421</v>
      </c>
      <c r="E129" s="2" t="s">
        <v>16</v>
      </c>
      <c r="F129" s="3">
        <v>46112</v>
      </c>
      <c r="G129" s="4">
        <v>10</v>
      </c>
      <c r="H129" s="3">
        <v>46115</v>
      </c>
      <c r="I129" s="5">
        <v>21201.77</v>
      </c>
      <c r="J129" s="2" t="s">
        <v>17</v>
      </c>
      <c r="K129" s="2" t="s">
        <v>514</v>
      </c>
      <c r="L129" s="2" t="s">
        <v>18</v>
      </c>
      <c r="M129" s="2" t="s">
        <v>18</v>
      </c>
      <c r="Q129" s="18">
        <f>H129</f>
        <v>46115</v>
      </c>
      <c r="R129" s="19">
        <f>I129/3.385</f>
        <v>6263.447562776958</v>
      </c>
    </row>
    <row r="130" spans="1:20" hidden="1" outlineLevel="1" x14ac:dyDescent="0.3">
      <c r="A130" s="2" t="s">
        <v>418</v>
      </c>
      <c r="B130" s="2" t="s">
        <v>422</v>
      </c>
      <c r="C130" s="2" t="s">
        <v>423</v>
      </c>
      <c r="D130" s="2" t="s">
        <v>424</v>
      </c>
      <c r="E130" s="2" t="s">
        <v>16</v>
      </c>
      <c r="F130" s="3">
        <v>46112</v>
      </c>
      <c r="G130" s="4">
        <v>10</v>
      </c>
      <c r="H130" s="3">
        <v>46115</v>
      </c>
      <c r="I130" s="5">
        <v>41169.49</v>
      </c>
      <c r="J130" s="2" t="s">
        <v>17</v>
      </c>
      <c r="K130" s="2" t="s">
        <v>514</v>
      </c>
      <c r="L130" s="2" t="s">
        <v>18</v>
      </c>
      <c r="M130" s="2" t="s">
        <v>18</v>
      </c>
      <c r="Q130" s="18">
        <f>H130</f>
        <v>46115</v>
      </c>
      <c r="R130" s="19">
        <f>I130/3.385</f>
        <v>12162.330871491877</v>
      </c>
    </row>
    <row r="131" spans="1:20" hidden="1" outlineLevel="1" x14ac:dyDescent="0.3">
      <c r="A131" s="2">
        <v>2000001419</v>
      </c>
      <c r="B131" s="2" t="s">
        <v>425</v>
      </c>
      <c r="C131" s="2" t="s">
        <v>426</v>
      </c>
      <c r="D131" s="2" t="s">
        <v>427</v>
      </c>
      <c r="E131" s="2" t="s">
        <v>123</v>
      </c>
      <c r="F131" s="3">
        <v>46111</v>
      </c>
      <c r="G131" s="4">
        <v>0</v>
      </c>
      <c r="H131" s="3">
        <v>46111</v>
      </c>
      <c r="I131" s="7">
        <v>-33875</v>
      </c>
      <c r="J131" s="2" t="s">
        <v>70</v>
      </c>
      <c r="K131" s="2" t="s">
        <v>520</v>
      </c>
      <c r="L131" s="2" t="s">
        <v>18</v>
      </c>
      <c r="M131" s="2" t="s">
        <v>94</v>
      </c>
      <c r="N131" s="18">
        <f t="shared" ref="N131" si="39">F131+45</f>
        <v>46156</v>
      </c>
      <c r="O131" s="20"/>
      <c r="Q131" s="18">
        <f t="shared" ref="Q131" si="40">H131</f>
        <v>46111</v>
      </c>
      <c r="R131" s="10">
        <f t="shared" ref="R131" si="41">I131</f>
        <v>-33875</v>
      </c>
      <c r="S131" s="20">
        <f t="shared" ref="S131" ca="1" si="42">TODAY()-F131</f>
        <v>21</v>
      </c>
      <c r="T131" s="21" t="s">
        <v>528</v>
      </c>
    </row>
    <row r="132" spans="1:20" hidden="1" outlineLevel="1" x14ac:dyDescent="0.3">
      <c r="A132" s="2">
        <v>2000001419</v>
      </c>
      <c r="B132" s="2" t="s">
        <v>425</v>
      </c>
      <c r="C132" s="2" t="s">
        <v>426</v>
      </c>
      <c r="D132" s="2" t="s">
        <v>427</v>
      </c>
      <c r="E132" s="2" t="s">
        <v>123</v>
      </c>
      <c r="F132" s="3">
        <v>46120</v>
      </c>
      <c r="G132" s="4">
        <v>0</v>
      </c>
      <c r="H132" s="3">
        <v>46120</v>
      </c>
      <c r="I132" s="7">
        <v>-30635</v>
      </c>
      <c r="J132" s="2" t="s">
        <v>70</v>
      </c>
      <c r="K132" s="2" t="s">
        <v>520</v>
      </c>
      <c r="L132" s="2" t="s">
        <v>18</v>
      </c>
      <c r="M132" s="2" t="s">
        <v>94</v>
      </c>
      <c r="N132" s="18">
        <f t="shared" ref="N132:N133" si="43">F132+45</f>
        <v>46165</v>
      </c>
      <c r="O132" s="20"/>
      <c r="Q132" s="18">
        <f t="shared" ref="Q132:Q133" si="44">H132</f>
        <v>46120</v>
      </c>
      <c r="R132" s="10">
        <f t="shared" ref="R132:R133" si="45">I132</f>
        <v>-30635</v>
      </c>
      <c r="S132" s="20">
        <f t="shared" ref="S132:S133" ca="1" si="46">TODAY()-F132</f>
        <v>12</v>
      </c>
      <c r="T132" s="21" t="s">
        <v>528</v>
      </c>
    </row>
    <row r="133" spans="1:20" hidden="1" outlineLevel="1" x14ac:dyDescent="0.3">
      <c r="A133" s="2">
        <v>2000001419</v>
      </c>
      <c r="B133" s="2" t="s">
        <v>425</v>
      </c>
      <c r="C133" s="2" t="s">
        <v>426</v>
      </c>
      <c r="D133" s="2" t="s">
        <v>427</v>
      </c>
      <c r="E133" s="2" t="s">
        <v>123</v>
      </c>
      <c r="F133" s="3">
        <v>46127</v>
      </c>
      <c r="G133" s="4">
        <v>0</v>
      </c>
      <c r="H133" s="3">
        <v>46127</v>
      </c>
      <c r="I133" s="7">
        <v>-168395</v>
      </c>
      <c r="J133" s="2" t="s">
        <v>70</v>
      </c>
      <c r="K133" s="2" t="s">
        <v>520</v>
      </c>
      <c r="L133" s="2" t="s">
        <v>18</v>
      </c>
      <c r="M133" s="2" t="s">
        <v>94</v>
      </c>
      <c r="N133" s="18">
        <f t="shared" si="43"/>
        <v>46172</v>
      </c>
      <c r="O133" s="20"/>
      <c r="Q133" s="18">
        <f t="shared" si="44"/>
        <v>46127</v>
      </c>
      <c r="R133" s="10">
        <f t="shared" si="45"/>
        <v>-168395</v>
      </c>
      <c r="S133" s="20">
        <f t="shared" ca="1" si="46"/>
        <v>5</v>
      </c>
      <c r="T133" s="21" t="s">
        <v>528</v>
      </c>
    </row>
    <row r="134" spans="1:20" hidden="1" outlineLevel="1" x14ac:dyDescent="0.3">
      <c r="A134" s="2" t="s">
        <v>428</v>
      </c>
      <c r="B134" s="2" t="s">
        <v>429</v>
      </c>
      <c r="C134" s="2" t="s">
        <v>430</v>
      </c>
      <c r="D134" s="2" t="s">
        <v>431</v>
      </c>
      <c r="E134" s="2" t="s">
        <v>16</v>
      </c>
      <c r="F134" s="3">
        <v>46116</v>
      </c>
      <c r="G134" s="4">
        <v>2</v>
      </c>
      <c r="H134" s="3">
        <v>46123</v>
      </c>
      <c r="I134" s="5">
        <v>590</v>
      </c>
      <c r="J134" s="2" t="s">
        <v>17</v>
      </c>
      <c r="K134" s="2" t="s">
        <v>512</v>
      </c>
      <c r="L134" s="2" t="s">
        <v>18</v>
      </c>
      <c r="M134" s="2" t="s">
        <v>18</v>
      </c>
      <c r="Q134" s="18">
        <f t="shared" ref="Q134:Q140" si="47">H134</f>
        <v>46123</v>
      </c>
      <c r="R134" s="19">
        <f t="shared" ref="R134:R138" si="48">I134/3.385</f>
        <v>174.29837518463813</v>
      </c>
    </row>
    <row r="135" spans="1:20" hidden="1" outlineLevel="1" x14ac:dyDescent="0.3">
      <c r="A135" s="2" t="s">
        <v>428</v>
      </c>
      <c r="B135" s="2" t="s">
        <v>432</v>
      </c>
      <c r="C135" s="2" t="s">
        <v>433</v>
      </c>
      <c r="D135" s="2" t="s">
        <v>434</v>
      </c>
      <c r="E135" s="2" t="s">
        <v>16</v>
      </c>
      <c r="F135" s="3">
        <v>46116</v>
      </c>
      <c r="G135" s="4">
        <v>2</v>
      </c>
      <c r="H135" s="3">
        <v>46123</v>
      </c>
      <c r="I135" s="5">
        <v>590</v>
      </c>
      <c r="J135" s="2" t="s">
        <v>17</v>
      </c>
      <c r="K135" s="2" t="s">
        <v>512</v>
      </c>
      <c r="L135" s="2" t="s">
        <v>18</v>
      </c>
      <c r="M135" s="2" t="s">
        <v>18</v>
      </c>
      <c r="Q135" s="18">
        <f t="shared" si="47"/>
        <v>46123</v>
      </c>
      <c r="R135" s="19">
        <f t="shared" si="48"/>
        <v>174.29837518463813</v>
      </c>
    </row>
    <row r="136" spans="1:20" hidden="1" outlineLevel="1" x14ac:dyDescent="0.3">
      <c r="A136" s="2" t="s">
        <v>428</v>
      </c>
      <c r="B136" s="2" t="s">
        <v>435</v>
      </c>
      <c r="C136" s="2" t="s">
        <v>436</v>
      </c>
      <c r="D136" s="2" t="s">
        <v>437</v>
      </c>
      <c r="E136" s="2" t="s">
        <v>16</v>
      </c>
      <c r="F136" s="3">
        <v>46118</v>
      </c>
      <c r="G136" s="4">
        <v>0</v>
      </c>
      <c r="H136" s="3">
        <v>46125</v>
      </c>
      <c r="I136" s="5">
        <v>590</v>
      </c>
      <c r="J136" s="2" t="s">
        <v>17</v>
      </c>
      <c r="K136" s="2" t="s">
        <v>512</v>
      </c>
      <c r="L136" s="2" t="s">
        <v>18</v>
      </c>
      <c r="M136" s="2" t="s">
        <v>18</v>
      </c>
      <c r="Q136" s="18">
        <f t="shared" si="47"/>
        <v>46125</v>
      </c>
      <c r="R136" s="19">
        <f t="shared" si="48"/>
        <v>174.29837518463813</v>
      </c>
    </row>
    <row r="137" spans="1:20" hidden="1" outlineLevel="1" x14ac:dyDescent="0.3">
      <c r="A137" s="2" t="s">
        <v>428</v>
      </c>
      <c r="B137" s="2" t="s">
        <v>438</v>
      </c>
      <c r="C137" s="2" t="s">
        <v>439</v>
      </c>
      <c r="D137" s="2" t="s">
        <v>440</v>
      </c>
      <c r="E137" s="2" t="s">
        <v>16</v>
      </c>
      <c r="F137" s="3">
        <v>46120</v>
      </c>
      <c r="G137" s="6">
        <v>-2</v>
      </c>
      <c r="H137" s="3">
        <v>46127</v>
      </c>
      <c r="I137" s="5">
        <v>590</v>
      </c>
      <c r="J137" s="2" t="s">
        <v>17</v>
      </c>
      <c r="K137" s="2" t="s">
        <v>512</v>
      </c>
      <c r="L137" s="2" t="s">
        <v>18</v>
      </c>
      <c r="M137" s="2" t="s">
        <v>18</v>
      </c>
      <c r="Q137" s="18">
        <f t="shared" si="47"/>
        <v>46127</v>
      </c>
      <c r="R137" s="19">
        <f t="shared" si="48"/>
        <v>174.29837518463813</v>
      </c>
    </row>
    <row r="138" spans="1:20" hidden="1" outlineLevel="1" x14ac:dyDescent="0.3">
      <c r="A138" s="2" t="s">
        <v>428</v>
      </c>
      <c r="B138" s="2" t="s">
        <v>441</v>
      </c>
      <c r="C138" s="2" t="s">
        <v>442</v>
      </c>
      <c r="D138" s="2" t="s">
        <v>443</v>
      </c>
      <c r="E138" s="2" t="s">
        <v>16</v>
      </c>
      <c r="F138" s="3">
        <v>46122</v>
      </c>
      <c r="G138" s="6">
        <v>-4</v>
      </c>
      <c r="H138" s="3">
        <v>46129</v>
      </c>
      <c r="I138" s="5">
        <v>590</v>
      </c>
      <c r="J138" s="2" t="s">
        <v>17</v>
      </c>
      <c r="K138" s="2" t="s">
        <v>512</v>
      </c>
      <c r="L138" s="2" t="s">
        <v>18</v>
      </c>
      <c r="M138" s="2" t="s">
        <v>18</v>
      </c>
      <c r="Q138" s="18">
        <f t="shared" si="47"/>
        <v>46129</v>
      </c>
      <c r="R138" s="19">
        <f t="shared" si="48"/>
        <v>174.29837518463813</v>
      </c>
    </row>
    <row r="139" spans="1:20" hidden="1" outlineLevel="1" x14ac:dyDescent="0.3">
      <c r="A139" s="2" t="s">
        <v>444</v>
      </c>
      <c r="B139" s="2" t="s">
        <v>445</v>
      </c>
      <c r="C139" s="2" t="s">
        <v>446</v>
      </c>
      <c r="D139" s="2" t="s">
        <v>447</v>
      </c>
      <c r="E139" s="2" t="s">
        <v>123</v>
      </c>
      <c r="F139" s="3">
        <v>46083</v>
      </c>
      <c r="G139" s="4">
        <v>0</v>
      </c>
      <c r="H139" s="3">
        <v>46112</v>
      </c>
      <c r="I139" s="7">
        <v>-13900</v>
      </c>
      <c r="J139" s="2" t="s">
        <v>70</v>
      </c>
      <c r="K139" s="2" t="s">
        <v>520</v>
      </c>
      <c r="L139" s="2" t="s">
        <v>18</v>
      </c>
      <c r="M139" s="2" t="s">
        <v>18</v>
      </c>
      <c r="N139" s="18">
        <f t="shared" ref="N139:N140" si="49">F139+45</f>
        <v>46128</v>
      </c>
      <c r="O139" s="20"/>
      <c r="Q139" s="18">
        <f t="shared" si="47"/>
        <v>46112</v>
      </c>
      <c r="R139" s="10">
        <f t="shared" ref="R139:R140" si="50">I139</f>
        <v>-13900</v>
      </c>
      <c r="S139" s="20">
        <f t="shared" ref="S139:S140" ca="1" si="51">TODAY()-F139</f>
        <v>49</v>
      </c>
      <c r="T139" s="21" t="s">
        <v>529</v>
      </c>
    </row>
    <row r="140" spans="1:20" hidden="1" outlineLevel="1" x14ac:dyDescent="0.3">
      <c r="A140" s="2" t="s">
        <v>444</v>
      </c>
      <c r="B140" s="2" t="s">
        <v>448</v>
      </c>
      <c r="C140" s="2" t="s">
        <v>449</v>
      </c>
      <c r="D140" s="2" t="s">
        <v>450</v>
      </c>
      <c r="E140" s="2" t="s">
        <v>69</v>
      </c>
      <c r="F140" s="3">
        <v>46111</v>
      </c>
      <c r="G140" s="6">
        <v>-31</v>
      </c>
      <c r="H140" s="3">
        <v>46156</v>
      </c>
      <c r="I140" s="5">
        <v>70200</v>
      </c>
      <c r="J140" s="2" t="s">
        <v>70</v>
      </c>
      <c r="K140" s="2" t="s">
        <v>520</v>
      </c>
      <c r="L140" s="2" t="s">
        <v>18</v>
      </c>
      <c r="M140" s="2" t="s">
        <v>18</v>
      </c>
      <c r="N140" s="18">
        <f t="shared" si="49"/>
        <v>46156</v>
      </c>
      <c r="O140" s="20">
        <f t="shared" ref="O140" ca="1" si="52">P140-TODAY()</f>
        <v>24</v>
      </c>
      <c r="P140" s="18">
        <v>46156</v>
      </c>
      <c r="Q140" s="18">
        <f t="shared" si="47"/>
        <v>46156</v>
      </c>
      <c r="R140" s="10">
        <f t="shared" si="50"/>
        <v>70200</v>
      </c>
      <c r="S140" s="20">
        <f t="shared" ca="1" si="51"/>
        <v>21</v>
      </c>
      <c r="T140" s="21" t="s">
        <v>528</v>
      </c>
    </row>
    <row r="141" spans="1:20" hidden="1" outlineLevel="1" x14ac:dyDescent="0.3">
      <c r="A141" s="2" t="s">
        <v>451</v>
      </c>
      <c r="B141" s="2" t="s">
        <v>452</v>
      </c>
      <c r="C141" s="2" t="s">
        <v>453</v>
      </c>
      <c r="D141" s="2" t="s">
        <v>454</v>
      </c>
      <c r="E141" s="2" t="s">
        <v>146</v>
      </c>
      <c r="F141" s="3">
        <v>46104</v>
      </c>
      <c r="G141" s="4">
        <v>0</v>
      </c>
      <c r="H141" s="3">
        <v>46104</v>
      </c>
      <c r="I141" s="7">
        <v>-47.2</v>
      </c>
      <c r="J141" s="2" t="s">
        <v>17</v>
      </c>
      <c r="K141" s="2" t="s">
        <v>512</v>
      </c>
      <c r="L141" s="2" t="s">
        <v>18</v>
      </c>
      <c r="M141" s="2" t="s">
        <v>18</v>
      </c>
      <c r="Q141" s="18">
        <f t="shared" ref="Q141:Q158" si="53">H141</f>
        <v>46104</v>
      </c>
      <c r="R141" s="19">
        <f t="shared" ref="R141:R149" si="54">I141/3.385</f>
        <v>-13.943870014771051</v>
      </c>
    </row>
    <row r="142" spans="1:20" hidden="1" outlineLevel="1" x14ac:dyDescent="0.3">
      <c r="A142" s="2" t="s">
        <v>451</v>
      </c>
      <c r="B142" s="2" t="s">
        <v>455</v>
      </c>
      <c r="C142" s="2" t="s">
        <v>456</v>
      </c>
      <c r="D142" s="2" t="s">
        <v>457</v>
      </c>
      <c r="E142" s="2" t="s">
        <v>16</v>
      </c>
      <c r="F142" s="3">
        <v>46116</v>
      </c>
      <c r="G142" s="4">
        <v>2</v>
      </c>
      <c r="H142" s="3">
        <v>46123</v>
      </c>
      <c r="I142" s="5">
        <v>593.29999999999995</v>
      </c>
      <c r="J142" s="2" t="s">
        <v>17</v>
      </c>
      <c r="K142" s="2" t="s">
        <v>512</v>
      </c>
      <c r="L142" s="2" t="s">
        <v>18</v>
      </c>
      <c r="M142" s="2" t="s">
        <v>18</v>
      </c>
      <c r="Q142" s="18">
        <f t="shared" si="53"/>
        <v>46123</v>
      </c>
      <c r="R142" s="19">
        <f t="shared" si="54"/>
        <v>175.27326440177254</v>
      </c>
    </row>
    <row r="143" spans="1:20" hidden="1" outlineLevel="1" x14ac:dyDescent="0.3">
      <c r="A143" s="2" t="s">
        <v>451</v>
      </c>
      <c r="B143" s="2" t="s">
        <v>458</v>
      </c>
      <c r="C143" s="2" t="s">
        <v>459</v>
      </c>
      <c r="D143" s="2" t="s">
        <v>460</v>
      </c>
      <c r="E143" s="2" t="s">
        <v>16</v>
      </c>
      <c r="F143" s="3">
        <v>46116</v>
      </c>
      <c r="G143" s="4">
        <v>2</v>
      </c>
      <c r="H143" s="3">
        <v>46123</v>
      </c>
      <c r="I143" s="5">
        <v>123.9</v>
      </c>
      <c r="J143" s="2" t="s">
        <v>17</v>
      </c>
      <c r="K143" s="2" t="s">
        <v>512</v>
      </c>
      <c r="L143" s="2" t="s">
        <v>18</v>
      </c>
      <c r="M143" s="2" t="s">
        <v>18</v>
      </c>
      <c r="Q143" s="18">
        <f t="shared" si="53"/>
        <v>46123</v>
      </c>
      <c r="R143" s="19">
        <f t="shared" si="54"/>
        <v>36.602658788774008</v>
      </c>
    </row>
    <row r="144" spans="1:20" hidden="1" outlineLevel="1" x14ac:dyDescent="0.3">
      <c r="A144" s="2" t="s">
        <v>451</v>
      </c>
      <c r="B144" s="2" t="s">
        <v>461</v>
      </c>
      <c r="C144" s="2" t="s">
        <v>462</v>
      </c>
      <c r="D144" s="2" t="s">
        <v>463</v>
      </c>
      <c r="E144" s="2" t="s">
        <v>16</v>
      </c>
      <c r="F144" s="3">
        <v>46118</v>
      </c>
      <c r="G144" s="4">
        <v>7</v>
      </c>
      <c r="H144" s="3">
        <v>46118</v>
      </c>
      <c r="I144" s="5">
        <v>165.2</v>
      </c>
      <c r="J144" s="2" t="s">
        <v>17</v>
      </c>
      <c r="K144" s="2" t="s">
        <v>512</v>
      </c>
      <c r="L144" s="2" t="s">
        <v>18</v>
      </c>
      <c r="M144" s="2" t="s">
        <v>18</v>
      </c>
      <c r="Q144" s="18">
        <f t="shared" si="53"/>
        <v>46118</v>
      </c>
      <c r="R144" s="19">
        <f t="shared" si="54"/>
        <v>48.80354505169867</v>
      </c>
    </row>
    <row r="145" spans="1:20" hidden="1" outlineLevel="1" x14ac:dyDescent="0.3">
      <c r="A145" s="2" t="s">
        <v>451</v>
      </c>
      <c r="B145" s="2" t="s">
        <v>464</v>
      </c>
      <c r="C145" s="2" t="s">
        <v>465</v>
      </c>
      <c r="D145" s="2" t="s">
        <v>466</v>
      </c>
      <c r="E145" s="2" t="s">
        <v>16</v>
      </c>
      <c r="F145" s="3">
        <v>46120</v>
      </c>
      <c r="G145" s="6">
        <v>-2</v>
      </c>
      <c r="H145" s="3">
        <v>46127</v>
      </c>
      <c r="I145" s="5">
        <v>554.13</v>
      </c>
      <c r="J145" s="2" t="s">
        <v>17</v>
      </c>
      <c r="K145" s="2" t="s">
        <v>512</v>
      </c>
      <c r="L145" s="2" t="s">
        <v>18</v>
      </c>
      <c r="M145" s="2" t="s">
        <v>18</v>
      </c>
      <c r="Q145" s="18">
        <f t="shared" si="53"/>
        <v>46127</v>
      </c>
      <c r="R145" s="19">
        <f t="shared" si="54"/>
        <v>163.7016248153619</v>
      </c>
    </row>
    <row r="146" spans="1:20" hidden="1" outlineLevel="1" x14ac:dyDescent="0.3">
      <c r="A146" s="2" t="s">
        <v>451</v>
      </c>
      <c r="B146" s="2" t="s">
        <v>467</v>
      </c>
      <c r="C146" s="2" t="s">
        <v>468</v>
      </c>
      <c r="D146" s="2" t="s">
        <v>469</v>
      </c>
      <c r="E146" s="2" t="s">
        <v>16</v>
      </c>
      <c r="F146" s="3">
        <v>46120</v>
      </c>
      <c r="G146" s="6">
        <v>-2</v>
      </c>
      <c r="H146" s="3">
        <v>46127</v>
      </c>
      <c r="I146" s="5">
        <v>123.9</v>
      </c>
      <c r="J146" s="2" t="s">
        <v>17</v>
      </c>
      <c r="K146" s="2" t="s">
        <v>512</v>
      </c>
      <c r="L146" s="2" t="s">
        <v>18</v>
      </c>
      <c r="M146" s="2" t="s">
        <v>18</v>
      </c>
      <c r="Q146" s="18">
        <f t="shared" si="53"/>
        <v>46127</v>
      </c>
      <c r="R146" s="19">
        <f t="shared" si="54"/>
        <v>36.602658788774008</v>
      </c>
    </row>
    <row r="147" spans="1:20" hidden="1" outlineLevel="1" x14ac:dyDescent="0.3">
      <c r="A147" s="2" t="s">
        <v>451</v>
      </c>
      <c r="B147" s="2" t="s">
        <v>470</v>
      </c>
      <c r="C147" s="2" t="s">
        <v>471</v>
      </c>
      <c r="D147" s="2" t="s">
        <v>472</v>
      </c>
      <c r="E147" s="2" t="s">
        <v>16</v>
      </c>
      <c r="F147" s="3">
        <v>46120</v>
      </c>
      <c r="G147" s="4">
        <v>5</v>
      </c>
      <c r="H147" s="3">
        <v>46120</v>
      </c>
      <c r="I147" s="5">
        <v>165.2</v>
      </c>
      <c r="J147" s="2" t="s">
        <v>17</v>
      </c>
      <c r="K147" s="2" t="s">
        <v>512</v>
      </c>
      <c r="L147" s="2" t="s">
        <v>18</v>
      </c>
      <c r="M147" s="2" t="s">
        <v>18</v>
      </c>
      <c r="Q147" s="18">
        <f t="shared" si="53"/>
        <v>46120</v>
      </c>
      <c r="R147" s="19">
        <f t="shared" si="54"/>
        <v>48.80354505169867</v>
      </c>
    </row>
    <row r="148" spans="1:20" hidden="1" outlineLevel="1" x14ac:dyDescent="0.3">
      <c r="A148" s="2" t="s">
        <v>473</v>
      </c>
      <c r="B148" s="2" t="s">
        <v>474</v>
      </c>
      <c r="C148" s="2" t="s">
        <v>475</v>
      </c>
      <c r="D148" s="2" t="s">
        <v>476</v>
      </c>
      <c r="E148" s="2" t="s">
        <v>123</v>
      </c>
      <c r="F148" s="3">
        <v>45942</v>
      </c>
      <c r="G148" s="4">
        <v>183</v>
      </c>
      <c r="H148" s="3">
        <v>45942</v>
      </c>
      <c r="I148" s="5">
        <v>56.64</v>
      </c>
      <c r="J148" s="2" t="s">
        <v>17</v>
      </c>
      <c r="K148" s="2" t="s">
        <v>512</v>
      </c>
      <c r="L148" s="2" t="s">
        <v>18</v>
      </c>
      <c r="M148" s="2" t="s">
        <v>18</v>
      </c>
      <c r="Q148" s="18">
        <f t="shared" si="53"/>
        <v>45942</v>
      </c>
      <c r="R148" s="19">
        <f t="shared" si="54"/>
        <v>16.73264401772526</v>
      </c>
    </row>
    <row r="149" spans="1:20" hidden="1" outlineLevel="1" x14ac:dyDescent="0.3">
      <c r="A149" s="2" t="s">
        <v>477</v>
      </c>
      <c r="B149" s="2" t="s">
        <v>478</v>
      </c>
      <c r="C149" s="2" t="s">
        <v>479</v>
      </c>
      <c r="D149" s="2" t="s">
        <v>480</v>
      </c>
      <c r="E149" s="2" t="s">
        <v>16</v>
      </c>
      <c r="F149" s="3">
        <v>46113</v>
      </c>
      <c r="G149" s="4">
        <v>5</v>
      </c>
      <c r="H149" s="3">
        <v>46120</v>
      </c>
      <c r="I149" s="5">
        <v>1699.2</v>
      </c>
      <c r="J149" s="2" t="s">
        <v>17</v>
      </c>
      <c r="K149" s="2" t="s">
        <v>512</v>
      </c>
      <c r="L149" s="2" t="s">
        <v>18</v>
      </c>
      <c r="M149" s="2" t="s">
        <v>18</v>
      </c>
      <c r="Q149" s="18">
        <f t="shared" si="53"/>
        <v>46120</v>
      </c>
      <c r="R149" s="19">
        <f t="shared" si="54"/>
        <v>501.97932053175782</v>
      </c>
    </row>
    <row r="150" spans="1:20" hidden="1" outlineLevel="1" x14ac:dyDescent="0.3">
      <c r="A150" s="2" t="s">
        <v>481</v>
      </c>
      <c r="B150" s="2" t="s">
        <v>483</v>
      </c>
      <c r="C150" s="2" t="s">
        <v>484</v>
      </c>
      <c r="D150" s="2" t="s">
        <v>485</v>
      </c>
      <c r="E150" s="2" t="s">
        <v>69</v>
      </c>
      <c r="F150" s="3">
        <v>46109</v>
      </c>
      <c r="G150" s="6">
        <v>-29</v>
      </c>
      <c r="H150" s="3">
        <v>46154</v>
      </c>
      <c r="I150" s="5">
        <v>76800</v>
      </c>
      <c r="J150" s="2" t="s">
        <v>70</v>
      </c>
      <c r="K150" s="2" t="s">
        <v>520</v>
      </c>
      <c r="L150" s="2" t="s">
        <v>18</v>
      </c>
      <c r="M150" s="2" t="s">
        <v>18</v>
      </c>
      <c r="N150" s="18">
        <f t="shared" ref="N150:N158" si="55">F150+45</f>
        <v>46154</v>
      </c>
      <c r="O150" s="20">
        <f t="shared" ref="O150:O155" ca="1" si="56">P150-TODAY()</f>
        <v>22</v>
      </c>
      <c r="P150" s="18">
        <v>46154</v>
      </c>
      <c r="Q150" s="18">
        <f t="shared" si="53"/>
        <v>46154</v>
      </c>
      <c r="R150" s="10">
        <f t="shared" ref="R150:R158" si="57">I150</f>
        <v>76800</v>
      </c>
      <c r="S150" s="20">
        <f t="shared" ref="S150:S158" ca="1" si="58">TODAY()-F150</f>
        <v>23</v>
      </c>
      <c r="T150" s="21" t="s">
        <v>528</v>
      </c>
    </row>
    <row r="151" spans="1:20" hidden="1" outlineLevel="1" x14ac:dyDescent="0.3">
      <c r="A151" s="2" t="s">
        <v>481</v>
      </c>
      <c r="B151" s="2" t="s">
        <v>486</v>
      </c>
      <c r="C151" s="2" t="s">
        <v>487</v>
      </c>
      <c r="D151" s="2" t="s">
        <v>488</v>
      </c>
      <c r="E151" s="2" t="s">
        <v>69</v>
      </c>
      <c r="F151" s="3">
        <v>46109</v>
      </c>
      <c r="G151" s="6">
        <v>-29</v>
      </c>
      <c r="H151" s="3">
        <v>46154</v>
      </c>
      <c r="I151" s="5">
        <v>86240</v>
      </c>
      <c r="J151" s="2" t="s">
        <v>70</v>
      </c>
      <c r="K151" s="2" t="s">
        <v>520</v>
      </c>
      <c r="L151" s="2" t="s">
        <v>18</v>
      </c>
      <c r="M151" s="2" t="s">
        <v>18</v>
      </c>
      <c r="N151" s="18">
        <f t="shared" si="55"/>
        <v>46154</v>
      </c>
      <c r="O151" s="20">
        <f t="shared" ca="1" si="56"/>
        <v>22</v>
      </c>
      <c r="P151" s="18">
        <v>46154</v>
      </c>
      <c r="Q151" s="18">
        <f t="shared" si="53"/>
        <v>46154</v>
      </c>
      <c r="R151" s="10">
        <f t="shared" si="57"/>
        <v>86240</v>
      </c>
      <c r="S151" s="20">
        <f t="shared" ca="1" si="58"/>
        <v>23</v>
      </c>
      <c r="T151" s="21" t="s">
        <v>528</v>
      </c>
    </row>
    <row r="152" spans="1:20" hidden="1" outlineLevel="1" x14ac:dyDescent="0.3">
      <c r="A152" s="2" t="s">
        <v>481</v>
      </c>
      <c r="B152" s="2" t="s">
        <v>489</v>
      </c>
      <c r="C152" s="2" t="s">
        <v>490</v>
      </c>
      <c r="D152" s="2" t="s">
        <v>491</v>
      </c>
      <c r="E152" s="2" t="s">
        <v>69</v>
      </c>
      <c r="F152" s="3">
        <v>46109</v>
      </c>
      <c r="G152" s="6">
        <v>-29</v>
      </c>
      <c r="H152" s="3">
        <v>46154</v>
      </c>
      <c r="I152" s="5">
        <v>57600</v>
      </c>
      <c r="J152" s="2" t="s">
        <v>70</v>
      </c>
      <c r="K152" s="2" t="s">
        <v>520</v>
      </c>
      <c r="L152" s="2" t="s">
        <v>18</v>
      </c>
      <c r="M152" s="2" t="s">
        <v>18</v>
      </c>
      <c r="N152" s="18">
        <f t="shared" si="55"/>
        <v>46154</v>
      </c>
      <c r="O152" s="20">
        <f t="shared" ca="1" si="56"/>
        <v>22</v>
      </c>
      <c r="P152" s="18">
        <v>46154</v>
      </c>
      <c r="Q152" s="18">
        <f t="shared" si="53"/>
        <v>46154</v>
      </c>
      <c r="R152" s="10">
        <f t="shared" si="57"/>
        <v>57600</v>
      </c>
      <c r="S152" s="20">
        <f t="shared" ca="1" si="58"/>
        <v>23</v>
      </c>
      <c r="T152" s="21" t="s">
        <v>528</v>
      </c>
    </row>
    <row r="153" spans="1:20" hidden="1" outlineLevel="1" x14ac:dyDescent="0.3">
      <c r="A153" s="2" t="s">
        <v>481</v>
      </c>
      <c r="B153" s="2" t="s">
        <v>492</v>
      </c>
      <c r="C153" s="2" t="s">
        <v>493</v>
      </c>
      <c r="D153" s="2" t="s">
        <v>494</v>
      </c>
      <c r="E153" s="2" t="s">
        <v>69</v>
      </c>
      <c r="F153" s="3">
        <v>46109</v>
      </c>
      <c r="G153" s="6">
        <v>-29</v>
      </c>
      <c r="H153" s="3">
        <v>46154</v>
      </c>
      <c r="I153" s="5">
        <v>129600</v>
      </c>
      <c r="J153" s="2" t="s">
        <v>70</v>
      </c>
      <c r="K153" s="2" t="s">
        <v>520</v>
      </c>
      <c r="L153" s="2" t="s">
        <v>18</v>
      </c>
      <c r="M153" s="2" t="s">
        <v>18</v>
      </c>
      <c r="N153" s="18">
        <f t="shared" si="55"/>
        <v>46154</v>
      </c>
      <c r="O153" s="20">
        <f t="shared" ca="1" si="56"/>
        <v>22</v>
      </c>
      <c r="P153" s="18">
        <v>46154</v>
      </c>
      <c r="Q153" s="18">
        <f t="shared" si="53"/>
        <v>46154</v>
      </c>
      <c r="R153" s="10">
        <f t="shared" si="57"/>
        <v>129600</v>
      </c>
      <c r="S153" s="20">
        <f t="shared" ca="1" si="58"/>
        <v>23</v>
      </c>
      <c r="T153" s="21" t="s">
        <v>528</v>
      </c>
    </row>
    <row r="154" spans="1:20" hidden="1" outlineLevel="1" x14ac:dyDescent="0.3">
      <c r="A154" s="2" t="s">
        <v>481</v>
      </c>
      <c r="B154" s="2" t="s">
        <v>495</v>
      </c>
      <c r="C154" s="2" t="s">
        <v>496</v>
      </c>
      <c r="D154" s="2" t="s">
        <v>497</v>
      </c>
      <c r="E154" s="2" t="s">
        <v>69</v>
      </c>
      <c r="F154" s="3">
        <v>46110</v>
      </c>
      <c r="G154" s="6">
        <v>-30</v>
      </c>
      <c r="H154" s="3">
        <v>46155</v>
      </c>
      <c r="I154" s="5">
        <v>67200</v>
      </c>
      <c r="J154" s="2" t="s">
        <v>70</v>
      </c>
      <c r="K154" s="2" t="s">
        <v>520</v>
      </c>
      <c r="L154" s="2" t="s">
        <v>18</v>
      </c>
      <c r="M154" s="2" t="s">
        <v>18</v>
      </c>
      <c r="N154" s="18">
        <f t="shared" si="55"/>
        <v>46155</v>
      </c>
      <c r="O154" s="20">
        <f t="shared" ca="1" si="56"/>
        <v>23</v>
      </c>
      <c r="P154" s="18">
        <v>46155</v>
      </c>
      <c r="Q154" s="18">
        <f t="shared" si="53"/>
        <v>46155</v>
      </c>
      <c r="R154" s="10">
        <f t="shared" si="57"/>
        <v>67200</v>
      </c>
      <c r="S154" s="20">
        <f t="shared" ca="1" si="58"/>
        <v>22</v>
      </c>
      <c r="T154" s="21" t="s">
        <v>528</v>
      </c>
    </row>
    <row r="155" spans="1:20" hidden="1" outlineLevel="1" x14ac:dyDescent="0.3">
      <c r="A155" s="2" t="s">
        <v>481</v>
      </c>
      <c r="B155" s="2" t="s">
        <v>498</v>
      </c>
      <c r="C155" s="2" t="s">
        <v>499</v>
      </c>
      <c r="D155" s="2" t="s">
        <v>500</v>
      </c>
      <c r="E155" s="2" t="s">
        <v>69</v>
      </c>
      <c r="F155" s="3">
        <v>46110</v>
      </c>
      <c r="G155" s="6">
        <v>-30</v>
      </c>
      <c r="H155" s="3">
        <v>46155</v>
      </c>
      <c r="I155" s="5">
        <v>72960</v>
      </c>
      <c r="J155" s="2" t="s">
        <v>70</v>
      </c>
      <c r="K155" s="2" t="s">
        <v>520</v>
      </c>
      <c r="L155" s="2" t="s">
        <v>18</v>
      </c>
      <c r="M155" s="2" t="s">
        <v>18</v>
      </c>
      <c r="N155" s="18">
        <f t="shared" si="55"/>
        <v>46155</v>
      </c>
      <c r="O155" s="20">
        <f t="shared" ca="1" si="56"/>
        <v>23</v>
      </c>
      <c r="P155" s="18">
        <v>46155</v>
      </c>
      <c r="Q155" s="18">
        <f t="shared" si="53"/>
        <v>46155</v>
      </c>
      <c r="R155" s="10">
        <f t="shared" si="57"/>
        <v>72960</v>
      </c>
      <c r="S155" s="20">
        <f t="shared" ca="1" si="58"/>
        <v>22</v>
      </c>
      <c r="T155" s="21" t="s">
        <v>528</v>
      </c>
    </row>
    <row r="156" spans="1:20" hidden="1" outlineLevel="1" x14ac:dyDescent="0.3">
      <c r="A156" s="2" t="s">
        <v>481</v>
      </c>
      <c r="B156" s="2" t="s">
        <v>501</v>
      </c>
      <c r="C156" s="2" t="s">
        <v>502</v>
      </c>
      <c r="D156" s="2" t="s">
        <v>503</v>
      </c>
      <c r="E156" s="2" t="s">
        <v>69</v>
      </c>
      <c r="F156" s="3">
        <v>46120</v>
      </c>
      <c r="G156" s="6">
        <v>-40</v>
      </c>
      <c r="H156" s="3">
        <v>46165</v>
      </c>
      <c r="I156" s="5">
        <v>78200</v>
      </c>
      <c r="J156" s="2" t="s">
        <v>70</v>
      </c>
      <c r="K156" s="2" t="s">
        <v>520</v>
      </c>
      <c r="L156" s="2" t="s">
        <v>18</v>
      </c>
      <c r="M156" s="2" t="s">
        <v>18</v>
      </c>
      <c r="N156" s="18">
        <f t="shared" si="55"/>
        <v>46165</v>
      </c>
      <c r="O156" s="20"/>
      <c r="P156" s="18">
        <f>H156</f>
        <v>46165</v>
      </c>
      <c r="Q156" s="18">
        <f t="shared" si="53"/>
        <v>46165</v>
      </c>
      <c r="R156" s="10">
        <f t="shared" si="57"/>
        <v>78200</v>
      </c>
      <c r="S156" s="20">
        <f t="shared" ca="1" si="58"/>
        <v>12</v>
      </c>
      <c r="T156" s="21" t="s">
        <v>528</v>
      </c>
    </row>
    <row r="157" spans="1:20" hidden="1" outlineLevel="1" x14ac:dyDescent="0.3">
      <c r="A157" s="2" t="s">
        <v>481</v>
      </c>
      <c r="B157" s="2" t="s">
        <v>504</v>
      </c>
      <c r="C157" s="2" t="s">
        <v>505</v>
      </c>
      <c r="D157" s="2" t="s">
        <v>506</v>
      </c>
      <c r="E157" s="2" t="s">
        <v>69</v>
      </c>
      <c r="F157" s="3">
        <v>46120</v>
      </c>
      <c r="G157" s="6">
        <v>-40</v>
      </c>
      <c r="H157" s="3">
        <v>46165</v>
      </c>
      <c r="I157" s="5">
        <v>180000</v>
      </c>
      <c r="J157" s="2" t="s">
        <v>70</v>
      </c>
      <c r="K157" s="2" t="s">
        <v>520</v>
      </c>
      <c r="L157" s="2" t="s">
        <v>18</v>
      </c>
      <c r="M157" s="2" t="s">
        <v>18</v>
      </c>
      <c r="N157" s="18">
        <f t="shared" si="55"/>
        <v>46165</v>
      </c>
      <c r="O157" s="20"/>
      <c r="P157" s="18">
        <f>H157</f>
        <v>46165</v>
      </c>
      <c r="Q157" s="18">
        <f t="shared" si="53"/>
        <v>46165</v>
      </c>
      <c r="R157" s="10">
        <f t="shared" si="57"/>
        <v>180000</v>
      </c>
      <c r="S157" s="20">
        <f t="shared" ca="1" si="58"/>
        <v>12</v>
      </c>
      <c r="T157" s="21" t="s">
        <v>528</v>
      </c>
    </row>
    <row r="158" spans="1:20" hidden="1" outlineLevel="1" x14ac:dyDescent="0.3">
      <c r="A158" s="2" t="s">
        <v>507</v>
      </c>
      <c r="B158" s="2" t="s">
        <v>508</v>
      </c>
      <c r="C158" s="2" t="s">
        <v>509</v>
      </c>
      <c r="D158" s="2" t="s">
        <v>510</v>
      </c>
      <c r="E158" s="2" t="s">
        <v>123</v>
      </c>
      <c r="F158" s="3">
        <v>46098</v>
      </c>
      <c r="G158" s="4">
        <v>0</v>
      </c>
      <c r="H158" s="3">
        <v>46112</v>
      </c>
      <c r="I158" s="7">
        <v>-84100</v>
      </c>
      <c r="J158" s="2" t="s">
        <v>70</v>
      </c>
      <c r="K158" s="2" t="s">
        <v>520</v>
      </c>
      <c r="L158" s="2" t="s">
        <v>18</v>
      </c>
      <c r="M158" s="2" t="s">
        <v>94</v>
      </c>
      <c r="N158" s="18">
        <f t="shared" si="55"/>
        <v>46143</v>
      </c>
      <c r="O158" s="20"/>
      <c r="Q158" s="18">
        <f t="shared" si="53"/>
        <v>46112</v>
      </c>
      <c r="R158" s="10">
        <f t="shared" si="57"/>
        <v>-84100</v>
      </c>
      <c r="S158" s="20">
        <f t="shared" ca="1" si="58"/>
        <v>34</v>
      </c>
      <c r="T158" s="21" t="s">
        <v>528</v>
      </c>
    </row>
    <row r="159" spans="1:20" x14ac:dyDescent="0.3">
      <c r="P159" s="18"/>
      <c r="Q159" s="18"/>
    </row>
  </sheetData>
  <autoFilter ref="A1:T158" xr:uid="{00000000-0001-0000-0000-000000000000}">
    <filterColumn colId="1">
      <filters>
        <filter val="OVERSEA ATLANTIC FISH S.L."/>
      </filters>
    </filterColumn>
    <filterColumn colId="10">
      <filters>
        <filter val="EXPORTACIÓ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Hoja3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2026-04-20T18:13:49Z</dcterms:created>
  <dcterms:modified xsi:type="dcterms:W3CDTF">2026-04-20T20:29:57Z</dcterms:modified>
  <cp:category/>
</cp:coreProperties>
</file>