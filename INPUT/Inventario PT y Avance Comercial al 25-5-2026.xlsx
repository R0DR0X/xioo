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99C57E62-DF61-4B5D-A5D7-B232B9D9F997}" xr6:coauthVersionLast="47" xr6:coauthVersionMax="47" xr10:uidLastSave="{00000000-0000-0000-0000-000000000000}"/>
  <bookViews>
    <workbookView xWindow="-108" yWindow="-108" windowWidth="23256" windowHeight="13896" xr2:uid="{E4429B13-A7AA-4650-B1E1-6AEB596CAB2C}"/>
  </bookViews>
  <sheets>
    <sheet name="RESUMEN AL 25-5-2026" sheetId="3" r:id="rId1"/>
    <sheet name="TD" sheetId="2" r:id="rId2"/>
    <sheet name="Stock Libre" sheetId="1" r:id="rId3"/>
  </sheets>
  <externalReferences>
    <externalReference r:id="rId4"/>
    <externalReference r:id="rId5"/>
  </externalReferences>
  <calcPr calcId="191029"/>
  <pivotCaches>
    <pivotCache cacheId="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21" i="3" l="1"/>
  <c r="BC21" i="3"/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V59" i="1"/>
  <c r="S2" i="1"/>
  <c r="S5" i="1"/>
  <c r="S3" i="1"/>
  <c r="S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AP20" i="3" l="1" a="1"/>
  <c r="AP20" i="3" s="1"/>
  <c r="AO20" i="3" a="1"/>
  <c r="AO20" i="3" s="1"/>
  <c r="AP19" i="3" a="1"/>
  <c r="AP19" i="3" s="1"/>
  <c r="AO19" i="3" a="1"/>
  <c r="AO19" i="3" s="1"/>
  <c r="AP18" i="3" a="1"/>
  <c r="AP18" i="3" s="1"/>
  <c r="AO18" i="3" a="1"/>
  <c r="AO18" i="3" s="1"/>
  <c r="AP17" i="3" a="1"/>
  <c r="AP17" i="3" s="1"/>
  <c r="AO17" i="3" a="1"/>
  <c r="AO17" i="3" s="1"/>
  <c r="AP16" i="3" a="1"/>
  <c r="AP16" i="3" s="1"/>
  <c r="AO16" i="3" a="1"/>
  <c r="AO16" i="3" s="1"/>
  <c r="AP15" i="3" a="1"/>
  <c r="AP15" i="3" s="1"/>
  <c r="AO15" i="3" a="1"/>
  <c r="AO15" i="3" s="1"/>
  <c r="AP14" i="3" a="1"/>
  <c r="AP14" i="3" s="1"/>
  <c r="AO14" i="3" a="1"/>
  <c r="AO14" i="3" s="1"/>
  <c r="AP13" i="3" a="1"/>
  <c r="AP13" i="3" s="1"/>
  <c r="AO13" i="3" a="1"/>
  <c r="AO13" i="3" s="1"/>
  <c r="AP12" i="3" a="1"/>
  <c r="AP12" i="3" s="1"/>
  <c r="AO12" i="3" a="1"/>
  <c r="AO12" i="3" s="1"/>
  <c r="AP11" i="3" a="1"/>
  <c r="AP11" i="3" s="1"/>
  <c r="AO11" i="3" a="1"/>
  <c r="AO11" i="3" s="1"/>
  <c r="AP10" i="3" a="1"/>
  <c r="AP10" i="3" s="1"/>
  <c r="AO10" i="3" a="1"/>
  <c r="AO10" i="3" s="1"/>
  <c r="AP9" i="3" a="1"/>
  <c r="AP9" i="3" s="1"/>
  <c r="AO9" i="3" a="1"/>
  <c r="AO9" i="3" s="1"/>
  <c r="AP8" i="3" a="1"/>
  <c r="AP8" i="3" s="1"/>
  <c r="AO8" i="3" a="1"/>
  <c r="AO8" i="3" s="1"/>
  <c r="AP7" i="3" a="1"/>
  <c r="AP7" i="3" s="1"/>
  <c r="AO7" i="3" a="1"/>
  <c r="AO7" i="3" s="1"/>
  <c r="AM20" i="3" a="1"/>
  <c r="AM20" i="3" s="1"/>
  <c r="AL20" i="3" a="1"/>
  <c r="AL20" i="3" s="1"/>
  <c r="AM19" i="3" a="1"/>
  <c r="AM19" i="3" s="1"/>
  <c r="AL19" i="3" a="1"/>
  <c r="AL19" i="3" s="1"/>
  <c r="AM18" i="3" a="1"/>
  <c r="AM18" i="3" s="1"/>
  <c r="AL18" i="3" a="1"/>
  <c r="AL18" i="3" s="1"/>
  <c r="AM17" i="3" a="1"/>
  <c r="AM17" i="3" s="1"/>
  <c r="AV17" i="3" s="1"/>
  <c r="AL17" i="3" a="1"/>
  <c r="AL17" i="3" s="1"/>
  <c r="AM16" i="3" a="1"/>
  <c r="AM16" i="3" s="1"/>
  <c r="AL16" i="3" a="1"/>
  <c r="AL16" i="3" s="1"/>
  <c r="AM15" i="3" a="1"/>
  <c r="AM15" i="3" s="1"/>
  <c r="AL15" i="3" a="1"/>
  <c r="AL15" i="3" s="1"/>
  <c r="AM14" i="3" a="1"/>
  <c r="AM14" i="3" s="1"/>
  <c r="AL14" i="3" a="1"/>
  <c r="AL14" i="3" s="1"/>
  <c r="AM13" i="3" a="1"/>
  <c r="AM13" i="3" s="1"/>
  <c r="AL13" i="3" a="1"/>
  <c r="AL13" i="3" s="1"/>
  <c r="AM12" i="3" a="1"/>
  <c r="AM12" i="3" s="1"/>
  <c r="AL12" i="3" a="1"/>
  <c r="AL12" i="3" s="1"/>
  <c r="AM11" i="3" a="1"/>
  <c r="AM11" i="3" s="1"/>
  <c r="AV11" i="3" s="1"/>
  <c r="AL11" i="3" a="1"/>
  <c r="AL11" i="3" s="1"/>
  <c r="AM10" i="3" a="1"/>
  <c r="AM10" i="3" s="1"/>
  <c r="AL10" i="3" a="1"/>
  <c r="AL10" i="3" s="1"/>
  <c r="AM9" i="3" a="1"/>
  <c r="AM9" i="3" s="1"/>
  <c r="AL9" i="3" a="1"/>
  <c r="AL9" i="3" s="1"/>
  <c r="AM8" i="3" a="1"/>
  <c r="AM8" i="3" s="1"/>
  <c r="AL8" i="3" a="1"/>
  <c r="AL8" i="3" s="1"/>
  <c r="AM7" i="3" a="1"/>
  <c r="AM7" i="3" s="1"/>
  <c r="AL7" i="3" a="1"/>
  <c r="AL7" i="3" s="1"/>
  <c r="AJ20" i="3" a="1"/>
  <c r="AJ20" i="3" s="1"/>
  <c r="AI20" i="3" a="1"/>
  <c r="AI20" i="3" s="1"/>
  <c r="AJ19" i="3" a="1"/>
  <c r="AJ19" i="3" s="1"/>
  <c r="AI19" i="3" a="1"/>
  <c r="AI19" i="3" s="1"/>
  <c r="AJ18" i="3" a="1"/>
  <c r="AJ18" i="3" s="1"/>
  <c r="AI18" i="3" a="1"/>
  <c r="AI18" i="3" s="1"/>
  <c r="AJ17" i="3" a="1"/>
  <c r="AJ17" i="3" s="1"/>
  <c r="AI17" i="3" a="1"/>
  <c r="AI17" i="3" s="1"/>
  <c r="AJ16" i="3" a="1"/>
  <c r="AJ16" i="3" s="1"/>
  <c r="AI16" i="3" a="1"/>
  <c r="AI16" i="3" s="1"/>
  <c r="AJ15" i="3" a="1"/>
  <c r="AJ15" i="3" s="1"/>
  <c r="AI15" i="3" a="1"/>
  <c r="AI15" i="3" s="1"/>
  <c r="AJ14" i="3" a="1"/>
  <c r="AJ14" i="3" s="1"/>
  <c r="AI14" i="3" a="1"/>
  <c r="AI14" i="3" s="1"/>
  <c r="AJ13" i="3" a="1"/>
  <c r="AJ13" i="3" s="1"/>
  <c r="AI13" i="3" a="1"/>
  <c r="AI13" i="3" s="1"/>
  <c r="AJ12" i="3" a="1"/>
  <c r="AJ12" i="3" s="1"/>
  <c r="AI12" i="3" a="1"/>
  <c r="AI12" i="3" s="1"/>
  <c r="AJ11" i="3" a="1"/>
  <c r="AJ11" i="3" s="1"/>
  <c r="AI11" i="3" a="1"/>
  <c r="AI11" i="3" s="1"/>
  <c r="AJ10" i="3" a="1"/>
  <c r="AJ10" i="3" s="1"/>
  <c r="AI10" i="3" a="1"/>
  <c r="AI10" i="3" s="1"/>
  <c r="AJ9" i="3" a="1"/>
  <c r="AJ9" i="3" s="1"/>
  <c r="AI9" i="3" a="1"/>
  <c r="AI9" i="3" s="1"/>
  <c r="AJ8" i="3" a="1"/>
  <c r="AJ8" i="3" s="1"/>
  <c r="AI8" i="3" a="1"/>
  <c r="AI8" i="3" s="1"/>
  <c r="AJ7" i="3" a="1"/>
  <c r="AJ7" i="3" s="1"/>
  <c r="AI7" i="3" a="1"/>
  <c r="AI7" i="3" s="1"/>
  <c r="AG20" i="3" a="1"/>
  <c r="AG20" i="3" s="1"/>
  <c r="AF20" i="3" a="1"/>
  <c r="AF20" i="3" s="1"/>
  <c r="AG19" i="3" a="1"/>
  <c r="AG19" i="3" s="1"/>
  <c r="AF19" i="3" a="1"/>
  <c r="AF19" i="3" s="1"/>
  <c r="AG18" i="3" a="1"/>
  <c r="AG18" i="3" s="1"/>
  <c r="AF18" i="3" a="1"/>
  <c r="AF18" i="3" s="1"/>
  <c r="AG17" i="3" a="1"/>
  <c r="AG17" i="3" s="1"/>
  <c r="AF17" i="3" a="1"/>
  <c r="AF17" i="3" s="1"/>
  <c r="AG16" i="3" a="1"/>
  <c r="AG16" i="3" s="1"/>
  <c r="AF16" i="3" a="1"/>
  <c r="AF16" i="3" s="1"/>
  <c r="AG15" i="3" a="1"/>
  <c r="AG15" i="3" s="1"/>
  <c r="AF15" i="3" a="1"/>
  <c r="AF15" i="3" s="1"/>
  <c r="AG14" i="3" a="1"/>
  <c r="AG14" i="3" s="1"/>
  <c r="AF14" i="3" a="1"/>
  <c r="AF14" i="3" s="1"/>
  <c r="AG13" i="3" a="1"/>
  <c r="AG13" i="3" s="1"/>
  <c r="AF13" i="3" a="1"/>
  <c r="AF13" i="3" s="1"/>
  <c r="AG12" i="3" a="1"/>
  <c r="AG12" i="3" s="1"/>
  <c r="AF12" i="3" a="1"/>
  <c r="AF12" i="3" s="1"/>
  <c r="AG11" i="3" a="1"/>
  <c r="AG11" i="3" s="1"/>
  <c r="AF11" i="3" a="1"/>
  <c r="AF11" i="3" s="1"/>
  <c r="AG10" i="3" a="1"/>
  <c r="AG10" i="3" s="1"/>
  <c r="AF10" i="3" a="1"/>
  <c r="AF10" i="3" s="1"/>
  <c r="AG9" i="3" a="1"/>
  <c r="AG9" i="3" s="1"/>
  <c r="AF9" i="3" a="1"/>
  <c r="AF9" i="3" s="1"/>
  <c r="AG8" i="3" a="1"/>
  <c r="AG8" i="3" s="1"/>
  <c r="AF8" i="3" a="1"/>
  <c r="AF8" i="3" s="1"/>
  <c r="AG7" i="3" a="1"/>
  <c r="AG7" i="3" s="1"/>
  <c r="AF7" i="3" a="1"/>
  <c r="AF7" i="3" s="1"/>
  <c r="AD20" i="3" a="1"/>
  <c r="AD20" i="3" s="1"/>
  <c r="AC20" i="3" a="1"/>
  <c r="AC20" i="3" s="1"/>
  <c r="AD19" i="3" a="1"/>
  <c r="AD19" i="3" s="1"/>
  <c r="AC19" i="3" a="1"/>
  <c r="AC19" i="3" s="1"/>
  <c r="AD18" i="3" a="1"/>
  <c r="AD18" i="3" s="1"/>
  <c r="AC18" i="3" a="1"/>
  <c r="AC18" i="3" s="1"/>
  <c r="AD17" i="3" a="1"/>
  <c r="AD17" i="3" s="1"/>
  <c r="AC17" i="3" a="1"/>
  <c r="AC17" i="3" s="1"/>
  <c r="AD16" i="3" a="1"/>
  <c r="AD16" i="3" s="1"/>
  <c r="AC16" i="3" a="1"/>
  <c r="AC16" i="3" s="1"/>
  <c r="AD15" i="3" a="1"/>
  <c r="AD15" i="3" s="1"/>
  <c r="AC15" i="3" a="1"/>
  <c r="AC15" i="3" s="1"/>
  <c r="AD14" i="3" a="1"/>
  <c r="AD14" i="3" s="1"/>
  <c r="AC14" i="3" a="1"/>
  <c r="AC14" i="3" s="1"/>
  <c r="AD13" i="3" a="1"/>
  <c r="AD13" i="3" s="1"/>
  <c r="AC13" i="3" a="1"/>
  <c r="AC13" i="3" s="1"/>
  <c r="AD12" i="3" a="1"/>
  <c r="AD12" i="3" s="1"/>
  <c r="AC12" i="3" a="1"/>
  <c r="AC12" i="3" s="1"/>
  <c r="AD11" i="3" a="1"/>
  <c r="AD11" i="3" s="1"/>
  <c r="AC11" i="3" a="1"/>
  <c r="AC11" i="3" s="1"/>
  <c r="AD10" i="3" a="1"/>
  <c r="AD10" i="3" s="1"/>
  <c r="AC10" i="3" a="1"/>
  <c r="AC10" i="3" s="1"/>
  <c r="AD9" i="3" a="1"/>
  <c r="AD9" i="3" s="1"/>
  <c r="AC9" i="3" a="1"/>
  <c r="AC9" i="3" s="1"/>
  <c r="AD8" i="3" a="1"/>
  <c r="AD8" i="3" s="1"/>
  <c r="AC8" i="3" a="1"/>
  <c r="AC8" i="3" s="1"/>
  <c r="AD7" i="3" a="1"/>
  <c r="AD7" i="3" s="1"/>
  <c r="AC7" i="3" a="1"/>
  <c r="AC7" i="3" s="1"/>
  <c r="AA20" i="3" a="1"/>
  <c r="AA20" i="3" s="1"/>
  <c r="Z20" i="3" a="1"/>
  <c r="Z20" i="3" s="1"/>
  <c r="AA19" i="3" a="1"/>
  <c r="AA19" i="3" s="1"/>
  <c r="Z19" i="3" a="1"/>
  <c r="Z19" i="3" s="1"/>
  <c r="AA18" i="3" a="1"/>
  <c r="AA18" i="3" s="1"/>
  <c r="Z18" i="3" a="1"/>
  <c r="Z18" i="3" s="1"/>
  <c r="AA17" i="3" a="1"/>
  <c r="AA17" i="3" s="1"/>
  <c r="Z17" i="3" a="1"/>
  <c r="Z17" i="3" s="1"/>
  <c r="AA16" i="3" a="1"/>
  <c r="AA16" i="3" s="1"/>
  <c r="Z16" i="3" a="1"/>
  <c r="Z16" i="3" s="1"/>
  <c r="AA15" i="3" a="1"/>
  <c r="AA15" i="3" s="1"/>
  <c r="Z15" i="3" a="1"/>
  <c r="Z15" i="3" s="1"/>
  <c r="AA14" i="3" a="1"/>
  <c r="AA14" i="3" s="1"/>
  <c r="Z14" i="3" a="1"/>
  <c r="Z14" i="3" s="1"/>
  <c r="AA13" i="3" a="1"/>
  <c r="AA13" i="3" s="1"/>
  <c r="Z13" i="3" a="1"/>
  <c r="Z13" i="3" s="1"/>
  <c r="AA12" i="3" a="1"/>
  <c r="AA12" i="3" s="1"/>
  <c r="Z12" i="3" a="1"/>
  <c r="Z12" i="3" s="1"/>
  <c r="AA11" i="3" a="1"/>
  <c r="AA11" i="3" s="1"/>
  <c r="Z11" i="3" a="1"/>
  <c r="Z11" i="3" s="1"/>
  <c r="AA10" i="3" a="1"/>
  <c r="AA10" i="3" s="1"/>
  <c r="Z10" i="3" a="1"/>
  <c r="Z10" i="3" s="1"/>
  <c r="AA9" i="3" a="1"/>
  <c r="AA9" i="3" s="1"/>
  <c r="Z9" i="3" a="1"/>
  <c r="Z9" i="3" s="1"/>
  <c r="AA8" i="3" a="1"/>
  <c r="AA8" i="3" s="1"/>
  <c r="Z8" i="3" a="1"/>
  <c r="Z8" i="3" s="1"/>
  <c r="AA7" i="3" a="1"/>
  <c r="AA7" i="3" s="1"/>
  <c r="Z7" i="3" a="1"/>
  <c r="Z7" i="3" s="1"/>
  <c r="W7" i="3" a="1"/>
  <c r="W7" i="3" s="1"/>
  <c r="X20" i="3" a="1"/>
  <c r="X20" i="3" s="1"/>
  <c r="W20" i="3" a="1"/>
  <c r="W20" i="3" s="1"/>
  <c r="X19" i="3" a="1"/>
  <c r="X19" i="3" s="1"/>
  <c r="W19" i="3" a="1"/>
  <c r="W19" i="3" s="1"/>
  <c r="X18" i="3" a="1"/>
  <c r="X18" i="3" s="1"/>
  <c r="W18" i="3" a="1"/>
  <c r="W18" i="3" s="1"/>
  <c r="X17" i="3" a="1"/>
  <c r="X17" i="3" s="1"/>
  <c r="W17" i="3" a="1"/>
  <c r="W17" i="3" s="1"/>
  <c r="X16" i="3" a="1"/>
  <c r="X16" i="3" s="1"/>
  <c r="W16" i="3" a="1"/>
  <c r="W16" i="3" s="1"/>
  <c r="X15" i="3" a="1"/>
  <c r="X15" i="3" s="1"/>
  <c r="W15" i="3" a="1"/>
  <c r="W15" i="3" s="1"/>
  <c r="X14" i="3" a="1"/>
  <c r="X14" i="3" s="1"/>
  <c r="W14" i="3" a="1"/>
  <c r="W14" i="3" s="1"/>
  <c r="X13" i="3" a="1"/>
  <c r="X13" i="3" s="1"/>
  <c r="W13" i="3" a="1"/>
  <c r="W13" i="3" s="1"/>
  <c r="X12" i="3" a="1"/>
  <c r="X12" i="3" s="1"/>
  <c r="W12" i="3" a="1"/>
  <c r="W12" i="3" s="1"/>
  <c r="X11" i="3" a="1"/>
  <c r="X11" i="3" s="1"/>
  <c r="W11" i="3" a="1"/>
  <c r="W11" i="3" s="1"/>
  <c r="X10" i="3" a="1"/>
  <c r="X10" i="3" s="1"/>
  <c r="W10" i="3" a="1"/>
  <c r="W10" i="3" s="1"/>
  <c r="X9" i="3" a="1"/>
  <c r="X9" i="3" s="1"/>
  <c r="W9" i="3" a="1"/>
  <c r="W9" i="3" s="1"/>
  <c r="X8" i="3" a="1"/>
  <c r="X8" i="3" s="1"/>
  <c r="W8" i="3" a="1"/>
  <c r="W8" i="3" s="1"/>
  <c r="X7" i="3" a="1"/>
  <c r="X7" i="3" s="1"/>
  <c r="U7" i="3" a="1"/>
  <c r="U7" i="3" s="1"/>
  <c r="U8" i="3" a="1"/>
  <c r="U8" i="3" s="1"/>
  <c r="U9" i="3" a="1"/>
  <c r="U9" i="3" s="1"/>
  <c r="U10" i="3" a="1"/>
  <c r="U10" i="3" s="1"/>
  <c r="U11" i="3" a="1"/>
  <c r="U11" i="3" s="1"/>
  <c r="U12" i="3" a="1"/>
  <c r="U12" i="3" s="1"/>
  <c r="U13" i="3" a="1"/>
  <c r="U13" i="3" s="1"/>
  <c r="U14" i="3" a="1"/>
  <c r="U14" i="3" s="1"/>
  <c r="U15" i="3" a="1"/>
  <c r="U15" i="3" s="1"/>
  <c r="U16" i="3" a="1"/>
  <c r="U16" i="3" s="1"/>
  <c r="U17" i="3" a="1"/>
  <c r="U17" i="3" s="1"/>
  <c r="U18" i="3" a="1"/>
  <c r="U18" i="3" s="1"/>
  <c r="U19" i="3" a="1"/>
  <c r="U19" i="3" s="1"/>
  <c r="U20" i="3" a="1"/>
  <c r="U20" i="3" s="1"/>
  <c r="T7" i="3" a="1"/>
  <c r="T7" i="3" s="1"/>
  <c r="T8" i="3" a="1"/>
  <c r="T8" i="3" s="1"/>
  <c r="T9" i="3" a="1"/>
  <c r="T9" i="3" s="1"/>
  <c r="T10" i="3" a="1"/>
  <c r="T10" i="3" s="1"/>
  <c r="T11" i="3" a="1"/>
  <c r="T11" i="3" s="1"/>
  <c r="T12" i="3" a="1"/>
  <c r="T12" i="3" s="1"/>
  <c r="T13" i="3" a="1"/>
  <c r="T13" i="3" s="1"/>
  <c r="T14" i="3" a="1"/>
  <c r="T14" i="3" s="1"/>
  <c r="T15" i="3" a="1"/>
  <c r="T15" i="3" s="1"/>
  <c r="T16" i="3" a="1"/>
  <c r="T16" i="3" s="1"/>
  <c r="T17" i="3" a="1"/>
  <c r="T17" i="3" s="1"/>
  <c r="T18" i="3" a="1"/>
  <c r="T18" i="3" s="1"/>
  <c r="T19" i="3" a="1"/>
  <c r="T19" i="3" s="1"/>
  <c r="T20" i="3" a="1"/>
  <c r="T20" i="3" s="1"/>
  <c r="AV13" i="3" l="1"/>
  <c r="AU10" i="3"/>
  <c r="AU16" i="3"/>
  <c r="AV10" i="3"/>
  <c r="AV16" i="3"/>
  <c r="AU11" i="3"/>
  <c r="AU17" i="3"/>
  <c r="AU9" i="3"/>
  <c r="AV19" i="3"/>
  <c r="AS15" i="3"/>
  <c r="AS12" i="3"/>
  <c r="AR16" i="3"/>
  <c r="AS8" i="3"/>
  <c r="AS18" i="3"/>
  <c r="AU14" i="3"/>
  <c r="AU12" i="3"/>
  <c r="AR14" i="3"/>
  <c r="AS7" i="3"/>
  <c r="AV8" i="3"/>
  <c r="AV20" i="3"/>
  <c r="AS16" i="3"/>
  <c r="AU15" i="3"/>
  <c r="AU8" i="3"/>
  <c r="AU20" i="3"/>
  <c r="AU18" i="3"/>
  <c r="AV14" i="3"/>
  <c r="AV9" i="3"/>
  <c r="AV15" i="3"/>
  <c r="AV7" i="3"/>
  <c r="AR20" i="3"/>
  <c r="AR12" i="3"/>
  <c r="AR8" i="3"/>
  <c r="AR18" i="3"/>
  <c r="AS20" i="3"/>
  <c r="AS10" i="3"/>
  <c r="AV12" i="3"/>
  <c r="AV18" i="3"/>
  <c r="AR10" i="3"/>
  <c r="AS14" i="3"/>
  <c r="AR9" i="3"/>
  <c r="AS13" i="3"/>
  <c r="AR17" i="3"/>
  <c r="AS19" i="3"/>
  <c r="AS9" i="3"/>
  <c r="AS17" i="3"/>
  <c r="AR7" i="3"/>
  <c r="AR13" i="3"/>
  <c r="AR19" i="3"/>
  <c r="AU7" i="3"/>
  <c r="AU13" i="3"/>
  <c r="AU19" i="3"/>
  <c r="AR11" i="3"/>
  <c r="AS11" i="3"/>
  <c r="AR15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D7" i="3"/>
  <c r="P7" i="3" s="1"/>
  <c r="D8" i="3"/>
  <c r="P8" i="3" s="1"/>
  <c r="D9" i="3"/>
  <c r="P9" i="3" s="1"/>
  <c r="D10" i="3"/>
  <c r="P10" i="3" s="1"/>
  <c r="D11" i="3"/>
  <c r="P11" i="3" s="1"/>
  <c r="D12" i="3"/>
  <c r="P12" i="3" s="1"/>
  <c r="D13" i="3"/>
  <c r="P13" i="3" s="1"/>
  <c r="D14" i="3"/>
  <c r="P14" i="3" s="1"/>
  <c r="D15" i="3"/>
  <c r="P15" i="3" s="1"/>
  <c r="D16" i="3"/>
  <c r="D17" i="3"/>
  <c r="P17" i="3" s="1"/>
  <c r="D18" i="3"/>
  <c r="P18" i="3" s="1"/>
  <c r="D19" i="3"/>
  <c r="P19" i="3" s="1"/>
  <c r="K21" i="3"/>
  <c r="AK20" i="3"/>
  <c r="AE20" i="3"/>
  <c r="V20" i="3"/>
  <c r="P20" i="3"/>
  <c r="M20" i="3"/>
  <c r="N20" i="3" s="1"/>
  <c r="AQ19" i="3"/>
  <c r="AN19" i="3"/>
  <c r="AE19" i="3"/>
  <c r="Y19" i="3"/>
  <c r="AQ18" i="3"/>
  <c r="AK18" i="3"/>
  <c r="AE18" i="3"/>
  <c r="V18" i="3"/>
  <c r="AQ17" i="3"/>
  <c r="AK17" i="3"/>
  <c r="AB17" i="3"/>
  <c r="AQ16" i="3"/>
  <c r="AN16" i="3"/>
  <c r="AB16" i="3"/>
  <c r="Y16" i="3"/>
  <c r="AN15" i="3"/>
  <c r="AE15" i="3"/>
  <c r="Y15" i="3"/>
  <c r="AQ14" i="3"/>
  <c r="AE14" i="3"/>
  <c r="AB14" i="3"/>
  <c r="AQ13" i="3"/>
  <c r="AK13" i="3"/>
  <c r="AB13" i="3"/>
  <c r="AN12" i="3"/>
  <c r="Y12" i="3"/>
  <c r="AN11" i="3"/>
  <c r="AE11" i="3"/>
  <c r="Y11" i="3"/>
  <c r="AQ10" i="3"/>
  <c r="AB10" i="3"/>
  <c r="Y10" i="3"/>
  <c r="AQ9" i="3"/>
  <c r="AE9" i="3"/>
  <c r="AB9" i="3"/>
  <c r="AN8" i="3"/>
  <c r="AB8" i="3"/>
  <c r="Y8" i="3"/>
  <c r="AO21" i="3"/>
  <c r="AJ21" i="3"/>
  <c r="AA21" i="3"/>
  <c r="AD53" i="1"/>
  <c r="AD54" i="1"/>
  <c r="AD55" i="1"/>
  <c r="AD56" i="1"/>
  <c r="AD57" i="1"/>
  <c r="AD5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X2" i="1"/>
  <c r="W2" i="1"/>
  <c r="AD2" i="1" s="1"/>
  <c r="AE2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W25" i="1" s="1"/>
  <c r="AD25" i="1" s="1"/>
  <c r="V26" i="1"/>
  <c r="V27" i="1"/>
  <c r="V28" i="1"/>
  <c r="V29" i="1"/>
  <c r="V30" i="1"/>
  <c r="V31" i="1"/>
  <c r="V32" i="1"/>
  <c r="V33" i="1"/>
  <c r="V34" i="1"/>
  <c r="V35" i="1"/>
  <c r="V36" i="1"/>
  <c r="X36" i="1" s="1"/>
  <c r="V37" i="1"/>
  <c r="X37" i="1" s="1"/>
  <c r="V38" i="1"/>
  <c r="V39" i="1"/>
  <c r="V40" i="1"/>
  <c r="V41" i="1"/>
  <c r="V42" i="1"/>
  <c r="V43" i="1"/>
  <c r="V44" i="1"/>
  <c r="V45" i="1"/>
  <c r="V46" i="1"/>
  <c r="V47" i="1"/>
  <c r="V48" i="1"/>
  <c r="V49" i="1"/>
  <c r="X49" i="1" s="1"/>
  <c r="V50" i="1"/>
  <c r="V51" i="1"/>
  <c r="V52" i="1"/>
  <c r="V53" i="1"/>
  <c r="V54" i="1"/>
  <c r="V55" i="1"/>
  <c r="V56" i="1"/>
  <c r="V57" i="1"/>
  <c r="X57" i="1" s="1"/>
  <c r="V58" i="1"/>
  <c r="W58" i="1" s="1"/>
  <c r="AB59" i="1"/>
  <c r="W5" i="1"/>
  <c r="AD5" i="1" s="1"/>
  <c r="X5" i="1"/>
  <c r="X6" i="1"/>
  <c r="X9" i="1"/>
  <c r="X10" i="1"/>
  <c r="X13" i="1"/>
  <c r="W15" i="1"/>
  <c r="AD15" i="1" s="1"/>
  <c r="X17" i="1"/>
  <c r="W18" i="1"/>
  <c r="AD18" i="1" s="1"/>
  <c r="X18" i="1"/>
  <c r="X20" i="1"/>
  <c r="X21" i="1"/>
  <c r="X22" i="1"/>
  <c r="W26" i="1"/>
  <c r="AD26" i="1" s="1"/>
  <c r="X26" i="1"/>
  <c r="X28" i="1"/>
  <c r="X29" i="1"/>
  <c r="X30" i="1"/>
  <c r="X33" i="1"/>
  <c r="X34" i="1"/>
  <c r="W38" i="1"/>
  <c r="AD38" i="1" s="1"/>
  <c r="X38" i="1"/>
  <c r="W41" i="1"/>
  <c r="AD41" i="1" s="1"/>
  <c r="X41" i="1"/>
  <c r="X42" i="1"/>
  <c r="X44" i="1"/>
  <c r="X45" i="1"/>
  <c r="X46" i="1"/>
  <c r="W49" i="1"/>
  <c r="AD49" i="1" s="1"/>
  <c r="W53" i="1"/>
  <c r="X53" i="1"/>
  <c r="AE53" i="1"/>
  <c r="W54" i="1"/>
  <c r="X54" i="1"/>
  <c r="W55" i="1"/>
  <c r="W57" i="1"/>
  <c r="X58" i="1"/>
  <c r="W6" i="1"/>
  <c r="AD6" i="1" s="1"/>
  <c r="W7" i="1"/>
  <c r="AD7" i="1" s="1"/>
  <c r="W9" i="1"/>
  <c r="AD9" i="1" s="1"/>
  <c r="W17" i="1"/>
  <c r="AD17" i="1" s="1"/>
  <c r="W20" i="1"/>
  <c r="AD20" i="1" s="1"/>
  <c r="W21" i="1"/>
  <c r="AD21" i="1" s="1"/>
  <c r="W29" i="1"/>
  <c r="W30" i="1"/>
  <c r="AD30" i="1" s="1"/>
  <c r="W33" i="1"/>
  <c r="AD33" i="1" s="1"/>
  <c r="W34" i="1"/>
  <c r="AD34" i="1" s="1"/>
  <c r="W36" i="1"/>
  <c r="AD36" i="1" s="1"/>
  <c r="W42" i="1"/>
  <c r="AD42" i="1" s="1"/>
  <c r="AE42" i="1" s="1"/>
  <c r="W44" i="1"/>
  <c r="AD44" i="1" s="1"/>
  <c r="W46" i="1"/>
  <c r="AD46" i="1" s="1"/>
  <c r="M7" i="3" l="1"/>
  <c r="N7" i="3" s="1"/>
  <c r="Q20" i="3"/>
  <c r="R20" i="3" s="1"/>
  <c r="M10" i="3"/>
  <c r="E13" i="3"/>
  <c r="E12" i="3"/>
  <c r="N10" i="3"/>
  <c r="M8" i="3"/>
  <c r="N8" i="3" s="1"/>
  <c r="E16" i="3"/>
  <c r="M19" i="3"/>
  <c r="N19" i="3" s="1"/>
  <c r="M15" i="3"/>
  <c r="N15" i="3" s="1"/>
  <c r="W12" i="1"/>
  <c r="AD12" i="1" s="1"/>
  <c r="AE12" i="1" s="1"/>
  <c r="W47" i="1"/>
  <c r="AD47" i="1" s="1"/>
  <c r="W10" i="1"/>
  <c r="AD10" i="1" s="1"/>
  <c r="AE10" i="1" s="1"/>
  <c r="W52" i="1"/>
  <c r="AD52" i="1" s="1"/>
  <c r="AE52" i="1" s="1"/>
  <c r="W4" i="1"/>
  <c r="AD4" i="1" s="1"/>
  <c r="AE4" i="1" s="1"/>
  <c r="W22" i="1"/>
  <c r="AD22" i="1" s="1"/>
  <c r="AE22" i="1" s="1"/>
  <c r="W31" i="1"/>
  <c r="AD31" i="1" s="1"/>
  <c r="W39" i="1"/>
  <c r="AD39" i="1" s="1"/>
  <c r="AD29" i="1"/>
  <c r="AE29" i="1" s="1"/>
  <c r="W23" i="1"/>
  <c r="AD23" i="1" s="1"/>
  <c r="W45" i="1"/>
  <c r="AD45" i="1" s="1"/>
  <c r="AE45" i="1" s="1"/>
  <c r="W50" i="1"/>
  <c r="AD50" i="1" s="1"/>
  <c r="W14" i="1"/>
  <c r="AD14" i="1" s="1"/>
  <c r="AE14" i="1" s="1"/>
  <c r="M9" i="3"/>
  <c r="N9" i="3" s="1"/>
  <c r="M11" i="3"/>
  <c r="N11" i="3" s="1"/>
  <c r="M14" i="3"/>
  <c r="N14" i="3" s="1"/>
  <c r="M18" i="3"/>
  <c r="N18" i="3" s="1"/>
  <c r="E17" i="3"/>
  <c r="P16" i="3"/>
  <c r="AE13" i="3"/>
  <c r="AH15" i="3"/>
  <c r="AN10" i="3"/>
  <c r="AM21" i="3"/>
  <c r="AN21" i="3" s="1"/>
  <c r="AN7" i="3"/>
  <c r="Y14" i="3"/>
  <c r="AH8" i="3"/>
  <c r="AW8" i="3"/>
  <c r="AN14" i="3"/>
  <c r="V13" i="3"/>
  <c r="V16" i="3"/>
  <c r="Y18" i="3"/>
  <c r="V12" i="3"/>
  <c r="X21" i="3"/>
  <c r="Y7" i="3"/>
  <c r="AH16" i="3"/>
  <c r="Z21" i="3"/>
  <c r="AB21" i="3" s="1"/>
  <c r="AE10" i="3"/>
  <c r="AC21" i="3"/>
  <c r="AK9" i="3"/>
  <c r="AQ12" i="3"/>
  <c r="AD21" i="3"/>
  <c r="AE7" i="3"/>
  <c r="AX10" i="3"/>
  <c r="BB10" i="3" s="1"/>
  <c r="BM10" i="3" s="1"/>
  <c r="V17" i="3"/>
  <c r="AL21" i="3"/>
  <c r="W21" i="3"/>
  <c r="AH19" i="3"/>
  <c r="AW19" i="3"/>
  <c r="AN20" i="3"/>
  <c r="V9" i="3"/>
  <c r="Y20" i="3"/>
  <c r="AW10" i="3"/>
  <c r="AB12" i="3"/>
  <c r="AW14" i="3"/>
  <c r="AF21" i="3"/>
  <c r="AP21" i="3"/>
  <c r="AQ21" i="3" s="1"/>
  <c r="AQ8" i="3"/>
  <c r="V10" i="3"/>
  <c r="AH11" i="3"/>
  <c r="AG21" i="3"/>
  <c r="AH7" i="3"/>
  <c r="AX18" i="3"/>
  <c r="AW20" i="3"/>
  <c r="AQ11" i="3"/>
  <c r="AX9" i="3"/>
  <c r="AE17" i="3"/>
  <c r="P21" i="3"/>
  <c r="E7" i="3"/>
  <c r="V7" i="3"/>
  <c r="U21" i="3"/>
  <c r="Y9" i="3"/>
  <c r="V14" i="3"/>
  <c r="AE16" i="3"/>
  <c r="AK19" i="3"/>
  <c r="AH17" i="3"/>
  <c r="AK12" i="3"/>
  <c r="AK15" i="3"/>
  <c r="AK10" i="3"/>
  <c r="AN13" i="3"/>
  <c r="F21" i="3"/>
  <c r="E21" i="3" s="1"/>
  <c r="AE12" i="3"/>
  <c r="AX15" i="3"/>
  <c r="BB15" i="3" s="1"/>
  <c r="BM15" i="3" s="1"/>
  <c r="AX16" i="3"/>
  <c r="BA16" i="3" s="1"/>
  <c r="BL16" i="3" s="1"/>
  <c r="M17" i="3"/>
  <c r="N17" i="3" s="1"/>
  <c r="Y17" i="3"/>
  <c r="AB18" i="3"/>
  <c r="AB19" i="3"/>
  <c r="AK14" i="3"/>
  <c r="Q10" i="3"/>
  <c r="R10" i="3" s="1"/>
  <c r="AB15" i="3"/>
  <c r="AB11" i="3"/>
  <c r="G21" i="3"/>
  <c r="AK8" i="3"/>
  <c r="H21" i="3"/>
  <c r="AX12" i="3"/>
  <c r="BA12" i="3" s="1"/>
  <c r="BL12" i="3" s="1"/>
  <c r="M13" i="3"/>
  <c r="N13" i="3" s="1"/>
  <c r="Y13" i="3"/>
  <c r="AH13" i="3"/>
  <c r="AH14" i="3"/>
  <c r="E15" i="3"/>
  <c r="V15" i="3"/>
  <c r="AB20" i="3"/>
  <c r="AB7" i="3"/>
  <c r="AK7" i="3"/>
  <c r="AN9" i="3"/>
  <c r="E9" i="3"/>
  <c r="AH20" i="3"/>
  <c r="T21" i="3"/>
  <c r="AH9" i="3"/>
  <c r="E10" i="3"/>
  <c r="I21" i="3"/>
  <c r="AQ7" i="3"/>
  <c r="M16" i="3"/>
  <c r="AH10" i="3"/>
  <c r="AQ15" i="3"/>
  <c r="AN18" i="3"/>
  <c r="V8" i="3"/>
  <c r="V19" i="3"/>
  <c r="AK16" i="3"/>
  <c r="AN17" i="3"/>
  <c r="AQ20" i="3"/>
  <c r="AH18" i="3"/>
  <c r="AK11" i="3"/>
  <c r="J21" i="3"/>
  <c r="AX8" i="3"/>
  <c r="BB8" i="3" s="1"/>
  <c r="BM8" i="3" s="1"/>
  <c r="AW12" i="3"/>
  <c r="AI21" i="3"/>
  <c r="AK21" i="3" s="1"/>
  <c r="E8" i="3"/>
  <c r="AE8" i="3"/>
  <c r="E11" i="3"/>
  <c r="V11" i="3"/>
  <c r="M12" i="3"/>
  <c r="AH12" i="3"/>
  <c r="AX19" i="3"/>
  <c r="BB19" i="3" s="1"/>
  <c r="BM19" i="3" s="1"/>
  <c r="D21" i="3"/>
  <c r="E19" i="3"/>
  <c r="E14" i="3"/>
  <c r="E18" i="3"/>
  <c r="AE26" i="1"/>
  <c r="AE5" i="1"/>
  <c r="AE18" i="1"/>
  <c r="AE58" i="1"/>
  <c r="AE21" i="1"/>
  <c r="W28" i="1"/>
  <c r="AD28" i="1" s="1"/>
  <c r="AE28" i="1" s="1"/>
  <c r="X14" i="1"/>
  <c r="AE57" i="1"/>
  <c r="X52" i="1"/>
  <c r="AE46" i="1"/>
  <c r="AE44" i="1"/>
  <c r="W37" i="1"/>
  <c r="AD37" i="1" s="1"/>
  <c r="AE34" i="1"/>
  <c r="X4" i="1"/>
  <c r="W13" i="1"/>
  <c r="AD13" i="1" s="1"/>
  <c r="AE25" i="1"/>
  <c r="X50" i="1"/>
  <c r="X25" i="1"/>
  <c r="X12" i="1"/>
  <c r="AE49" i="1"/>
  <c r="AE36" i="1"/>
  <c r="AE9" i="1"/>
  <c r="X19" i="1"/>
  <c r="W19" i="1"/>
  <c r="AD19" i="1" s="1"/>
  <c r="X43" i="1"/>
  <c r="W43" i="1"/>
  <c r="AE6" i="1"/>
  <c r="X51" i="1"/>
  <c r="W51" i="1"/>
  <c r="AD51" i="1" s="1"/>
  <c r="X27" i="1"/>
  <c r="W27" i="1"/>
  <c r="X35" i="1"/>
  <c r="W35" i="1"/>
  <c r="AD35" i="1" s="1"/>
  <c r="AE17" i="1"/>
  <c r="AE33" i="1"/>
  <c r="AA59" i="1"/>
  <c r="W8" i="1"/>
  <c r="AD8" i="1" s="1"/>
  <c r="X8" i="1"/>
  <c r="AE41" i="1"/>
  <c r="AE30" i="1"/>
  <c r="W16" i="1"/>
  <c r="AD16" i="1" s="1"/>
  <c r="X16" i="1"/>
  <c r="AE38" i="1"/>
  <c r="W24" i="1"/>
  <c r="X24" i="1"/>
  <c r="W32" i="1"/>
  <c r="AD32" i="1" s="1"/>
  <c r="X32" i="1"/>
  <c r="AE54" i="1"/>
  <c r="W40" i="1"/>
  <c r="AD40" i="1" s="1"/>
  <c r="X40" i="1"/>
  <c r="W48" i="1"/>
  <c r="AD48" i="1" s="1"/>
  <c r="X48" i="1"/>
  <c r="W56" i="1"/>
  <c r="X56" i="1"/>
  <c r="X11" i="1"/>
  <c r="W11" i="1"/>
  <c r="AE20" i="1"/>
  <c r="X7" i="1"/>
  <c r="X55" i="1"/>
  <c r="X47" i="1"/>
  <c r="X39" i="1"/>
  <c r="X31" i="1"/>
  <c r="X23" i="1"/>
  <c r="X15" i="1"/>
  <c r="W3" i="1"/>
  <c r="AD3" i="1" s="1"/>
  <c r="X3" i="1"/>
  <c r="Y59" i="1"/>
  <c r="Q7" i="3" l="1"/>
  <c r="Q18" i="3"/>
  <c r="R18" i="3" s="1"/>
  <c r="Q15" i="3"/>
  <c r="R15" i="3" s="1"/>
  <c r="Q8" i="3"/>
  <c r="R8" i="3" s="1"/>
  <c r="Q9" i="3"/>
  <c r="R9" i="3" s="1"/>
  <c r="Q19" i="3"/>
  <c r="R19" i="3" s="1"/>
  <c r="Q14" i="3"/>
  <c r="R14" i="3" s="1"/>
  <c r="AE50" i="1"/>
  <c r="AD11" i="1"/>
  <c r="AE11" i="1" s="1"/>
  <c r="AD24" i="1"/>
  <c r="AE24" i="1" s="1"/>
  <c r="AD27" i="1"/>
  <c r="AE27" i="1" s="1"/>
  <c r="AD43" i="1"/>
  <c r="AE43" i="1" s="1"/>
  <c r="Y21" i="3"/>
  <c r="AW18" i="3"/>
  <c r="AW11" i="3"/>
  <c r="AX11" i="3"/>
  <c r="BA11" i="3" s="1"/>
  <c r="BL11" i="3" s="1"/>
  <c r="AX14" i="3"/>
  <c r="BA19" i="3"/>
  <c r="BL19" i="3" s="1"/>
  <c r="BA10" i="3"/>
  <c r="BL10" i="3" s="1"/>
  <c r="Q11" i="3"/>
  <c r="R11" i="3" s="1"/>
  <c r="Q13" i="3"/>
  <c r="R13" i="3" s="1"/>
  <c r="O21" i="3"/>
  <c r="BB9" i="3"/>
  <c r="BM9" i="3" s="1"/>
  <c r="BA9" i="3"/>
  <c r="BL9" i="3" s="1"/>
  <c r="BB16" i="3"/>
  <c r="BM16" i="3" s="1"/>
  <c r="BA18" i="3"/>
  <c r="BL18" i="3" s="1"/>
  <c r="BB18" i="3"/>
  <c r="BM18" i="3" s="1"/>
  <c r="AT8" i="3"/>
  <c r="AY8" i="3"/>
  <c r="Q17" i="3"/>
  <c r="R17" i="3" s="1"/>
  <c r="AW17" i="3"/>
  <c r="AW13" i="3"/>
  <c r="AR21" i="3"/>
  <c r="AX7" i="3"/>
  <c r="BA7" i="3" s="1"/>
  <c r="BL7" i="3" s="1"/>
  <c r="BA15" i="3"/>
  <c r="BL15" i="3" s="1"/>
  <c r="BB12" i="3"/>
  <c r="BM12" i="3" s="1"/>
  <c r="AW16" i="3"/>
  <c r="R7" i="3"/>
  <c r="AY14" i="3"/>
  <c r="AT14" i="3"/>
  <c r="BA8" i="3"/>
  <c r="BL8" i="3" s="1"/>
  <c r="AU21" i="3"/>
  <c r="AT16" i="3"/>
  <c r="AY16" i="3"/>
  <c r="AY17" i="3"/>
  <c r="AT17" i="3"/>
  <c r="V21" i="3"/>
  <c r="AS21" i="3"/>
  <c r="AT7" i="3"/>
  <c r="AY7" i="3"/>
  <c r="AY10" i="3"/>
  <c r="AT10" i="3"/>
  <c r="AT11" i="3"/>
  <c r="AY11" i="3"/>
  <c r="AW9" i="3"/>
  <c r="AX20" i="3"/>
  <c r="AV21" i="3"/>
  <c r="AW7" i="3"/>
  <c r="AX13" i="3"/>
  <c r="AE21" i="3"/>
  <c r="AY13" i="3"/>
  <c r="AT13" i="3"/>
  <c r="N12" i="3"/>
  <c r="Q12" i="3"/>
  <c r="R12" i="3" s="1"/>
  <c r="AY20" i="3"/>
  <c r="AT20" i="3"/>
  <c r="AT15" i="3"/>
  <c r="AY15" i="3"/>
  <c r="AY9" i="3"/>
  <c r="AT9" i="3"/>
  <c r="AW15" i="3"/>
  <c r="AY18" i="3"/>
  <c r="AT18" i="3"/>
  <c r="N16" i="3"/>
  <c r="Q16" i="3"/>
  <c r="R16" i="3" s="1"/>
  <c r="M21" i="3"/>
  <c r="N21" i="3" s="1"/>
  <c r="AT19" i="3"/>
  <c r="AY19" i="3"/>
  <c r="AX17" i="3"/>
  <c r="BA17" i="3" s="1"/>
  <c r="BL17" i="3" s="1"/>
  <c r="I22" i="3"/>
  <c r="AH21" i="3"/>
  <c r="AT12" i="3"/>
  <c r="AY12" i="3"/>
  <c r="AE13" i="1"/>
  <c r="AE56" i="1"/>
  <c r="AE37" i="1"/>
  <c r="Z59" i="1"/>
  <c r="X59" i="1"/>
  <c r="W59" i="1"/>
  <c r="AE23" i="1"/>
  <c r="AE55" i="1"/>
  <c r="AE8" i="1"/>
  <c r="AE31" i="1"/>
  <c r="AE32" i="1"/>
  <c r="AE48" i="1"/>
  <c r="AE3" i="1"/>
  <c r="AE39" i="1"/>
  <c r="AE16" i="1"/>
  <c r="AE7" i="1"/>
  <c r="AE35" i="1"/>
  <c r="AE19" i="1"/>
  <c r="AE51" i="1"/>
  <c r="AE15" i="1"/>
  <c r="AE47" i="1"/>
  <c r="AE40" i="1"/>
  <c r="BB11" i="3" l="1"/>
  <c r="BM11" i="3" s="1"/>
  <c r="BA14" i="3"/>
  <c r="BL14" i="3" s="1"/>
  <c r="BB14" i="3"/>
  <c r="BM14" i="3" s="1"/>
  <c r="BB17" i="3"/>
  <c r="BM17" i="3" s="1"/>
  <c r="AX21" i="3"/>
  <c r="BB7" i="3"/>
  <c r="BM7" i="3" s="1"/>
  <c r="AZ20" i="3"/>
  <c r="BK20" i="3" s="1"/>
  <c r="BG20" i="3"/>
  <c r="BR20" i="3" s="1"/>
  <c r="BG8" i="3"/>
  <c r="BR8" i="3" s="1"/>
  <c r="AZ8" i="3"/>
  <c r="BK8" i="3" s="1"/>
  <c r="AZ13" i="3"/>
  <c r="BK13" i="3" s="1"/>
  <c r="BG13" i="3"/>
  <c r="BR13" i="3" s="1"/>
  <c r="Q21" i="3"/>
  <c r="R21" i="3" s="1"/>
  <c r="BG15" i="3"/>
  <c r="BR15" i="3" s="1"/>
  <c r="AZ15" i="3"/>
  <c r="BK15" i="3" s="1"/>
  <c r="AZ14" i="3"/>
  <c r="BK14" i="3" s="1"/>
  <c r="BG14" i="3"/>
  <c r="BR14" i="3" s="1"/>
  <c r="BG12" i="3"/>
  <c r="BR12" i="3" s="1"/>
  <c r="AZ12" i="3"/>
  <c r="BK12" i="3" s="1"/>
  <c r="AZ18" i="3"/>
  <c r="BK18" i="3" s="1"/>
  <c r="BG18" i="3"/>
  <c r="BR18" i="3" s="1"/>
  <c r="AT21" i="3"/>
  <c r="BG19" i="3"/>
  <c r="BR19" i="3" s="1"/>
  <c r="AZ19" i="3"/>
  <c r="BK19" i="3" s="1"/>
  <c r="BB13" i="3"/>
  <c r="BM13" i="3" s="1"/>
  <c r="BA13" i="3"/>
  <c r="BL13" i="3" s="1"/>
  <c r="BG16" i="3"/>
  <c r="BR16" i="3" s="1"/>
  <c r="AZ16" i="3"/>
  <c r="BK16" i="3" s="1"/>
  <c r="BG11" i="3"/>
  <c r="BR11" i="3" s="1"/>
  <c r="AZ11" i="3"/>
  <c r="BK11" i="3" s="1"/>
  <c r="AZ10" i="3"/>
  <c r="BK10" i="3" s="1"/>
  <c r="BG10" i="3"/>
  <c r="BR10" i="3" s="1"/>
  <c r="BG7" i="3"/>
  <c r="BR7" i="3" s="1"/>
  <c r="AY21" i="3"/>
  <c r="AZ21" i="3" s="1"/>
  <c r="BK21" i="3" s="1"/>
  <c r="AZ7" i="3"/>
  <c r="BK7" i="3" s="1"/>
  <c r="BB20" i="3"/>
  <c r="BM20" i="3" s="1"/>
  <c r="BA20" i="3"/>
  <c r="BL20" i="3" s="1"/>
  <c r="AZ9" i="3"/>
  <c r="BK9" i="3" s="1"/>
  <c r="BG9" i="3"/>
  <c r="BR9" i="3" s="1"/>
  <c r="AW21" i="3"/>
  <c r="AZ17" i="3"/>
  <c r="BK17" i="3" s="1"/>
  <c r="BG17" i="3"/>
  <c r="BR17" i="3" s="1"/>
  <c r="AD59" i="1"/>
  <c r="AE59" i="1" s="1"/>
  <c r="BP21" i="3" l="1"/>
  <c r="BO21" i="3"/>
  <c r="BD17" i="3"/>
  <c r="BO17" i="3" s="1"/>
  <c r="BD18" i="3"/>
  <c r="BO18" i="3" s="1"/>
  <c r="BD19" i="3"/>
  <c r="BO19" i="3" s="1"/>
  <c r="BD8" i="3"/>
  <c r="BO8" i="3" s="1"/>
  <c r="BD20" i="3"/>
  <c r="BO20" i="3" s="1"/>
  <c r="BE7" i="3"/>
  <c r="BP7" i="3" s="1"/>
  <c r="BD11" i="3"/>
  <c r="BO11" i="3" s="1"/>
  <c r="BD12" i="3"/>
  <c r="BO12" i="3" s="1"/>
  <c r="BD14" i="3"/>
  <c r="BO14" i="3" s="1"/>
  <c r="BD15" i="3"/>
  <c r="BO15" i="3" s="1"/>
  <c r="BD9" i="3"/>
  <c r="BO9" i="3" s="1"/>
  <c r="BD10" i="3"/>
  <c r="BO10" i="3" s="1"/>
  <c r="BD13" i="3"/>
  <c r="BO13" i="3" s="1"/>
  <c r="BD16" i="3"/>
  <c r="BO16" i="3" s="1"/>
  <c r="BD7" i="3"/>
  <c r="BO7" i="3" s="1"/>
  <c r="BF20" i="3"/>
  <c r="BQ20" i="3" s="1"/>
  <c r="BN21" i="3"/>
  <c r="BQ21" i="3"/>
  <c r="BE11" i="3"/>
  <c r="BP11" i="3" s="1"/>
  <c r="BE8" i="3"/>
  <c r="BP8" i="3" s="1"/>
  <c r="BE10" i="3"/>
  <c r="BP10" i="3" s="1"/>
  <c r="BE9" i="3"/>
  <c r="BP9" i="3" s="1"/>
  <c r="BB21" i="3"/>
  <c r="BM21" i="3" s="1"/>
  <c r="BA21" i="3"/>
  <c r="BL21" i="3" s="1"/>
  <c r="BG21" i="3"/>
  <c r="BR21" i="3" s="1"/>
  <c r="BF19" i="3"/>
  <c r="BQ19" i="3" s="1"/>
  <c r="BF15" i="3"/>
  <c r="BQ15" i="3" s="1"/>
  <c r="BF11" i="3"/>
  <c r="BQ11" i="3" s="1"/>
  <c r="BE15" i="3"/>
  <c r="BP15" i="3" s="1"/>
  <c r="BE12" i="3"/>
  <c r="BP12" i="3" s="1"/>
  <c r="BF16" i="3"/>
  <c r="BQ16" i="3" s="1"/>
  <c r="BF12" i="3"/>
  <c r="BQ12" i="3" s="1"/>
  <c r="BF8" i="3"/>
  <c r="BQ8" i="3" s="1"/>
  <c r="BE16" i="3"/>
  <c r="BP16" i="3" s="1"/>
  <c r="BE17" i="3"/>
  <c r="BP17" i="3" s="1"/>
  <c r="BF17" i="3"/>
  <c r="BQ17" i="3" s="1"/>
  <c r="BC17" i="3"/>
  <c r="BH17" i="3" s="1"/>
  <c r="BE14" i="3"/>
  <c r="BP14" i="3" s="1"/>
  <c r="BF13" i="3"/>
  <c r="BQ13" i="3" s="1"/>
  <c r="BF7" i="3"/>
  <c r="BQ7" i="3" s="1"/>
  <c r="BF9" i="3"/>
  <c r="BQ9" i="3" s="1"/>
  <c r="BC9" i="3"/>
  <c r="BF18" i="3"/>
  <c r="BQ18" i="3" s="1"/>
  <c r="BE13" i="3"/>
  <c r="BP13" i="3" s="1"/>
  <c r="BC13" i="3"/>
  <c r="BH13" i="3" s="1"/>
  <c r="BE18" i="3"/>
  <c r="BP18" i="3" s="1"/>
  <c r="BF10" i="3"/>
  <c r="BQ10" i="3" s="1"/>
  <c r="BC8" i="3"/>
  <c r="BC12" i="3"/>
  <c r="BC16" i="3"/>
  <c r="BH16" i="3" s="1"/>
  <c r="BF14" i="3"/>
  <c r="BQ14" i="3" s="1"/>
  <c r="BE19" i="3"/>
  <c r="BP19" i="3" s="1"/>
  <c r="BC14" i="3"/>
  <c r="BC7" i="3"/>
  <c r="BC11" i="3"/>
  <c r="BC15" i="3"/>
  <c r="BC19" i="3"/>
  <c r="BC20" i="3"/>
  <c r="BN20" i="3" s="1"/>
  <c r="BE20" i="3"/>
  <c r="BP20" i="3" s="1"/>
  <c r="BC18" i="3"/>
  <c r="BH18" i="3" s="1"/>
  <c r="BC10" i="3"/>
  <c r="BL23" i="3" l="1"/>
  <c r="BH20" i="3"/>
  <c r="BN9" i="3"/>
  <c r="BH9" i="3"/>
  <c r="BN15" i="3"/>
  <c r="BH15" i="3"/>
  <c r="BN7" i="3"/>
  <c r="BH7" i="3"/>
  <c r="BS7" i="3" s="1"/>
  <c r="BN8" i="3"/>
  <c r="BH8" i="3"/>
  <c r="BH10" i="3"/>
  <c r="BN11" i="3"/>
  <c r="BH11" i="3"/>
  <c r="BN14" i="3"/>
  <c r="BH14" i="3"/>
  <c r="BN12" i="3"/>
  <c r="BH12" i="3"/>
  <c r="BN19" i="3"/>
  <c r="BH19" i="3"/>
  <c r="BN16" i="3"/>
  <c r="BN13" i="3"/>
  <c r="BN10" i="3"/>
  <c r="BN18" i="3"/>
  <c r="BN17" i="3"/>
  <c r="BH21" i="3" l="1"/>
  <c r="BI8" i="3"/>
  <c r="BS8" i="3"/>
  <c r="BI9" i="3"/>
  <c r="BS9" i="3"/>
  <c r="BI11" i="3"/>
  <c r="BS11" i="3"/>
  <c r="BI15" i="3"/>
  <c r="BS15" i="3"/>
  <c r="BI17" i="3"/>
  <c r="BS17" i="3"/>
  <c r="BI18" i="3"/>
  <c r="BS18" i="3"/>
  <c r="BI12" i="3"/>
  <c r="BS12" i="3"/>
  <c r="BI13" i="3"/>
  <c r="BS13" i="3"/>
  <c r="BI20" i="3"/>
  <c r="BS20" i="3"/>
  <c r="BI14" i="3"/>
  <c r="BS14" i="3"/>
  <c r="BI10" i="3"/>
  <c r="BS10" i="3"/>
  <c r="BI19" i="3"/>
  <c r="BS19" i="3"/>
  <c r="BI16" i="3"/>
  <c r="BS16" i="3"/>
  <c r="BI7" i="3"/>
  <c r="BI21" i="3" l="1"/>
  <c r="BS21" i="3"/>
  <c r="F59" i="1"/>
  <c r="G59" i="1"/>
  <c r="H59" i="1"/>
  <c r="I59" i="1"/>
  <c r="I64" i="1" s="1"/>
  <c r="F62" i="1"/>
  <c r="F64" i="1" s="1"/>
  <c r="G62" i="1"/>
  <c r="G64" i="1" s="1"/>
  <c r="H62" i="1"/>
  <c r="I62" i="1"/>
  <c r="F63" i="1"/>
  <c r="G63" i="1"/>
  <c r="H63" i="1"/>
  <c r="I63" i="1"/>
  <c r="E68" i="1"/>
  <c r="J62" i="1"/>
  <c r="E62" i="1"/>
  <c r="D62" i="1"/>
  <c r="K61" i="1"/>
  <c r="C60" i="1"/>
  <c r="K59" i="1"/>
  <c r="E59" i="1"/>
  <c r="D59" i="1"/>
  <c r="C59" i="1"/>
  <c r="J58" i="1"/>
  <c r="J57" i="1"/>
  <c r="J56" i="1"/>
  <c r="J55" i="1"/>
  <c r="J54" i="1"/>
  <c r="J53" i="1"/>
  <c r="J52" i="1"/>
  <c r="J51" i="1"/>
  <c r="O50" i="1"/>
  <c r="L50" i="1"/>
  <c r="J50" i="1"/>
  <c r="O49" i="1"/>
  <c r="J49" i="1"/>
  <c r="O48" i="1"/>
  <c r="J48" i="1"/>
  <c r="J47" i="1"/>
  <c r="J46" i="1"/>
  <c r="O45" i="1"/>
  <c r="J45" i="1"/>
  <c r="J44" i="1"/>
  <c r="J43" i="1"/>
  <c r="J42" i="1"/>
  <c r="J41" i="1"/>
  <c r="J40" i="1"/>
  <c r="J39" i="1"/>
  <c r="J38" i="1"/>
  <c r="O37" i="1"/>
  <c r="L37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O22" i="1"/>
  <c r="L22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L7" i="1"/>
  <c r="J7" i="1"/>
  <c r="J6" i="1"/>
  <c r="J5" i="1"/>
  <c r="O4" i="1"/>
  <c r="J4" i="1"/>
  <c r="J3" i="1"/>
  <c r="O2" i="1"/>
  <c r="J2" i="1"/>
  <c r="B66" i="1" l="1"/>
  <c r="B69" i="1" s="1"/>
  <c r="E64" i="1"/>
  <c r="D64" i="1"/>
  <c r="E63" i="1"/>
  <c r="D63" i="1"/>
  <c r="C63" i="1"/>
  <c r="K62" i="1"/>
  <c r="K64" i="1" s="1"/>
  <c r="C62" i="1"/>
  <c r="L59" i="1"/>
  <c r="J59" i="1"/>
  <c r="N58" i="1"/>
  <c r="P58" i="1" s="1"/>
  <c r="N57" i="1"/>
  <c r="P57" i="1" s="1"/>
  <c r="N56" i="1"/>
  <c r="P56" i="1" s="1"/>
  <c r="N55" i="1"/>
  <c r="P55" i="1" s="1"/>
  <c r="N54" i="1"/>
  <c r="P54" i="1" s="1"/>
  <c r="N53" i="1"/>
  <c r="P53" i="1" s="1"/>
  <c r="N52" i="1"/>
  <c r="P52" i="1" s="1"/>
  <c r="N51" i="1"/>
  <c r="P51" i="1" s="1"/>
  <c r="N50" i="1"/>
  <c r="P50" i="1" s="1"/>
  <c r="N49" i="1"/>
  <c r="P49" i="1" s="1"/>
  <c r="N48" i="1"/>
  <c r="P48" i="1" s="1"/>
  <c r="N47" i="1"/>
  <c r="P47" i="1" s="1"/>
  <c r="N46" i="1"/>
  <c r="P46" i="1" s="1"/>
  <c r="N45" i="1"/>
  <c r="P45" i="1" s="1"/>
  <c r="N44" i="1"/>
  <c r="P44" i="1" s="1"/>
  <c r="N43" i="1"/>
  <c r="P43" i="1" s="1"/>
  <c r="N42" i="1"/>
  <c r="P42" i="1" s="1"/>
  <c r="N41" i="1"/>
  <c r="P41" i="1" s="1"/>
  <c r="N40" i="1"/>
  <c r="P40" i="1" s="1"/>
  <c r="N39" i="1"/>
  <c r="P39" i="1" s="1"/>
  <c r="N38" i="1"/>
  <c r="P38" i="1" s="1"/>
  <c r="N37" i="1"/>
  <c r="P37" i="1" s="1"/>
  <c r="N36" i="1"/>
  <c r="P36" i="1" s="1"/>
  <c r="N35" i="1"/>
  <c r="P35" i="1" s="1"/>
  <c r="N34" i="1"/>
  <c r="P34" i="1" s="1"/>
  <c r="N33" i="1"/>
  <c r="P33" i="1" s="1"/>
  <c r="N32" i="1"/>
  <c r="P32" i="1" s="1"/>
  <c r="N31" i="1"/>
  <c r="P31" i="1" s="1"/>
  <c r="N30" i="1"/>
  <c r="P30" i="1" s="1"/>
  <c r="N29" i="1"/>
  <c r="P29" i="1" s="1"/>
  <c r="N28" i="1"/>
  <c r="P28" i="1" s="1"/>
  <c r="N27" i="1"/>
  <c r="P27" i="1" s="1"/>
  <c r="N26" i="1"/>
  <c r="P26" i="1" s="1"/>
  <c r="N25" i="1"/>
  <c r="N24" i="1"/>
  <c r="N22" i="1" s="1"/>
  <c r="P22" i="1" s="1"/>
  <c r="N23" i="1"/>
  <c r="P23" i="1" s="1"/>
  <c r="N21" i="1"/>
  <c r="P21" i="1" s="1"/>
  <c r="N20" i="1"/>
  <c r="P20" i="1" s="1"/>
  <c r="N19" i="1"/>
  <c r="P19" i="1" s="1"/>
  <c r="N18" i="1"/>
  <c r="P18" i="1" s="1"/>
  <c r="N17" i="1"/>
  <c r="P17" i="1" s="1"/>
  <c r="N16" i="1"/>
  <c r="P16" i="1" s="1"/>
  <c r="N15" i="1"/>
  <c r="P15" i="1" s="1"/>
  <c r="N14" i="1"/>
  <c r="P14" i="1" s="1"/>
  <c r="N13" i="1"/>
  <c r="P13" i="1" s="1"/>
  <c r="N12" i="1"/>
  <c r="P12" i="1" s="1"/>
  <c r="N11" i="1"/>
  <c r="P11" i="1" s="1"/>
  <c r="N10" i="1"/>
  <c r="P10" i="1" s="1"/>
  <c r="N9" i="1"/>
  <c r="P9" i="1" s="1"/>
  <c r="N8" i="1"/>
  <c r="P8" i="1" s="1"/>
  <c r="N7" i="1"/>
  <c r="N6" i="1"/>
  <c r="N5" i="1"/>
  <c r="P5" i="1" s="1"/>
  <c r="N4" i="1"/>
  <c r="P4" i="1" s="1"/>
  <c r="N3" i="1"/>
  <c r="P3" i="1" s="1"/>
  <c r="N2" i="1"/>
  <c r="J63" i="1" l="1"/>
  <c r="J64" i="1"/>
  <c r="O25" i="1"/>
  <c r="P25" i="1"/>
  <c r="O6" i="1"/>
  <c r="P6" i="1"/>
  <c r="P2" i="1"/>
  <c r="N59" i="1"/>
  <c r="N61" i="1" s="1"/>
  <c r="P59" i="1"/>
  <c r="C64" i="1"/>
  <c r="O7" i="1" l="1"/>
  <c r="P7" i="1" s="1"/>
  <c r="O59" i="1" l="1"/>
  <c r="O6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<sst xmlns="http://schemas.openxmlformats.org/spreadsheetml/2006/main" count="362" uniqueCount="221">
  <si>
    <t>PRODUCTO</t>
  </si>
  <si>
    <t>TOTAL STOCK</t>
  </si>
  <si>
    <t>18-05-2026 LOTE 090</t>
  </si>
  <si>
    <t>21/05/2026 LOTE 091</t>
  </si>
  <si>
    <t>22/05/2026 LOTE 092</t>
  </si>
  <si>
    <t>RESUMEN SEMANA</t>
  </si>
  <si>
    <t xml:space="preserve">EMBARQUE </t>
  </si>
  <si>
    <t>EMBARQUE</t>
  </si>
  <si>
    <t>EMBARQUE Y REPROCESO</t>
  </si>
  <si>
    <t>POR EMBARCAR</t>
  </si>
  <si>
    <t>STOCK LIBRE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</si>
  <si>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</si>
  <si>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</si>
  <si>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</si>
  <si>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</si>
  <si>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</si>
  <si>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</si>
  <si>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</si>
  <si>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</si>
  <si>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</si>
  <si>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>POTA ENTERA &lt; 1KG</t>
  </si>
  <si>
    <t>TUBO ALETA 0.1-0.5 KG</t>
  </si>
  <si>
    <t>TUBO ALETA 0.5-1.0 KG</t>
  </si>
  <si>
    <t>TUBO ALETA 1.0-1.5 kg</t>
  </si>
  <si>
    <t>TUBO ALETA 1.0-2.0 KG</t>
  </si>
  <si>
    <t xml:space="preserve">POTA FILETE C/M C/T FR 0.5-1.0 BL10 S20  </t>
  </si>
  <si>
    <t xml:space="preserve">POTA FILETE C/M C/T FR 1-2 BL10 S20  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</si>
  <si>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</si>
  <si>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</si>
  <si>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</si>
  <si>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</si>
  <si>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 xml:space="preserve">POTA FILETE C/M C/T FR 1-2 AA BL10 S20  </t>
  </si>
  <si>
    <t xml:space="preserve">POTA FILETE C/M C/T FR 0.5-1.0 AAA  BL10 S20  </t>
  </si>
  <si>
    <t xml:space="preserve">POTA FILETE C/M C/T FR 1-2 AAA BL10 S20  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</si>
  <si>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</si>
  <si>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</si>
  <si>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</si>
  <si>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</si>
  <si>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</si>
  <si>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</si>
  <si>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</si>
  <si>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</si>
  <si>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</si>
  <si>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</si>
  <si>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</si>
  <si>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</si>
  <si>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</si>
  <si>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</si>
  <si>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</si>
  <si>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</si>
  <si>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</si>
  <si>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</si>
  <si>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</si>
  <si>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</si>
  <si>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</si>
  <si>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</si>
  <si>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</si>
  <si>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</si>
  <si>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</si>
  <si>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</si>
  <si>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</si>
  <si>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</si>
  <si>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RECORTE FR MEMBRANA</t>
  </si>
  <si>
    <t>RECORTE FR TELILLA</t>
  </si>
  <si>
    <t>RECORTE FR</t>
  </si>
  <si>
    <t>FILETE cm ct PARA REPROCESO</t>
  </si>
  <si>
    <t>PICOS LIMPIOS</t>
  </si>
  <si>
    <t>FILETE S/M S/T FR 1.0 - 2.0 CM/ESP BL10 S20</t>
  </si>
  <si>
    <t>TOTAL LIBRE</t>
  </si>
  <si>
    <t>DESCARGA DE MP</t>
  </si>
  <si>
    <t>CON 20%</t>
  </si>
  <si>
    <t>excedente SIN 20%</t>
  </si>
  <si>
    <t>TOTAL</t>
  </si>
  <si>
    <t>APROVECHAMIENTO TIKET</t>
  </si>
  <si>
    <t>RENDIMIENTO REAL</t>
  </si>
  <si>
    <t>LISTADO DE FP PENDIENTES  AL 30-03-2026</t>
  </si>
  <si>
    <t>ESTATUS</t>
  </si>
  <si>
    <t>FP</t>
  </si>
  <si>
    <t>TN</t>
  </si>
  <si>
    <t>ESPECIFICACIONES</t>
  </si>
  <si>
    <t>PAIS</t>
  </si>
  <si>
    <t>CLIENTE</t>
  </si>
  <si>
    <t>CON PACKING</t>
  </si>
  <si>
    <t>145-2026</t>
  </si>
  <si>
    <t>RECORTES</t>
  </si>
  <si>
    <t>PC</t>
  </si>
  <si>
    <t>ESPAÑA</t>
  </si>
  <si>
    <t>GLOBAL OCEAN</t>
  </si>
  <si>
    <t>150-2026</t>
  </si>
  <si>
    <t>REPRODUCTORES</t>
  </si>
  <si>
    <t>LIMPIOS</t>
  </si>
  <si>
    <t>OVERSEA</t>
  </si>
  <si>
    <t>159-2026</t>
  </si>
  <si>
    <t xml:space="preserve">FILETE </t>
  </si>
  <si>
    <t>2-4 B</t>
  </si>
  <si>
    <t>VIETNAM</t>
  </si>
  <si>
    <t>TSUJINO</t>
  </si>
  <si>
    <t>172-2026</t>
  </si>
  <si>
    <t>FILETE 2-4 AA</t>
  </si>
  <si>
    <t>AA</t>
  </si>
  <si>
    <t>MARRUECOS</t>
  </si>
  <si>
    <t>KULALIA</t>
  </si>
  <si>
    <t>10/4/2026 - 5 FCL</t>
  </si>
  <si>
    <t>173-2026</t>
  </si>
  <si>
    <t>FILETE</t>
  </si>
  <si>
    <t>2-4 AA</t>
  </si>
  <si>
    <t xml:space="preserve">JAPON </t>
  </si>
  <si>
    <t>6/04/202 6- 5 FCL</t>
  </si>
  <si>
    <t>177-2026</t>
  </si>
  <si>
    <t xml:space="preserve">ALAS </t>
  </si>
  <si>
    <t>1-2.</t>
  </si>
  <si>
    <t>KOREA</t>
  </si>
  <si>
    <t>178-2026</t>
  </si>
  <si>
    <t>OCEANUS FISH</t>
  </si>
  <si>
    <t>08/04/2026 - 3FCL</t>
  </si>
  <si>
    <t>182-2026</t>
  </si>
  <si>
    <t>CONOS</t>
  </si>
  <si>
    <t xml:space="preserve">TAILANDIA </t>
  </si>
  <si>
    <t>186-2026</t>
  </si>
  <si>
    <t>187-2026</t>
  </si>
  <si>
    <t>ALAS FR</t>
  </si>
  <si>
    <t>1UP</t>
  </si>
  <si>
    <t>JAPON</t>
  </si>
  <si>
    <t>EMBARCADO</t>
  </si>
  <si>
    <t>188-2026</t>
  </si>
  <si>
    <t>FILETE 2-4</t>
  </si>
  <si>
    <t>BLANCO</t>
  </si>
  <si>
    <t>04/04/2026- 2fcl</t>
  </si>
  <si>
    <t>190-2026</t>
  </si>
  <si>
    <t>POR COMPLETAR</t>
  </si>
  <si>
    <t>191-2026</t>
  </si>
  <si>
    <t>alas pc</t>
  </si>
  <si>
    <t>0.3 up</t>
  </si>
  <si>
    <t>CHINA</t>
  </si>
  <si>
    <t>YANTAIU TAIXI</t>
  </si>
  <si>
    <t>192-2026</t>
  </si>
  <si>
    <t>193-2026</t>
  </si>
  <si>
    <t>2-4 A BLANCO</t>
  </si>
  <si>
    <t>194-2026</t>
  </si>
  <si>
    <t>DARUMA</t>
  </si>
  <si>
    <t>0.8-1.4</t>
  </si>
  <si>
    <t>195-2026</t>
  </si>
  <si>
    <t>VENTOSAS</t>
  </si>
  <si>
    <t>LIMPIAS</t>
  </si>
  <si>
    <t>ADVANCE</t>
  </si>
  <si>
    <t>196-20216</t>
  </si>
  <si>
    <t>LOMGKOU</t>
  </si>
  <si>
    <t>4 PL Y 6 POR COMPLETAR</t>
  </si>
  <si>
    <t>198-2026</t>
  </si>
  <si>
    <t>0.8-1.4 CM</t>
  </si>
  <si>
    <t>LONGKOU</t>
  </si>
  <si>
    <t>ALETA PC</t>
  </si>
  <si>
    <t>0.3UP</t>
  </si>
  <si>
    <t>199-2026</t>
  </si>
  <si>
    <t>201-2026</t>
  </si>
  <si>
    <t>REJOS</t>
  </si>
  <si>
    <t>2UP</t>
  </si>
  <si>
    <t xml:space="preserve">CHINA </t>
  </si>
  <si>
    <t>SHANDONG</t>
  </si>
  <si>
    <t>197-2026</t>
  </si>
  <si>
    <t>ALETA FFR</t>
  </si>
  <si>
    <t>1-2 ENTERA</t>
  </si>
  <si>
    <t>LONNGKOU</t>
  </si>
  <si>
    <t>CÓDIGO</t>
  </si>
  <si>
    <t>CU X TM</t>
  </si>
  <si>
    <t>% MP</t>
  </si>
  <si>
    <t>incremento MP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</si>
  <si>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</si>
  <si>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</si>
  <si>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</si>
  <si>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</si>
  <si>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</si>
  <si>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</si>
  <si>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</si>
  <si>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</si>
  <si>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</si>
  <si>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</si>
  <si>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</si>
  <si>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Etiquetas de fila</t>
  </si>
  <si>
    <t>(en blanco)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</si>
  <si>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</si>
  <si>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</si>
  <si>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</si>
  <si>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</si>
  <si>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</si>
  <si>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</si>
  <si>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</si>
  <si>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</si>
  <si>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</si>
  <si>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</si>
  <si>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ALAS CONGELADAS FR C/P C/C 0.5-1 BL10 S20</t>
  </si>
  <si>
    <t>POTA REJOS COCIDOS</t>
  </si>
  <si>
    <t>POTA REJOS CONGELADOS</t>
  </si>
  <si>
    <t>POTA REPRODUCTORES</t>
  </si>
  <si>
    <t>POTA FILETE DARUMA</t>
  </si>
  <si>
    <t>POTA ALAS COCIDAS</t>
  </si>
  <si>
    <t>OTROS</t>
  </si>
  <si>
    <t>PERU FROST</t>
  </si>
  <si>
    <t>VENTA MAYO 2026 (EN USD)</t>
  </si>
  <si>
    <t>RENTABILIDAD DEL INVENTARIO</t>
  </si>
  <si>
    <t>POR EMBARCAR CON FECHA</t>
  </si>
  <si>
    <t>TOTAL PROYECTADO</t>
  </si>
  <si>
    <t>Código</t>
  </si>
  <si>
    <t>Producto</t>
  </si>
  <si>
    <t>CU</t>
  </si>
  <si>
    <t>Precio</t>
  </si>
  <si>
    <t>Venta total</t>
  </si>
  <si>
    <t>Utilidad</t>
  </si>
  <si>
    <t>Mg Neto</t>
  </si>
  <si>
    <t>TM</t>
  </si>
  <si>
    <t>Venta</t>
  </si>
  <si>
    <t>Precio x TM</t>
  </si>
  <si>
    <t>Gasto Adm</t>
  </si>
  <si>
    <t>Drawback</t>
  </si>
  <si>
    <t>Mg Neto %</t>
  </si>
  <si>
    <t>AVANCE COMERCIAL AL 25-5-2026</t>
  </si>
  <si>
    <t>EMBARCADO al 25/5/2026</t>
  </si>
  <si>
    <t>TM en 
Stock Libre</t>
  </si>
  <si>
    <t>UNITARIOS POR TM</t>
  </si>
  <si>
    <t>Gasto Fin 
Corto</t>
  </si>
  <si>
    <t>Gasto Fin 
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</si>
</sst>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.000_-;\-* #,##0.000_-;_-* &quot;-&quot;??_-;_-@_-"/>
    <numFmt numFmtId="166" formatCode="_-* #,##0_-;\-* #,##0_-;_-* &quot;-&quot;??_-;_-@_-"/>
    <numFmt numFmtId="167" formatCode="_-* #,##0.0000_-;\-* #,##0.00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7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" fontId="6" fillId="0" borderId="2" xfId="0" applyNumberFormat="1" applyFont="1" applyBorder="1" applyAlignment="1">
      <alignment horizontal="center" vertical="center" wrapText="1"/>
    </xf>
    <xf numFmtId="16" fontId="7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3" fontId="7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2" borderId="2" xfId="0" applyNumberFormat="1" applyFont="1" applyFill="1" applyBorder="1" applyAlignment="1">
      <alignment horizontal="center" vertical="center"/>
    </xf>
    <xf numFmtId="43" fontId="6" fillId="3" borderId="2" xfId="0" applyNumberFormat="1" applyFont="1" applyFill="1" applyBorder="1" applyAlignment="1">
      <alignment horizontal="center" vertical="center"/>
    </xf>
    <xf numFmtId="43" fontId="6" fillId="4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7" fillId="4" borderId="2" xfId="0" applyNumberFormat="1" applyFont="1" applyFill="1" applyBorder="1" applyAlignment="1">
      <alignment horizontal="center" vertical="center"/>
    </xf>
    <xf numFmtId="43" fontId="9" fillId="4" borderId="2" xfId="0" applyNumberFormat="1" applyFont="1" applyFill="1" applyBorder="1" applyAlignment="1">
      <alignment horizontal="center" vertical="center"/>
    </xf>
    <xf numFmtId="43" fontId="8" fillId="0" borderId="0" xfId="0" applyNumberFormat="1" applyFont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7" fillId="2" borderId="2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3" fontId="7" fillId="3" borderId="2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3" fontId="10" fillId="0" borderId="2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3" fontId="6" fillId="10" borderId="2" xfId="0" applyNumberFormat="1" applyFont="1" applyFill="1" applyBorder="1" applyAlignment="1">
      <alignment horizontal="center" vertical="center"/>
    </xf>
    <xf numFmtId="43" fontId="7" fillId="10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3" fontId="6" fillId="3" borderId="0" xfId="0" applyNumberFormat="1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11" borderId="2" xfId="0" applyFont="1" applyFill="1" applyBorder="1" applyAlignment="1">
      <alignment horizontal="center" vertical="center"/>
    </xf>
    <xf numFmtId="0" fontId="8" fillId="11" borderId="2" xfId="0" applyFont="1" applyFill="1" applyBorder="1"/>
    <xf numFmtId="10" fontId="8" fillId="11" borderId="2" xfId="1" applyNumberFormat="1" applyFont="1" applyFill="1" applyBorder="1" applyAlignment="1">
      <alignment horizontal="center" vertical="center"/>
    </xf>
    <xf numFmtId="10" fontId="11" fillId="11" borderId="2" xfId="1" applyNumberFormat="1" applyFont="1" applyFill="1" applyBorder="1" applyAlignment="1">
      <alignment horizontal="center" vertical="center"/>
    </xf>
    <xf numFmtId="0" fontId="8" fillId="3" borderId="0" xfId="0" applyFont="1" applyFill="1"/>
    <xf numFmtId="0" fontId="8" fillId="4" borderId="0" xfId="0" applyFont="1" applyFill="1"/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/>
    <xf numFmtId="164" fontId="8" fillId="0" borderId="2" xfId="1" applyNumberFormat="1" applyFont="1" applyBorder="1"/>
    <xf numFmtId="164" fontId="11" fillId="0" borderId="2" xfId="1" applyNumberFormat="1" applyFont="1" applyBorder="1"/>
    <xf numFmtId="9" fontId="8" fillId="0" borderId="2" xfId="1" applyFont="1" applyBorder="1"/>
    <xf numFmtId="0" fontId="8" fillId="0" borderId="0" xfId="0" applyFont="1" applyAlignment="1">
      <alignment horizontal="center" vertical="center"/>
    </xf>
    <xf numFmtId="0" fontId="11" fillId="0" borderId="0" xfId="0" applyFont="1"/>
    <xf numFmtId="43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" fontId="6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16" fontId="10" fillId="0" borderId="2" xfId="0" applyNumberFormat="1" applyFont="1" applyBorder="1" applyAlignment="1">
      <alignment horizontal="center"/>
    </xf>
    <xf numFmtId="16" fontId="8" fillId="2" borderId="2" xfId="0" applyNumberFormat="1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9" fontId="12" fillId="0" borderId="5" xfId="0" applyNumberFormat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top"/>
    </xf>
    <xf numFmtId="0" fontId="0" fillId="15" borderId="2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16" borderId="2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14" fillId="0" borderId="0" xfId="2" applyNumberFormat="1" applyFont="1"/>
    <xf numFmtId="9" fontId="14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7" xfId="2" applyNumberFormat="1" applyFont="1" applyBorder="1"/>
    <xf numFmtId="166" fontId="14" fillId="0" borderId="0" xfId="2" applyNumberFormat="1" applyFont="1" applyBorder="1"/>
    <xf numFmtId="166" fontId="14" fillId="2" borderId="8" xfId="2" applyNumberFormat="1" applyFont="1" applyFill="1" applyBorder="1"/>
    <xf numFmtId="166" fontId="12" fillId="0" borderId="4" xfId="2" applyNumberFormat="1" applyFont="1" applyBorder="1"/>
    <xf numFmtId="166" fontId="12" fillId="0" borderId="5" xfId="2" applyNumberFormat="1" applyFont="1" applyBorder="1"/>
    <xf numFmtId="166" fontId="12" fillId="2" borderId="6" xfId="2" applyNumberFormat="1" applyFont="1" applyFill="1" applyBorder="1"/>
    <xf numFmtId="166" fontId="14" fillId="0" borderId="0" xfId="2" applyNumberFormat="1" applyFont="1"/>
    <xf numFmtId="166" fontId="14" fillId="0" borderId="0" xfId="2" applyNumberFormat="1" applyFont="1" applyAlignment="1">
      <alignment horizontal="center"/>
    </xf>
    <xf numFmtId="166" fontId="12" fillId="0" borderId="5" xfId="2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9" xfId="0" applyBorder="1"/>
    <xf numFmtId="0" fontId="0" fillId="0" borderId="9" xfId="0" applyBorder="1" applyAlignment="1">
      <alignment vertical="top"/>
    </xf>
    <xf numFmtId="0" fontId="6" fillId="0" borderId="0" xfId="0" applyFont="1"/>
    <xf numFmtId="0" fontId="5" fillId="0" borderId="0" xfId="0" applyFont="1"/>
    <xf numFmtId="43" fontId="0" fillId="0" borderId="0" xfId="0" applyNumberFormat="1"/>
    <xf numFmtId="0" fontId="5" fillId="17" borderId="1" xfId="0" applyFont="1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20" xfId="0" applyFont="1" applyFill="1" applyBorder="1" applyAlignment="1">
      <alignment horizontal="center" vertical="center"/>
    </xf>
    <xf numFmtId="1" fontId="0" fillId="13" borderId="3" xfId="0" applyNumberFormat="1" applyFill="1" applyBorder="1" applyAlignment="1">
      <alignment horizontal="center"/>
    </xf>
    <xf numFmtId="166" fontId="0" fillId="13" borderId="22" xfId="2" applyNumberFormat="1" applyFont="1" applyFill="1" applyBorder="1" applyAlignment="1">
      <alignment horizontal="center"/>
    </xf>
    <xf numFmtId="166" fontId="0" fillId="0" borderId="0" xfId="2" applyNumberFormat="1" applyFont="1"/>
    <xf numFmtId="166" fontId="0" fillId="0" borderId="0" xfId="2" applyNumberFormat="1" applyFont="1" applyBorder="1"/>
    <xf numFmtId="9" fontId="0" fillId="0" borderId="0" xfId="0" applyNumberFormat="1"/>
    <xf numFmtId="166" fontId="2" fillId="0" borderId="8" xfId="0" applyNumberFormat="1" applyFont="1" applyBorder="1"/>
    <xf numFmtId="166" fontId="2" fillId="0" borderId="8" xfId="2" applyNumberFormat="1" applyFont="1" applyFill="1" applyBorder="1"/>
    <xf numFmtId="9" fontId="2" fillId="0" borderId="8" xfId="1" applyFont="1" applyFill="1" applyBorder="1" applyAlignment="1">
      <alignment horizontal="center"/>
    </xf>
    <xf numFmtId="166" fontId="0" fillId="0" borderId="3" xfId="2" applyNumberFormat="1" applyFont="1" applyBorder="1"/>
    <xf numFmtId="166" fontId="0" fillId="0" borderId="16" xfId="2" applyNumberFormat="1" applyFont="1" applyBorder="1"/>
    <xf numFmtId="166" fontId="0" fillId="0" borderId="9" xfId="2" applyNumberFormat="1" applyFont="1" applyBorder="1"/>
    <xf numFmtId="166" fontId="0" fillId="0" borderId="3" xfId="2" applyNumberFormat="1" applyFont="1" applyFill="1" applyBorder="1"/>
    <xf numFmtId="166" fontId="0" fillId="0" borderId="9" xfId="2" applyNumberFormat="1" applyFont="1" applyFill="1" applyBorder="1"/>
    <xf numFmtId="166" fontId="0" fillId="0" borderId="22" xfId="2" applyNumberFormat="1" applyFont="1" applyFill="1" applyBorder="1"/>
    <xf numFmtId="166" fontId="0" fillId="13" borderId="0" xfId="2" applyNumberFormat="1" applyFont="1" applyFill="1" applyBorder="1"/>
    <xf numFmtId="166" fontId="0" fillId="13" borderId="9" xfId="2" applyNumberFormat="1" applyFont="1" applyFill="1" applyBorder="1"/>
    <xf numFmtId="166" fontId="0" fillId="19" borderId="3" xfId="2" applyNumberFormat="1" applyFont="1" applyFill="1" applyBorder="1"/>
    <xf numFmtId="166" fontId="0" fillId="19" borderId="9" xfId="2" applyNumberFormat="1" applyFont="1" applyFill="1" applyBorder="1"/>
    <xf numFmtId="166" fontId="0" fillId="19" borderId="0" xfId="2" applyNumberFormat="1" applyFont="1" applyFill="1" applyBorder="1"/>
    <xf numFmtId="9" fontId="0" fillId="19" borderId="9" xfId="1" applyFont="1" applyFill="1" applyBorder="1" applyAlignment="1">
      <alignment horizontal="center"/>
    </xf>
    <xf numFmtId="166" fontId="2" fillId="0" borderId="23" xfId="2" applyNumberFormat="1" applyFont="1" applyFill="1" applyBorder="1"/>
    <xf numFmtId="0" fontId="5" fillId="0" borderId="24" xfId="0" applyFont="1" applyBorder="1" applyAlignment="1">
      <alignment horizontal="center"/>
    </xf>
    <xf numFmtId="1" fontId="5" fillId="13" borderId="25" xfId="0" applyNumberFormat="1" applyFont="1" applyFill="1" applyBorder="1" applyAlignment="1">
      <alignment horizontal="center"/>
    </xf>
    <xf numFmtId="166" fontId="5" fillId="13" borderId="26" xfId="2" applyNumberFormat="1" applyFont="1" applyFill="1" applyBorder="1" applyAlignment="1">
      <alignment horizontal="center"/>
    </xf>
    <xf numFmtId="166" fontId="5" fillId="0" borderId="5" xfId="2" applyNumberFormat="1" applyFont="1" applyBorder="1"/>
    <xf numFmtId="9" fontId="5" fillId="0" borderId="5" xfId="1" applyFont="1" applyBorder="1"/>
    <xf numFmtId="166" fontId="15" fillId="0" borderId="6" xfId="2" applyNumberFormat="1" applyFont="1" applyFill="1" applyBorder="1"/>
    <xf numFmtId="166" fontId="15" fillId="0" borderId="10" xfId="2" applyNumberFormat="1" applyFont="1" applyFill="1" applyBorder="1"/>
    <xf numFmtId="9" fontId="15" fillId="0" borderId="6" xfId="1" applyFont="1" applyFill="1" applyBorder="1" applyAlignment="1">
      <alignment horizontal="center"/>
    </xf>
    <xf numFmtId="166" fontId="5" fillId="0" borderId="1" xfId="0" applyNumberFormat="1" applyFont="1" applyBorder="1"/>
    <xf numFmtId="166" fontId="5" fillId="0" borderId="2" xfId="2" applyNumberFormat="1" applyFont="1" applyBorder="1"/>
    <xf numFmtId="166" fontId="5" fillId="0" borderId="20" xfId="2" applyNumberFormat="1" applyFont="1" applyBorder="1"/>
    <xf numFmtId="166" fontId="5" fillId="13" borderId="1" xfId="0" applyNumberFormat="1" applyFont="1" applyFill="1" applyBorder="1"/>
    <xf numFmtId="166" fontId="5" fillId="19" borderId="2" xfId="0" applyNumberFormat="1" applyFont="1" applyFill="1" applyBorder="1"/>
    <xf numFmtId="166" fontId="5" fillId="19" borderId="20" xfId="2" applyNumberFormat="1" applyFont="1" applyFill="1" applyBorder="1"/>
    <xf numFmtId="166" fontId="5" fillId="19" borderId="2" xfId="2" applyNumberFormat="1" applyFont="1" applyFill="1" applyBorder="1"/>
    <xf numFmtId="9" fontId="5" fillId="19" borderId="2" xfId="1" applyFont="1" applyFill="1" applyBorder="1" applyAlignment="1">
      <alignment horizontal="center"/>
    </xf>
    <xf numFmtId="43" fontId="0" fillId="0" borderId="0" xfId="2" applyFont="1" applyAlignment="1">
      <alignment horizontal="center"/>
    </xf>
    <xf numFmtId="167" fontId="0" fillId="0" borderId="0" xfId="2" applyNumberFormat="1" applyFont="1" applyFill="1" applyBorder="1"/>
    <xf numFmtId="0" fontId="0" fillId="0" borderId="0" xfId="0" applyAlignment="1">
      <alignment horizontal="right"/>
    </xf>
    <xf numFmtId="166" fontId="0" fillId="0" borderId="0" xfId="2" applyNumberFormat="1" applyFont="1" applyAlignment="1">
      <alignment horizontal="center"/>
    </xf>
    <xf numFmtId="166" fontId="4" fillId="0" borderId="0" xfId="2" applyNumberFormat="1" applyFont="1"/>
    <xf numFmtId="0" fontId="5" fillId="0" borderId="0" xfId="0" applyFont="1" applyAlignment="1">
      <alignment horizontal="right"/>
    </xf>
    <xf numFmtId="166" fontId="5" fillId="0" borderId="0" xfId="2" applyNumberFormat="1" applyFont="1"/>
    <xf numFmtId="9" fontId="0" fillId="0" borderId="0" xfId="1" applyFont="1"/>
    <xf numFmtId="166" fontId="5" fillId="0" borderId="2" xfId="2" applyNumberFormat="1" applyFont="1" applyFill="1" applyBorder="1"/>
    <xf numFmtId="166" fontId="5" fillId="13" borderId="2" xfId="2" applyNumberFormat="1" applyFont="1" applyFill="1" applyBorder="1"/>
    <xf numFmtId="0" fontId="4" fillId="0" borderId="0" xfId="0" applyFont="1"/>
    <xf numFmtId="0" fontId="5" fillId="13" borderId="1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0" fillId="2" borderId="2" xfId="0" applyNumberFormat="1" applyFill="1" applyBorder="1"/>
    <xf numFmtId="166" fontId="0" fillId="2" borderId="2" xfId="2" applyNumberFormat="1" applyFont="1" applyFill="1" applyBorder="1"/>
    <xf numFmtId="166" fontId="5" fillId="2" borderId="2" xfId="0" applyNumberFormat="1" applyFont="1" applyFill="1" applyBorder="1"/>
    <xf numFmtId="166" fontId="5" fillId="2" borderId="2" xfId="2" applyNumberFormat="1" applyFont="1" applyFill="1" applyBorder="1"/>
    <xf numFmtId="0" fontId="15" fillId="2" borderId="6" xfId="0" applyFont="1" applyFill="1" applyBorder="1" applyAlignment="1">
      <alignment horizontal="center" vertical="center"/>
    </xf>
    <xf numFmtId="166" fontId="2" fillId="2" borderId="8" xfId="2" applyNumberFormat="1" applyFont="1" applyFill="1" applyBorder="1"/>
    <xf numFmtId="166" fontId="15" fillId="2" borderId="6" xfId="2" applyNumberFormat="1" applyFont="1" applyFill="1" applyBorder="1"/>
    <xf numFmtId="0" fontId="6" fillId="1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16" fontId="5" fillId="0" borderId="11" xfId="0" applyNumberFormat="1" applyFont="1" applyBorder="1" applyAlignment="1">
      <alignment horizontal="center"/>
    </xf>
    <xf numFmtId="16" fontId="5" fillId="13" borderId="11" xfId="0" applyNumberFormat="1" applyFont="1" applyFill="1" applyBorder="1" applyAlignment="1">
      <alignment horizontal="center"/>
    </xf>
    <xf numFmtId="16" fontId="5" fillId="13" borderId="12" xfId="0" applyNumberFormat="1" applyFont="1" applyFill="1" applyBorder="1" applyAlignment="1">
      <alignment horizontal="center"/>
    </xf>
    <xf numFmtId="16" fontId="5" fillId="19" borderId="13" xfId="0" applyNumberFormat="1" applyFont="1" applyFill="1" applyBorder="1" applyAlignment="1">
      <alignment horizontal="center"/>
    </xf>
    <xf numFmtId="16" fontId="5" fillId="19" borderId="14" xfId="0" applyNumberFormat="1" applyFont="1" applyFill="1" applyBorder="1" applyAlignment="1">
      <alignment horizontal="center"/>
    </xf>
    <xf numFmtId="16" fontId="5" fillId="19" borderId="15" xfId="0" applyNumberFormat="1" applyFont="1" applyFill="1" applyBorder="1" applyAlignment="1">
      <alignment horizontal="center"/>
    </xf>
    <xf numFmtId="0" fontId="3" fillId="18" borderId="7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0" fontId="5" fillId="19" borderId="20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25-5-2026.xlsx" TargetMode="External"/><Relationship Id="rId1" Type="http://schemas.openxmlformats.org/officeDocument/2006/relationships/externalLinkPath" Target="RESUMEN%20VENTAS%20EXPORTACION%202025%20al%2025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K3">
            <v>2126.230658279324</v>
          </cell>
        </row>
        <row r="4">
          <cell r="K4">
            <v>2094.6361169260049</v>
          </cell>
        </row>
        <row r="5">
          <cell r="K5">
            <v>1946.6202776142766</v>
          </cell>
        </row>
        <row r="6">
          <cell r="K6">
            <v>2025.3424461865532</v>
          </cell>
        </row>
        <row r="7"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K9">
            <v>1974.7197869741549</v>
          </cell>
        </row>
        <row r="10"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K12">
            <v>1782.56409434187</v>
          </cell>
        </row>
        <row r="13"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K21">
            <v>1931.1280065442866</v>
          </cell>
        </row>
        <row r="22"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K30">
            <v>1788.7115084478587</v>
          </cell>
        </row>
        <row r="31"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K44">
            <v>1504.539234144622</v>
          </cell>
        </row>
        <row r="45"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K55">
            <v>1849.5051020408164</v>
          </cell>
        </row>
        <row r="56">
          <cell r="K56">
            <v>1784.0206279313234</v>
          </cell>
        </row>
        <row r="57"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Hoja1"/>
      <sheetName val="Hoja3"/>
      <sheetName val="2026"/>
      <sheetName val="PROGRAMACION"/>
      <sheetName val="2025 TOTAS FP"/>
      <sheetName val="Hoja2"/>
      <sheetName val="PV PENDIENTES"/>
      <sheetName val="EECC GLOBAL"/>
      <sheetName val="FP CHINA"/>
      <sheetName val="ANULADAS"/>
    </sheetNames>
    <sheetDataSet>
      <sheetData sheetId="0"/>
      <sheetData sheetId="1"/>
      <sheetData sheetId="2">
        <row r="5">
          <cell r="F5">
            <v>46150</v>
          </cell>
          <cell r="H5">
            <v>27</v>
          </cell>
          <cell r="I5">
            <v>106650</v>
          </cell>
          <cell r="J5" t="str">
            <v>POTA ALAS COCIDAS</v>
          </cell>
        </row>
        <row r="6">
          <cell r="F6">
            <v>46150</v>
          </cell>
          <cell r="H6">
            <v>81</v>
          </cell>
          <cell r="I6">
            <v>315900</v>
          </cell>
          <cell r="J6" t="str">
            <v>POTA FILETE DARUMA</v>
          </cell>
        </row>
        <row r="7">
          <cell r="F7">
            <v>46154</v>
          </cell>
          <cell r="H7">
            <v>26.25</v>
          </cell>
          <cell r="I7">
            <v>53812.5</v>
          </cell>
          <cell r="J7" t="str">
            <v>OTROS</v>
          </cell>
        </row>
        <row r="8">
          <cell r="F8">
            <v>46154</v>
          </cell>
          <cell r="H8">
            <v>54</v>
          </cell>
          <cell r="I8">
            <v>113400</v>
          </cell>
          <cell r="J8" t="str">
            <v>POTA FILETE CONGELADO</v>
          </cell>
        </row>
        <row r="9">
          <cell r="F9">
            <v>46154</v>
          </cell>
          <cell r="H9">
            <v>81</v>
          </cell>
          <cell r="I9">
            <v>299700</v>
          </cell>
          <cell r="J9" t="str">
            <v>POTA FILETE DARUMA</v>
          </cell>
        </row>
        <row r="10">
          <cell r="F10">
            <v>46154</v>
          </cell>
          <cell r="H10">
            <v>157</v>
          </cell>
          <cell r="I10">
            <v>191725</v>
          </cell>
          <cell r="J10" t="str">
            <v>POTA NUCAS CONGELADAS</v>
          </cell>
        </row>
        <row r="11">
          <cell r="F11">
            <v>46154</v>
          </cell>
          <cell r="H11">
            <v>81</v>
          </cell>
          <cell r="I11">
            <v>230850</v>
          </cell>
          <cell r="J11" t="str">
            <v>POTA REJOS CONGELADOS</v>
          </cell>
        </row>
        <row r="12">
          <cell r="F12">
            <v>46154</v>
          </cell>
          <cell r="H12">
            <v>27</v>
          </cell>
          <cell r="I12">
            <v>54000</v>
          </cell>
          <cell r="J12" t="str">
            <v>OTROS</v>
          </cell>
        </row>
        <row r="13">
          <cell r="F13">
            <v>46157</v>
          </cell>
          <cell r="H13">
            <v>26.28</v>
          </cell>
          <cell r="I13">
            <v>103806</v>
          </cell>
          <cell r="J13" t="str">
            <v>POTA ALAS COCIDAS</v>
          </cell>
        </row>
        <row r="14">
          <cell r="F14">
            <v>46157</v>
          </cell>
          <cell r="H14">
            <v>74.8</v>
          </cell>
          <cell r="I14">
            <v>166680</v>
          </cell>
          <cell r="J14" t="str">
            <v>POTA FILETE CONGELADO</v>
          </cell>
        </row>
        <row r="15">
          <cell r="F15">
            <v>46157</v>
          </cell>
          <cell r="H15">
            <v>26</v>
          </cell>
          <cell r="I15">
            <v>33800</v>
          </cell>
          <cell r="J15" t="str">
            <v>POTA NUCAS CONGELADAS</v>
          </cell>
        </row>
        <row r="16">
          <cell r="F16">
            <v>46157</v>
          </cell>
          <cell r="H16">
            <v>81</v>
          </cell>
          <cell r="I16">
            <v>234900</v>
          </cell>
          <cell r="J16" t="str">
            <v>POTA REJOS CONGELADOS</v>
          </cell>
        </row>
        <row r="17">
          <cell r="F17">
            <v>46160</v>
          </cell>
          <cell r="H17">
            <v>26</v>
          </cell>
          <cell r="I17">
            <v>36400</v>
          </cell>
          <cell r="J17" t="str">
            <v>POTA LABIOS FR S/COD BL10 S20</v>
          </cell>
        </row>
        <row r="18">
          <cell r="F18">
            <v>46160</v>
          </cell>
          <cell r="H18">
            <v>27</v>
          </cell>
          <cell r="I18">
            <v>63450</v>
          </cell>
          <cell r="J18" t="str">
            <v>OTROS</v>
          </cell>
        </row>
        <row r="19">
          <cell r="F19">
            <v>46160</v>
          </cell>
          <cell r="H19">
            <v>26</v>
          </cell>
          <cell r="I19">
            <v>80600</v>
          </cell>
          <cell r="J19" t="str">
            <v>POTA REPRODUCTORES</v>
          </cell>
        </row>
        <row r="20">
          <cell r="F20">
            <v>46164</v>
          </cell>
          <cell r="H20">
            <v>27</v>
          </cell>
          <cell r="I20">
            <v>106650</v>
          </cell>
          <cell r="J20" t="str">
            <v>POTA ALAS COCIDAS</v>
          </cell>
        </row>
        <row r="21">
          <cell r="F21">
            <v>46164</v>
          </cell>
          <cell r="H21">
            <v>54</v>
          </cell>
          <cell r="I21">
            <v>113400</v>
          </cell>
          <cell r="J21" t="str">
            <v>POTA ALAS CONGELADAS</v>
          </cell>
        </row>
        <row r="22">
          <cell r="F22">
            <v>46164</v>
          </cell>
          <cell r="H22">
            <v>351</v>
          </cell>
          <cell r="I22">
            <v>720090</v>
          </cell>
          <cell r="J22" t="str">
            <v>POTA FILETE CONGELADO</v>
          </cell>
        </row>
        <row r="23">
          <cell r="F23">
            <v>46164</v>
          </cell>
          <cell r="H23">
            <v>108</v>
          </cell>
          <cell r="I23">
            <v>421200</v>
          </cell>
          <cell r="J23" t="str">
            <v>POTA FILETE DARUMA</v>
          </cell>
        </row>
        <row r="24">
          <cell r="F24">
            <v>46164</v>
          </cell>
          <cell r="H24">
            <v>108</v>
          </cell>
          <cell r="I24">
            <v>321300</v>
          </cell>
          <cell r="J24" t="str">
            <v>POTA REJOS CONGELADOS</v>
          </cell>
        </row>
        <row r="25">
          <cell r="F25">
            <v>46167</v>
          </cell>
          <cell r="H25">
            <v>26</v>
          </cell>
          <cell r="I25">
            <v>74100</v>
          </cell>
          <cell r="J25" t="str">
            <v>POTA REPRODUCTORES</v>
          </cell>
        </row>
        <row r="26">
          <cell r="F26">
            <v>46170</v>
          </cell>
          <cell r="H26">
            <v>27</v>
          </cell>
          <cell r="I26">
            <v>106650</v>
          </cell>
          <cell r="J26" t="str">
            <v>POTA ALAS COCIDAS</v>
          </cell>
        </row>
        <row r="27">
          <cell r="F27">
            <v>46170</v>
          </cell>
          <cell r="H27">
            <v>243</v>
          </cell>
          <cell r="I27">
            <v>477900</v>
          </cell>
          <cell r="J27" t="str">
            <v>POTA ALAS CONGELADAS</v>
          </cell>
        </row>
        <row r="28">
          <cell r="F28">
            <v>46170</v>
          </cell>
          <cell r="H28">
            <v>27</v>
          </cell>
          <cell r="I28">
            <v>54540</v>
          </cell>
          <cell r="J28" t="str">
            <v>POTA FILETE CONGELADO</v>
          </cell>
        </row>
        <row r="29">
          <cell r="F29">
            <v>46170</v>
          </cell>
          <cell r="H29">
            <v>27</v>
          </cell>
          <cell r="I29">
            <v>105300</v>
          </cell>
          <cell r="J29" t="str">
            <v>POTA FILETE DARUMA</v>
          </cell>
        </row>
        <row r="30">
          <cell r="F30">
            <v>46170</v>
          </cell>
          <cell r="H30">
            <v>27</v>
          </cell>
          <cell r="I30">
            <v>67500</v>
          </cell>
          <cell r="J30" t="str">
            <v>OTROS</v>
          </cell>
        </row>
        <row r="31">
          <cell r="F31">
            <v>46170</v>
          </cell>
          <cell r="H31">
            <v>108</v>
          </cell>
          <cell r="I31">
            <v>318600</v>
          </cell>
          <cell r="J31" t="str">
            <v>POTA REJOS CONGELADOS</v>
          </cell>
        </row>
        <row r="32">
          <cell r="F32">
            <v>46171</v>
          </cell>
          <cell r="H32">
            <v>24</v>
          </cell>
          <cell r="I32">
            <v>43200</v>
          </cell>
          <cell r="J32" t="str">
            <v>POTA CONOS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67.84033958333" createdVersion="8" refreshedVersion="8" minRefreshableVersion="3" recordCount="57" xr:uid="{1D101FD0-ADA4-4C5E-BC5F-E650AF642626}">
  <cacheSource type="worksheet">
    <worksheetSource ref="R1:AA58" sheet="Stock Libre"/>
  </cacheSource>
  <cacheFields count="10">
    <cacheField name="CÓDIGO" numFmtId="0">
      <sharedItems containsString="0" containsBlank="1" containsNumber="1" containsInteger="1" minValue="10005721" maxValue="10009386" count="14">
        <n v="10006719"/>
        <n v="10006720"/>
        <n v="10009207"/>
        <n v="10007969"/>
        <m/>
        <n v="10005721"/>
        <n v="10005779"/>
        <n v="10005781"/>
        <n v="10007567"/>
        <n v="10007162"/>
        <n v="10009386"/>
        <n v="10009239"/>
        <n v="10009334"/>
        <n v="10007050"/>
      </sharedItems>
    </cacheField>
    <cacheField name="CU X TM" numFmtId="0">
      <sharedItems containsString="0" containsBlank="1" containsNumber="1" minValue="0" maxValue="3.441681665997347"/>
    </cacheField>
    <cacheField name="% MP" numFmtId="0">
      <sharedItems containsString="0" containsBlank="1" containsNumber="1" minValue="0.56000000000000005" maxValue="0.71"/>
    </cacheField>
    <cacheField name="incremento MP" numFmtId="0">
      <sharedItems containsString="0" containsBlank="1" containsNumber="1" containsInteger="1" minValue="0" maxValue="0"/>
    </cacheField>
    <cacheField name="TM en Stock" numFmtId="166">
      <sharedItems containsSemiMixedTypes="0" containsString="0" containsNumber="1" minValue="0" maxValue="253.96"/>
    </cacheField>
    <cacheField name="Costo Ventas" numFmtId="166">
      <sharedItems containsSemiMixedTypes="0" containsString="0" containsNumber="1" minValue="0" maxValue="542632.97550308716"/>
    </cacheField>
    <cacheField name="Gasto Ventas" numFmtId="166">
      <sharedItems containsSemiMixedTypes="0" containsString="0" containsNumber="1" minValue="0" maxValue="52783.046399999999"/>
    </cacheField>
    <cacheField name="Gasto ADM" numFmtId="166">
      <sharedItems containsSemiMixedTypes="0" containsString="0" containsNumber="1" minValue="0" maxValue="10088.93975733064"/>
    </cacheField>
    <cacheField name="Gasto Fin" numFmtId="166">
      <sharedItems containsSemiMixedTypes="0" containsString="0" containsNumber="1" minValue="0" maxValue="19833.146147623866"/>
    </cacheField>
    <cacheField name="Depreciación" numFmtId="166">
      <sharedItems containsSemiMixedTypes="0" containsString="0" containsNumber="1" minValue="0" maxValue="15854.441620829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n v="2.0357385678837292"/>
    <n v="0.71"/>
    <n v="0"/>
    <n v="8.02"/>
    <n v="16326.623314427508"/>
    <n v="1666.8768"/>
    <n v="318.60646107178974"/>
    <n v="626.32631951466135"/>
    <n v="500.67972042467142"/>
  </r>
  <r>
    <x v="0"/>
    <n v="2.0357385678837292"/>
    <n v="0.71"/>
    <n v="0"/>
    <n v="0.08"/>
    <n v="162.85908543069834"/>
    <n v="16.627200000000002"/>
    <n v="3.1781193124368055"/>
    <n v="6.2476440849342785"/>
    <n v="4.9943114256825085"/>
  </r>
  <r>
    <x v="0"/>
    <n v="2.0357385678837292"/>
    <n v="0.71"/>
    <n v="0"/>
    <n v="0"/>
    <n v="0"/>
    <n v="0"/>
    <n v="0"/>
    <n v="0"/>
    <n v="0"/>
  </r>
  <r>
    <x v="0"/>
    <n v="2.0357385678837292"/>
    <n v="0.71"/>
    <n v="0"/>
    <n v="0"/>
    <n v="0"/>
    <n v="0"/>
    <n v="0"/>
    <n v="0"/>
    <n v="0"/>
  </r>
  <r>
    <x v="1"/>
    <n v="1.5292757311252616"/>
    <n v="0.71"/>
    <n v="0"/>
    <n v="0"/>
    <n v="0"/>
    <n v="0"/>
    <n v="0"/>
    <n v="0"/>
    <n v="0"/>
  </r>
  <r>
    <x v="1"/>
    <n v="1.5292757311252616"/>
    <n v="0.71"/>
    <n v="0"/>
    <n v="0"/>
    <n v="0"/>
    <n v="0"/>
    <n v="0"/>
    <n v="0"/>
    <n v="0"/>
  </r>
  <r>
    <x v="1"/>
    <n v="1.5292757311252616"/>
    <n v="0.71"/>
    <n v="0"/>
    <n v="0"/>
    <n v="0"/>
    <n v="0"/>
    <n v="0"/>
    <n v="0"/>
    <n v="0"/>
  </r>
  <r>
    <x v="2"/>
    <n v="1.5455756063338246"/>
    <n v="0.71"/>
    <n v="0"/>
    <n v="0.38"/>
    <n v="587.31873040685332"/>
    <n v="78.979200000000006"/>
    <n v="15.096066734074826"/>
    <n v="29.676309403437823"/>
    <n v="23.722979271991914"/>
  </r>
  <r>
    <x v="3"/>
    <n v="1.4946793794440854"/>
    <n v="0.71"/>
    <n v="0"/>
    <n v="15.56"/>
    <n v="23257.211144149969"/>
    <n v="3233.9904000000001"/>
    <n v="618.14420626895867"/>
    <n v="1215.1667745197171"/>
    <n v="971.39357229524785"/>
  </r>
  <r>
    <x v="4"/>
    <n v="0"/>
    <m/>
    <n v="0"/>
    <n v="0"/>
    <n v="0"/>
    <n v="0"/>
    <n v="0"/>
    <n v="0"/>
    <n v="0"/>
  </r>
  <r>
    <x v="4"/>
    <n v="0"/>
    <m/>
    <n v="0"/>
    <n v="0"/>
    <n v="0"/>
    <n v="0"/>
    <n v="0"/>
    <n v="0"/>
    <n v="0"/>
  </r>
  <r>
    <x v="4"/>
    <n v="0"/>
    <m/>
    <n v="0"/>
    <n v="0"/>
    <n v="0"/>
    <n v="0"/>
    <n v="0"/>
    <n v="0"/>
    <n v="0"/>
  </r>
  <r>
    <x v="4"/>
    <n v="0"/>
    <m/>
    <n v="0"/>
    <n v="0"/>
    <n v="0"/>
    <n v="0"/>
    <n v="0"/>
    <n v="0"/>
    <n v="0"/>
  </r>
  <r>
    <x v="4"/>
    <n v="0"/>
    <m/>
    <n v="0"/>
    <n v="0"/>
    <n v="0"/>
    <n v="0"/>
    <n v="0"/>
    <n v="0"/>
    <n v="0"/>
  </r>
  <r>
    <x v="5"/>
    <n v="2.136686783363865"/>
    <n v="0.67"/>
    <n v="0"/>
    <n v="1.38"/>
    <n v="2948.6277610421334"/>
    <n v="286.81919999999997"/>
    <n v="54.822558139534891"/>
    <n v="107.77186046511629"/>
    <n v="86.151872093023258"/>
  </r>
  <r>
    <x v="5"/>
    <n v="2.136686783363865"/>
    <n v="0.67"/>
    <n v="0"/>
    <n v="1.92"/>
    <n v="4102.4386240586209"/>
    <n v="399.05279999999999"/>
    <n v="76.274863498483327"/>
    <n v="149.94345803842268"/>
    <n v="119.8634742163802"/>
  </r>
  <r>
    <x v="5"/>
    <n v="2.136686783363865"/>
    <n v="0.67"/>
    <n v="0"/>
    <n v="13.1"/>
    <n v="27990.596862066632"/>
    <n v="2722.7040000000002"/>
    <n v="520.41703741152685"/>
    <n v="1023.0517189079881"/>
    <n v="817.81849595551068"/>
  </r>
  <r>
    <x v="5"/>
    <n v="2.136686783363865"/>
    <n v="0.67"/>
    <n v="0"/>
    <n v="1.06"/>
    <n v="2264.8879903656971"/>
    <n v="220.31040000000002"/>
    <n v="42.110080889787675"/>
    <n v="82.781284125379187"/>
    <n v="66.174626390293241"/>
  </r>
  <r>
    <x v="5"/>
    <n v="2.136686783363865"/>
    <n v="0.67"/>
    <n v="0"/>
    <n v="253.96"/>
    <n v="542632.97550308716"/>
    <n v="52783.046399999999"/>
    <n v="10088.93975733064"/>
    <n v="19833.146147623866"/>
    <n v="15854.441620829124"/>
  </r>
  <r>
    <x v="5"/>
    <n v="2.136686783363865"/>
    <n v="0.67"/>
    <n v="0"/>
    <n v="11.32"/>
    <n v="24187.294387678954"/>
    <n v="2352.7488000000003"/>
    <n v="449.70388270980794"/>
    <n v="884.04163801820039"/>
    <n v="706.695066734075"/>
  </r>
  <r>
    <x v="5"/>
    <n v="2.136686783363865"/>
    <n v="0.67"/>
    <n v="0"/>
    <n v="0"/>
    <n v="0"/>
    <n v="0"/>
    <n v="0"/>
    <n v="0"/>
    <n v="0"/>
  </r>
  <r>
    <x v="5"/>
    <n v="2.136686783363865"/>
    <n v="0.67"/>
    <n v="0"/>
    <n v="0"/>
    <n v="0"/>
    <n v="0"/>
    <n v="0"/>
    <n v="0"/>
    <n v="0"/>
  </r>
  <r>
    <x v="5"/>
    <n v="2.136686783363865"/>
    <n v="0.67"/>
    <n v="0"/>
    <n v="0"/>
    <n v="0"/>
    <n v="0"/>
    <n v="0"/>
    <n v="0"/>
    <n v="0"/>
  </r>
  <r>
    <x v="5"/>
    <n v="2.136686783363865"/>
    <n v="0.67"/>
    <n v="0"/>
    <n v="0"/>
    <n v="0"/>
    <n v="0"/>
    <n v="0"/>
    <n v="0"/>
    <n v="0"/>
  </r>
  <r>
    <x v="5"/>
    <n v="2.136686783363865"/>
    <n v="0.67"/>
    <n v="0"/>
    <n v="3.2"/>
    <n v="6837.3977067643682"/>
    <n v="665.08800000000008"/>
    <n v="127.12477249747222"/>
    <n v="249.90576339737115"/>
    <n v="199.77245702730033"/>
  </r>
  <r>
    <x v="6"/>
    <n v="1.7536934474995789"/>
    <n v="0.65"/>
    <n v="0"/>
    <n v="78.7"/>
    <n v="138015.67431821686"/>
    <n v="16357.008000000002"/>
    <n v="3126.4748736097072"/>
    <n v="6146.1198685540967"/>
    <n v="4913.1538650151679"/>
  </r>
  <r>
    <x v="6"/>
    <n v="1.7536934474995789"/>
    <n v="0.65"/>
    <n v="0"/>
    <n v="40.1"/>
    <n v="70323.107244733124"/>
    <n v="8334.384"/>
    <n v="1593.0323053589486"/>
    <n v="3131.6315975733069"/>
    <n v="2503.3986021233573"/>
  </r>
  <r>
    <x v="6"/>
    <n v="1.7536934474995789"/>
    <n v="0.65"/>
    <n v="0"/>
    <n v="1"/>
    <n v="1753.693447499579"/>
    <n v="207.84"/>
    <n v="39.726491405460067"/>
    <n v="78.095551061678478"/>
    <n v="62.428892821031354"/>
  </r>
  <r>
    <x v="7"/>
    <n v="1.856345845872738"/>
    <n v="0.65"/>
    <n v="0"/>
    <n v="11.24"/>
    <n v="20865.327307609576"/>
    <n v="2336.1215999999999"/>
    <n v="446.52576339737118"/>
    <n v="877.79399393326605"/>
    <n v="701.70075530839244"/>
  </r>
  <r>
    <x v="7"/>
    <n v="1.856345845872738"/>
    <n v="0.65"/>
    <n v="0"/>
    <n v="72.78"/>
    <n v="135104.85066261789"/>
    <n v="15126.5952"/>
    <n v="2891.2940444893839"/>
    <n v="5683.7942062689599"/>
    <n v="4543.5748195146616"/>
  </r>
  <r>
    <x v="7"/>
    <n v="1.856345845872738"/>
    <n v="0.65"/>
    <n v="0"/>
    <n v="24.14"/>
    <n v="44812.188719367899"/>
    <n v="5017.2575999999999"/>
    <n v="958.99750252780598"/>
    <n v="1885.2266026289185"/>
    <n v="1507.0334726996969"/>
  </r>
  <r>
    <x v="8"/>
    <n v="1.8212402425897036"/>
    <n v="0.68"/>
    <n v="0"/>
    <n v="34.72"/>
    <n v="63233.461222714512"/>
    <n v="7216.2047999999995"/>
    <n v="1379.3037815975736"/>
    <n v="2711.4775328614764"/>
    <n v="2167.5311587462083"/>
  </r>
  <r>
    <x v="8"/>
    <n v="1.8212402425897036"/>
    <n v="0.68"/>
    <n v="0"/>
    <n v="30.96"/>
    <n v="56385.597910577228"/>
    <n v="6434.7264000000005"/>
    <n v="1229.9321739130437"/>
    <n v="2417.8382608695656"/>
    <n v="1932.7985217391308"/>
  </r>
  <r>
    <x v="9"/>
    <n v="1.8821795185638512"/>
    <n v="0.68"/>
    <n v="0"/>
    <n v="0"/>
    <n v="0"/>
    <n v="0"/>
    <n v="0"/>
    <n v="0"/>
    <n v="0"/>
  </r>
  <r>
    <x v="9"/>
    <n v="1.8821795185638512"/>
    <n v="0.68"/>
    <n v="0"/>
    <n v="5.7"/>
    <n v="10728.423255813952"/>
    <n v="1184.6880000000001"/>
    <n v="226.44100101112238"/>
    <n v="445.14464105156736"/>
    <n v="355.84468907987872"/>
  </r>
  <r>
    <x v="9"/>
    <n v="1.8821795185638512"/>
    <n v="0.68"/>
    <n v="0"/>
    <n v="0"/>
    <n v="0"/>
    <n v="0"/>
    <n v="0"/>
    <n v="0"/>
    <n v="0"/>
  </r>
  <r>
    <x v="9"/>
    <n v="1.8821795185638512"/>
    <n v="0.68"/>
    <n v="0"/>
    <n v="0"/>
    <n v="0"/>
    <n v="0"/>
    <n v="0"/>
    <n v="0"/>
    <n v="0"/>
  </r>
  <r>
    <x v="9"/>
    <n v="1.8821795185638512"/>
    <n v="0.68"/>
    <n v="0"/>
    <n v="0.22"/>
    <n v="414.07949408404727"/>
    <n v="45.724800000000002"/>
    <n v="8.7398281092012144"/>
    <n v="17.181021233569265"/>
    <n v="13.734356420626899"/>
  </r>
  <r>
    <x v="9"/>
    <n v="1.8821795185638512"/>
    <n v="0.68"/>
    <n v="0"/>
    <n v="11.68"/>
    <n v="21983.856776825782"/>
    <n v="2427.5711999999999"/>
    <n v="464.00541961577358"/>
    <n v="912.15603640040456"/>
    <n v="729.16946814964615"/>
  </r>
  <r>
    <x v="9"/>
    <n v="1.8821795185638512"/>
    <n v="0.68"/>
    <n v="0"/>
    <n v="0"/>
    <n v="0"/>
    <n v="0"/>
    <n v="0"/>
    <n v="0"/>
    <n v="0"/>
  </r>
  <r>
    <x v="9"/>
    <n v="1.8821795185638512"/>
    <n v="0.68"/>
    <n v="0"/>
    <n v="9.68"/>
    <n v="18219.497739698079"/>
    <n v="2011.8912"/>
    <n v="384.55243680485341"/>
    <n v="755.96493427704763"/>
    <n v="604.31168250758344"/>
  </r>
  <r>
    <x v="9"/>
    <n v="1.8821795185638512"/>
    <n v="0.68"/>
    <n v="0"/>
    <n v="0"/>
    <n v="0"/>
    <n v="0"/>
    <n v="0"/>
    <n v="0"/>
    <n v="0"/>
  </r>
  <r>
    <x v="10"/>
    <n v="1.8837262986780907"/>
    <n v="0.68"/>
    <n v="0"/>
    <n v="14.52"/>
    <n v="27351.705856805875"/>
    <n v="3017.8368"/>
    <n v="576.82865520728012"/>
    <n v="1133.9474014155714"/>
    <n v="906.46752376137522"/>
  </r>
  <r>
    <x v="11"/>
    <n v="3.441681665997347"/>
    <n v="0.56000000000000005"/>
    <n v="0"/>
    <n v="49.56"/>
    <n v="170569.74336682854"/>
    <n v="10300.5504"/>
    <n v="1968.8449140546011"/>
    <n v="3870.4155106167855"/>
    <n v="3093.9759282103141"/>
  </r>
  <r>
    <x v="11"/>
    <n v="3.441681665997347"/>
    <n v="0.56000000000000005"/>
    <n v="0"/>
    <n v="0.7"/>
    <n v="2409.1771661981429"/>
    <n v="145.488"/>
    <n v="27.808543983822045"/>
    <n v="54.66688574317493"/>
    <n v="43.700224974721948"/>
  </r>
  <r>
    <x v="12"/>
    <n v="3.0200740355810347"/>
    <n v="0.68"/>
    <n v="0"/>
    <n v="0"/>
    <n v="0"/>
    <n v="0"/>
    <n v="0"/>
    <n v="0"/>
    <n v="0"/>
  </r>
  <r>
    <x v="12"/>
    <n v="3.0200740355810347"/>
    <n v="0.68"/>
    <n v="0"/>
    <n v="0"/>
    <n v="0"/>
    <n v="0"/>
    <n v="0"/>
    <n v="0"/>
    <n v="0"/>
  </r>
  <r>
    <x v="12"/>
    <n v="3.0200740355810347"/>
    <n v="0.68"/>
    <n v="0"/>
    <n v="1.3520000000000001"/>
    <n v="4083.1400961055592"/>
    <n v="280.99968000000001"/>
    <n v="53.710216380182011"/>
    <n v="105.58518503538932"/>
    <n v="84.403863094034392"/>
  </r>
  <r>
    <x v="13"/>
    <n v="1.5705963362842754"/>
    <n v="0.68"/>
    <n v="0"/>
    <n v="4.04"/>
    <n v="6345.2091985884726"/>
    <n v="839.67359999999996"/>
    <n v="160.49502527805868"/>
    <n v="315.50602628918108"/>
    <n v="252.21272699696667"/>
  </r>
  <r>
    <x v="13"/>
    <n v="1.5705963362842754"/>
    <n v="0.68"/>
    <n v="0"/>
    <n v="44.465000000000003"/>
    <n v="69836.566092880312"/>
    <n v="9241.6056000000008"/>
    <n v="1766.4384403437821"/>
    <n v="3472.5186779575338"/>
    <n v="2775.9007192871595"/>
  </r>
  <r>
    <x v="13"/>
    <n v="1.5705963362842754"/>
    <n v="0.68"/>
    <n v="0"/>
    <n v="32.4"/>
    <n v="50887.32129561052"/>
    <n v="6734.0159999999996"/>
    <n v="1287.138321536906"/>
    <n v="2530.2958543983827"/>
    <n v="2022.6961274014159"/>
  </r>
  <r>
    <x v="4"/>
    <m/>
    <m/>
    <m/>
    <n v="0"/>
    <n v="0"/>
    <n v="0"/>
    <n v="0"/>
    <n v="0"/>
    <n v="0"/>
  </r>
  <r>
    <x v="4"/>
    <m/>
    <m/>
    <m/>
    <n v="0"/>
    <n v="0"/>
    <n v="0"/>
    <n v="0"/>
    <n v="0"/>
    <n v="0"/>
  </r>
  <r>
    <x v="4"/>
    <m/>
    <m/>
    <m/>
    <n v="0"/>
    <n v="0"/>
    <n v="0"/>
    <n v="0"/>
    <n v="0"/>
    <n v="0"/>
  </r>
  <r>
    <x v="4"/>
    <m/>
    <m/>
    <m/>
    <n v="0"/>
    <n v="0"/>
    <n v="0"/>
    <n v="0"/>
    <n v="0"/>
    <n v="0"/>
  </r>
  <r>
    <x v="4"/>
    <m/>
    <m/>
    <m/>
    <n v="0"/>
    <n v="0"/>
    <n v="0"/>
    <n v="0"/>
    <n v="0"/>
    <n v="0"/>
  </r>
  <r>
    <x v="4"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98A84-0D8B-48CA-A102-91FD432E76B0}" name="TablaDinámica6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J18" firstHeaderRow="0" firstDataRow="1" firstDataCol="1"/>
  <pivotFields count="10">
    <pivotField axis="axisRow" showAll="0">
      <items count="15">
        <item x="5"/>
        <item x="6"/>
        <item x="7"/>
        <item x="0"/>
        <item x="1"/>
        <item x="13"/>
        <item x="9"/>
        <item x="8"/>
        <item x="3"/>
        <item x="2"/>
        <item x="11"/>
        <item x="12"/>
        <item x="10"/>
        <item x="4"/>
        <item t="default"/>
      </items>
    </pivotField>
    <pivotField showAll="0"/>
    <pivotField showAll="0"/>
    <pivotField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  <pivotField dataField="1" numFmtId="166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4" baseField="0" baseItem="0" numFmtId="166"/>
    <dataField name="Suma de Costo Ventas" fld="5" baseField="0" baseItem="0" numFmtId="166"/>
    <dataField name="Suma de Gasto Ventas" fld="6" baseField="0" baseItem="0" numFmtId="166"/>
    <dataField name="Suma de Gasto ADM" fld="7" baseField="0" baseItem="0" numFmtId="166"/>
    <dataField name="Suma de Gasto Fin" fld="8" baseField="0" baseItem="0" numFmtId="166"/>
    <dataField name="Suma de Depreciación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4446-A554-4D08-A9B3-66F8EF162E69}">
  <dimension ref="B2:BS40"/>
  <sheetViews>
    <sheetView showGridLines="0" tabSelected="1" topLeftCell="B1" zoomScale="80" zoomScaleNormal="80" workbookViewId="0">
      <pane xSplit="3" ySplit="6" topLeftCell="AW7" activePane="bottomRight" state="frozen"/>
      <selection activeCell="B1" sqref="B1"/>
      <selection pane="topRight" activeCell="E1" sqref="E1"/>
      <selection pane="bottomLeft" activeCell="B5" sqref="B5"/>
      <selection pane="bottomRight" activeCell="BL16" sqref="BL16"/>
    </sheetView>
  </sheetViews>
  <sheetFormatPr baseColWidth="10" defaultRowHeight="14.4" outlineLevelCol="2" x14ac:dyDescent="0.3"/>
  <cols>
    <col min="2" max="2" width="14.33203125" hidden="1" customWidth="1" outlineLevel="1"/>
    <col min="3" max="3" width="34.109375" customWidth="1" collapsed="1"/>
    <col min="4" max="5" width="12.88671875" hidden="1" customWidth="1" outlineLevel="1"/>
    <col min="6" max="7" width="13.5546875" hidden="1" customWidth="1" outlineLevel="2"/>
    <col min="8" max="8" width="11.77734375" hidden="1" customWidth="1" outlineLevel="2"/>
    <col min="9" max="9" width="10.5546875" hidden="1" customWidth="1" outlineLevel="2"/>
    <col min="10" max="10" width="14.109375" hidden="1" customWidth="1" outlineLevel="2"/>
    <col min="11" max="11" width="13.77734375" hidden="1" customWidth="1" outlineLevel="2"/>
    <col min="12" max="12" width="13.44140625" hidden="1" customWidth="1" outlineLevel="2"/>
    <col min="13" max="13" width="17.33203125" hidden="1" customWidth="1" outlineLevel="2"/>
    <col min="14" max="14" width="23.33203125" hidden="1" customWidth="1" outlineLevel="2"/>
    <col min="15" max="18" width="17.5546875" hidden="1" customWidth="1" outlineLevel="2"/>
    <col min="19" max="19" width="9.6640625" hidden="1" customWidth="1" outlineLevel="1"/>
    <col min="20" max="21" width="11.5546875" hidden="1" customWidth="1" outlineLevel="1"/>
    <col min="22" max="22" width="12.6640625" hidden="1" customWidth="1" outlineLevel="1"/>
    <col min="23" max="24" width="11.5546875" hidden="1" customWidth="1" outlineLevel="1"/>
    <col min="25" max="28" width="12.6640625" hidden="1" customWidth="1" outlineLevel="1"/>
    <col min="29" max="30" width="11.5546875" hidden="1" customWidth="1" outlineLevel="1"/>
    <col min="31" max="31" width="12.6640625" hidden="1" customWidth="1" outlineLevel="1"/>
    <col min="32" max="33" width="11.5546875" hidden="1" customWidth="1" outlineLevel="1"/>
    <col min="34" max="43" width="12.6640625" hidden="1" customWidth="1" outlineLevel="1"/>
    <col min="44" max="44" width="15.6640625" customWidth="1" collapsed="1"/>
    <col min="46" max="46" width="12.6640625" bestFit="1" customWidth="1"/>
    <col min="48" max="48" width="11.44140625" customWidth="1"/>
    <col min="49" max="49" width="12.44140625" bestFit="1" customWidth="1"/>
    <col min="52" max="52" width="12.6640625" bestFit="1" customWidth="1"/>
    <col min="53" max="59" width="12.6640625" customWidth="1" outlineLevel="1"/>
    <col min="64" max="64" width="12.6640625" bestFit="1" customWidth="1"/>
    <col min="65" max="65" width="12.44140625" bestFit="1" customWidth="1"/>
  </cols>
  <sheetData>
    <row r="2" spans="2:71" ht="15.6" x14ac:dyDescent="0.3">
      <c r="C2" s="110" t="s">
        <v>197</v>
      </c>
    </row>
    <row r="3" spans="2:71" x14ac:dyDescent="0.3">
      <c r="C3" s="111" t="s">
        <v>215</v>
      </c>
      <c r="G3" s="107"/>
    </row>
    <row r="4" spans="2:71" ht="15" thickBot="1" x14ac:dyDescent="0.35">
      <c r="C4" s="111"/>
      <c r="G4" s="112"/>
      <c r="AR4" s="198" t="s">
        <v>198</v>
      </c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</row>
    <row r="5" spans="2:71" ht="15" thickBot="1" x14ac:dyDescent="0.35">
      <c r="F5" s="200" t="s">
        <v>199</v>
      </c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2"/>
      <c r="T5" s="203">
        <v>46150</v>
      </c>
      <c r="U5" s="203"/>
      <c r="V5" s="203"/>
      <c r="W5" s="203">
        <v>46154</v>
      </c>
      <c r="X5" s="203"/>
      <c r="Y5" s="203"/>
      <c r="Z5" s="203">
        <v>46157</v>
      </c>
      <c r="AA5" s="203"/>
      <c r="AB5" s="203"/>
      <c r="AC5" s="203">
        <v>46160</v>
      </c>
      <c r="AD5" s="203"/>
      <c r="AE5" s="203"/>
      <c r="AF5" s="203">
        <v>46164</v>
      </c>
      <c r="AG5" s="203"/>
      <c r="AH5" s="203"/>
      <c r="AI5" s="203">
        <v>46167</v>
      </c>
      <c r="AJ5" s="203"/>
      <c r="AK5" s="203"/>
      <c r="AL5" s="203">
        <v>46170</v>
      </c>
      <c r="AM5" s="203"/>
      <c r="AN5" s="203"/>
      <c r="AO5" s="203">
        <v>46171</v>
      </c>
      <c r="AP5" s="203"/>
      <c r="AQ5" s="203"/>
      <c r="AR5" s="192" t="s">
        <v>216</v>
      </c>
      <c r="AS5" s="192"/>
      <c r="AT5" s="192"/>
      <c r="AU5" s="193" t="s">
        <v>200</v>
      </c>
      <c r="AV5" s="193"/>
      <c r="AW5" s="194"/>
      <c r="AX5" s="195" t="s">
        <v>201</v>
      </c>
      <c r="AY5" s="196"/>
      <c r="AZ5" s="196"/>
      <c r="BA5" s="196"/>
      <c r="BB5" s="196"/>
      <c r="BC5" s="196"/>
      <c r="BD5" s="196"/>
      <c r="BE5" s="196"/>
      <c r="BF5" s="196"/>
      <c r="BG5" s="196"/>
      <c r="BH5" s="196"/>
      <c r="BI5" s="197"/>
      <c r="BK5" s="189" t="s">
        <v>218</v>
      </c>
      <c r="BL5" s="190"/>
      <c r="BM5" s="190"/>
      <c r="BN5" s="190"/>
      <c r="BO5" s="190"/>
      <c r="BP5" s="190"/>
      <c r="BQ5" s="190"/>
      <c r="BR5" s="190"/>
      <c r="BS5" s="191"/>
    </row>
    <row r="6" spans="2:71" s="121" customFormat="1" ht="29.4" thickBot="1" x14ac:dyDescent="0.35">
      <c r="B6" s="113" t="s">
        <v>202</v>
      </c>
      <c r="C6" s="114" t="s">
        <v>203</v>
      </c>
      <c r="D6" s="179" t="s">
        <v>217</v>
      </c>
      <c r="E6" s="115" t="s">
        <v>204</v>
      </c>
      <c r="F6" s="116" t="s">
        <v>168</v>
      </c>
      <c r="G6" s="117" t="s">
        <v>169</v>
      </c>
      <c r="H6" s="117" t="s">
        <v>170</v>
      </c>
      <c r="I6" s="117" t="s">
        <v>171</v>
      </c>
      <c r="J6" s="117" t="s">
        <v>172</v>
      </c>
      <c r="K6" s="117" t="s">
        <v>173</v>
      </c>
      <c r="L6" s="118" t="s">
        <v>174</v>
      </c>
      <c r="M6" s="119" t="s">
        <v>175</v>
      </c>
      <c r="N6" s="185" t="s">
        <v>176</v>
      </c>
      <c r="O6" s="120" t="s">
        <v>205</v>
      </c>
      <c r="P6" s="120" t="s">
        <v>206</v>
      </c>
      <c r="Q6" s="120" t="s">
        <v>207</v>
      </c>
      <c r="R6" s="120" t="s">
        <v>208</v>
      </c>
      <c r="T6" s="122" t="s">
        <v>209</v>
      </c>
      <c r="U6" s="123" t="s">
        <v>210</v>
      </c>
      <c r="V6" s="124" t="s">
        <v>211</v>
      </c>
      <c r="W6" s="123" t="s">
        <v>209</v>
      </c>
      <c r="X6" s="124" t="s">
        <v>210</v>
      </c>
      <c r="Y6" s="123" t="s">
        <v>211</v>
      </c>
      <c r="Z6" s="124" t="s">
        <v>209</v>
      </c>
      <c r="AA6" s="123" t="s">
        <v>210</v>
      </c>
      <c r="AB6" s="124" t="s">
        <v>211</v>
      </c>
      <c r="AC6" s="123" t="s">
        <v>209</v>
      </c>
      <c r="AD6" s="123" t="s">
        <v>210</v>
      </c>
      <c r="AE6" s="124" t="s">
        <v>211</v>
      </c>
      <c r="AF6" s="123" t="s">
        <v>209</v>
      </c>
      <c r="AG6" s="124" t="s">
        <v>210</v>
      </c>
      <c r="AH6" s="123" t="s">
        <v>211</v>
      </c>
      <c r="AI6" s="123" t="s">
        <v>209</v>
      </c>
      <c r="AJ6" s="124" t="s">
        <v>210</v>
      </c>
      <c r="AK6" s="123" t="s">
        <v>211</v>
      </c>
      <c r="AL6" s="123" t="s">
        <v>209</v>
      </c>
      <c r="AM6" s="124" t="s">
        <v>210</v>
      </c>
      <c r="AN6" s="123" t="s">
        <v>211</v>
      </c>
      <c r="AO6" s="123" t="s">
        <v>209</v>
      </c>
      <c r="AP6" s="124" t="s">
        <v>210</v>
      </c>
      <c r="AQ6" s="123" t="s">
        <v>211</v>
      </c>
      <c r="AR6" s="122" t="s">
        <v>209</v>
      </c>
      <c r="AS6" s="123" t="s">
        <v>210</v>
      </c>
      <c r="AT6" s="125" t="s">
        <v>211</v>
      </c>
      <c r="AU6" s="126" t="s">
        <v>209</v>
      </c>
      <c r="AV6" s="127" t="s">
        <v>210</v>
      </c>
      <c r="AW6" s="126" t="s">
        <v>211</v>
      </c>
      <c r="AX6" s="128" t="s">
        <v>209</v>
      </c>
      <c r="AY6" s="129" t="s">
        <v>210</v>
      </c>
      <c r="AZ6" s="130" t="s">
        <v>211</v>
      </c>
      <c r="BA6" s="129" t="s">
        <v>168</v>
      </c>
      <c r="BB6" s="130" t="s">
        <v>169</v>
      </c>
      <c r="BC6" s="129" t="s">
        <v>212</v>
      </c>
      <c r="BD6" s="204" t="s">
        <v>219</v>
      </c>
      <c r="BE6" s="205" t="s">
        <v>220</v>
      </c>
      <c r="BF6" s="129" t="s">
        <v>172</v>
      </c>
      <c r="BG6" s="130" t="s">
        <v>213</v>
      </c>
      <c r="BH6" s="129" t="s">
        <v>207</v>
      </c>
      <c r="BI6" s="129" t="s">
        <v>214</v>
      </c>
      <c r="BK6" s="180" t="s">
        <v>211</v>
      </c>
      <c r="BL6" s="180" t="s">
        <v>168</v>
      </c>
      <c r="BM6" s="180" t="s">
        <v>169</v>
      </c>
      <c r="BN6" s="180" t="s">
        <v>212</v>
      </c>
      <c r="BO6" s="206" t="s">
        <v>219</v>
      </c>
      <c r="BP6" s="206" t="s">
        <v>220</v>
      </c>
      <c r="BQ6" s="180" t="s">
        <v>172</v>
      </c>
      <c r="BR6" s="180" t="s">
        <v>213</v>
      </c>
      <c r="BS6" s="180" t="s">
        <v>207</v>
      </c>
    </row>
    <row r="7" spans="2:71" x14ac:dyDescent="0.3">
      <c r="B7" s="106">
        <v>10005721</v>
      </c>
      <c r="C7" s="108" t="s">
        <v>187</v>
      </c>
      <c r="D7" s="131">
        <f>TD!E4</f>
        <v>285.94</v>
      </c>
      <c r="E7" s="132">
        <f t="shared" ref="E7:E19" si="0">IFERROR(F7/D7,0)</f>
        <v>2136.6867833638653</v>
      </c>
      <c r="F7" s="133">
        <f>TD!F4</f>
        <v>610964.21883506363</v>
      </c>
      <c r="G7" s="107">
        <f>TD!G4</f>
        <v>59429.769600000007</v>
      </c>
      <c r="H7" s="107">
        <f>TD!H4</f>
        <v>11359.392952477252</v>
      </c>
      <c r="I7" s="107">
        <f>TD!I4</f>
        <v>22330.641870576343</v>
      </c>
      <c r="J7" s="107">
        <f>TD!J4</f>
        <v>17850.917613245707</v>
      </c>
      <c r="K7" s="134">
        <v>0</v>
      </c>
      <c r="L7" s="135">
        <v>0</v>
      </c>
      <c r="M7" s="136">
        <f>F7+G7+H7+I7</f>
        <v>704084.02325811714</v>
      </c>
      <c r="N7" s="186">
        <f>IFERROR(M7/D7,0)</f>
        <v>2462.3488258310035</v>
      </c>
      <c r="O7" s="137"/>
      <c r="P7" s="137">
        <f>O7*D7</f>
        <v>0</v>
      </c>
      <c r="Q7" s="137">
        <f t="shared" ref="Q7:Q20" si="1">P7-M7</f>
        <v>-704084.02325811714</v>
      </c>
      <c r="R7" s="138">
        <f t="shared" ref="R7:R20" si="2">IFERROR(Q7/P7,0)</f>
        <v>0</v>
      </c>
      <c r="T7" s="139" cm="1">
        <f t="array" ref="T7">SUM([2]Hoja3!$H$5:$H$32*([2]Hoja3!$J$5:$J$32=$C7)*([2]Hoja3!$F$5:$F$32=T$5))</f>
        <v>0</v>
      </c>
      <c r="U7" s="139" cm="1">
        <f t="array" ref="U7">SUM([2]Hoja3!$I$5:$I$32*([2]Hoja3!$J$5:$J$32=$C7)*([2]Hoja3!$F$5:$F$32=T$5))</f>
        <v>0</v>
      </c>
      <c r="V7" s="140">
        <f>IFERROR(U7/T7,0)</f>
        <v>0</v>
      </c>
      <c r="W7" s="139" cm="1">
        <f t="array" ref="W7">SUM([2]Hoja3!$H$5:$H$32*([2]Hoja3!$J$5:$J$32=$C7)*([2]Hoja3!$F$5:$F$32=W$5))</f>
        <v>54</v>
      </c>
      <c r="X7" s="139" cm="1">
        <f t="array" ref="X7">SUM([2]Hoja3!$I$5:$I$32*([2]Hoja3!$J$5:$J$32=$C7)*([2]Hoja3!$F$5:$F$32=W$5))</f>
        <v>113400</v>
      </c>
      <c r="Y7" s="140">
        <f>IFERROR(X7/W7,0)</f>
        <v>2100</v>
      </c>
      <c r="Z7" s="139" cm="1">
        <f t="array" ref="Z7">SUM([2]Hoja3!$H$5:$H$32*([2]Hoja3!$J$5:$J$32=$C7)*([2]Hoja3!$F$5:$F$32=Z$5))</f>
        <v>74.8</v>
      </c>
      <c r="AA7" s="139" cm="1">
        <f t="array" ref="AA7">SUM([2]Hoja3!$I$5:$I$32*([2]Hoja3!$J$5:$J$32=$C7)*([2]Hoja3!$F$5:$F$32=Z$5))</f>
        <v>166680</v>
      </c>
      <c r="AB7" s="140">
        <f>IFERROR(AA7/Z7,0)</f>
        <v>2228.342245989305</v>
      </c>
      <c r="AC7" s="139" cm="1">
        <f t="array" ref="AC7">SUM([2]Hoja3!$H$5:$H$32*([2]Hoja3!$J$5:$J$32=$C7)*([2]Hoja3!$F$5:$F$32=AC$5))</f>
        <v>0</v>
      </c>
      <c r="AD7" s="139" cm="1">
        <f t="array" ref="AD7">SUM([2]Hoja3!$I$5:$I$32*([2]Hoja3!$J$5:$J$32=$C7)*([2]Hoja3!$F$5:$F$32=AC$5))</f>
        <v>0</v>
      </c>
      <c r="AE7" s="140">
        <f>IFERROR(AD7/AC7,0)</f>
        <v>0</v>
      </c>
      <c r="AF7" s="139" cm="1">
        <f t="array" ref="AF7">SUM([2]Hoja3!$H$5:$H$32*([2]Hoja3!$J$5:$J$32=$C7)*([2]Hoja3!$F$5:$F$32=AF$5))</f>
        <v>351</v>
      </c>
      <c r="AG7" s="139" cm="1">
        <f t="array" ref="AG7">SUM([2]Hoja3!$I$5:$I$32*([2]Hoja3!$J$5:$J$32=$C7)*([2]Hoja3!$F$5:$F$32=AF$5))</f>
        <v>720090</v>
      </c>
      <c r="AH7" s="140">
        <f>IFERROR(AG7/AF7,0)</f>
        <v>2051.5384615384614</v>
      </c>
      <c r="AI7" s="139" cm="1">
        <f t="array" ref="AI7">SUM([2]Hoja3!$H$5:$H$32*([2]Hoja3!$J$5:$J$32=$C7)*([2]Hoja3!$F$5:$F$32=AI$5))</f>
        <v>0</v>
      </c>
      <c r="AJ7" s="139" cm="1">
        <f t="array" ref="AJ7">SUM([2]Hoja3!$I$5:$I$32*([2]Hoja3!$J$5:$J$32=$C7)*([2]Hoja3!$F$5:$F$32=AI$5))</f>
        <v>0</v>
      </c>
      <c r="AK7" s="140">
        <f>IFERROR(AJ7/AI7,0)</f>
        <v>0</v>
      </c>
      <c r="AL7" s="139" cm="1">
        <f t="array" ref="AL7">SUM([2]Hoja3!$H$5:$H$32*([2]Hoja3!$J$5:$J$32=$C7)*([2]Hoja3!$F$5:$F$32=AL$5))</f>
        <v>27</v>
      </c>
      <c r="AM7" s="139" cm="1">
        <f t="array" ref="AM7">SUM([2]Hoja3!$I$5:$I$32*([2]Hoja3!$J$5:$J$32=$C7)*([2]Hoja3!$F$5:$F$32=AL$5))</f>
        <v>54540</v>
      </c>
      <c r="AN7" s="141">
        <f>IFERROR(AM7/AL7,0)</f>
        <v>2020</v>
      </c>
      <c r="AO7" s="139" cm="1">
        <f t="array" ref="AO7">SUM([2]Hoja3!$H$5:$H$32*([2]Hoja3!$J$5:$J$32=$C7)*([2]Hoja3!$F$5:$F$32=AO$5))</f>
        <v>0</v>
      </c>
      <c r="AP7" s="139" cm="1">
        <f t="array" ref="AP7">SUM([2]Hoja3!$I$5:$I$32*([2]Hoja3!$J$5:$J$32=$C7)*([2]Hoja3!$F$5:$F$32=AO$5))</f>
        <v>0</v>
      </c>
      <c r="AQ7" s="141">
        <f>IFERROR(AP7/AO7,0)</f>
        <v>0</v>
      </c>
      <c r="AR7" s="142">
        <f t="shared" ref="AR7:AR20" si="3">T7+W7+Z7+AC7+AF7+AI7</f>
        <v>479.8</v>
      </c>
      <c r="AS7" s="143">
        <f t="shared" ref="AS7:AS20" si="4">U7+X7+AA7+AD7+AG7+AJ7</f>
        <v>1000170</v>
      </c>
      <c r="AT7" s="144">
        <f>IFERROR(AS7/AR7,0)</f>
        <v>2084.5560650270945</v>
      </c>
      <c r="AU7" s="145">
        <f t="shared" ref="AU7:AU20" si="5">AL7+AO7</f>
        <v>27</v>
      </c>
      <c r="AV7" s="146">
        <f t="shared" ref="AV7:AV20" si="6">AM7+AP7</f>
        <v>54540</v>
      </c>
      <c r="AW7" s="145">
        <f>IFERROR(AV7/AU7,0)</f>
        <v>2020</v>
      </c>
      <c r="AX7" s="147">
        <f t="shared" ref="AX7:AY20" si="7">AR7+AU7</f>
        <v>506.8</v>
      </c>
      <c r="AY7" s="148">
        <f t="shared" si="7"/>
        <v>1054710</v>
      </c>
      <c r="AZ7" s="149">
        <f>IFERROR(AY7/AX7,0)</f>
        <v>2081.1168113654303</v>
      </c>
      <c r="BA7" s="148">
        <f>-IFERROR(F7/D7*AX7,0)</f>
        <v>-1082872.8618088069</v>
      </c>
      <c r="BB7" s="149">
        <f t="shared" ref="BB7:BB15" si="8">-IFERROR(G7/D7*AX7,0)</f>
        <v>-105333.31200000002</v>
      </c>
      <c r="BC7" s="148">
        <f>$BC$21/$AX$21*$AX7</f>
        <v>-20130.027447392506</v>
      </c>
      <c r="BD7" s="149">
        <f t="shared" ref="BD7:BD20" si="9">$BD$21/$AX$21*$AX7</f>
        <v>-11874.254345837146</v>
      </c>
      <c r="BE7" s="148">
        <f>$BE$21/$AX$21*$AX7</f>
        <v>-27697.96889295517</v>
      </c>
      <c r="BF7" s="148">
        <f>$BF$21/$AX$21*$AX7</f>
        <v>-31633.685269899364</v>
      </c>
      <c r="BG7" s="149">
        <f t="shared" ref="BG7:BG20" si="10">AY7*0.03</f>
        <v>31641.3</v>
      </c>
      <c r="BH7" s="148">
        <f t="shared" ref="BH7:BH20" si="11">AY7+SUM(BA7:BE7,BG7)</f>
        <v>-161557.1244949915</v>
      </c>
      <c r="BI7" s="150">
        <f t="shared" ref="BI7:BI21" si="12">IFERROR(BH7/AY7,0)</f>
        <v>-0.1531768206378924</v>
      </c>
      <c r="BK7" s="181">
        <f t="shared" ref="BK7:BK21" si="13">AZ7</f>
        <v>2081.1168113654303</v>
      </c>
      <c r="BL7" s="182">
        <f t="shared" ref="BL7:BL21" si="14">IFERROR(BA7/$AX7,0)</f>
        <v>-2136.6867833638653</v>
      </c>
      <c r="BM7" s="182">
        <f t="shared" ref="BM7:BM21" si="15">IFERROR(BB7/$AX7,0)</f>
        <v>-207.84000000000003</v>
      </c>
      <c r="BN7" s="182">
        <f t="shared" ref="BN7:BN21" si="16">IFERROR(BC7/$AX7,0)</f>
        <v>-39.719864734397206</v>
      </c>
      <c r="BO7" s="182">
        <f t="shared" ref="BO7:BO21" si="17">IFERROR(BD7/$AX7,0)</f>
        <v>-23.429862560846775</v>
      </c>
      <c r="BP7" s="182">
        <f t="shared" ref="BP7:BP21" si="18">IFERROR(BE7/$AX7,0)</f>
        <v>-54.652661588309336</v>
      </c>
      <c r="BQ7" s="182">
        <f t="shared" ref="BQ7:BQ21" si="19">IFERROR(BF7/$AX7,0)</f>
        <v>-62.418479222374437</v>
      </c>
      <c r="BR7" s="182">
        <f t="shared" ref="BR7:BR21" si="20">IFERROR(BG7/$AX7,0)</f>
        <v>62.433504340962905</v>
      </c>
      <c r="BS7" s="182">
        <f t="shared" ref="BS7:BS21" si="21">IFERROR(BH7/$AX7,0)</f>
        <v>-318.77885654102505</v>
      </c>
    </row>
    <row r="8" spans="2:71" x14ac:dyDescent="0.3">
      <c r="B8" s="106">
        <v>10005779</v>
      </c>
      <c r="C8" s="109" t="s">
        <v>188</v>
      </c>
      <c r="D8" s="131">
        <f>TD!E5</f>
        <v>119.80000000000001</v>
      </c>
      <c r="E8" s="132">
        <f t="shared" si="0"/>
        <v>1753.6934474995787</v>
      </c>
      <c r="F8" s="107">
        <f>TD!F5</f>
        <v>210092.47501044956</v>
      </c>
      <c r="G8" s="107">
        <f>TD!G5</f>
        <v>24899.232</v>
      </c>
      <c r="H8" s="107">
        <f>TD!H5</f>
        <v>4759.2336703741157</v>
      </c>
      <c r="I8" s="107">
        <f>TD!I5</f>
        <v>9355.8470171890822</v>
      </c>
      <c r="J8" s="107">
        <f>TD!J5</f>
        <v>7478.9813599595564</v>
      </c>
      <c r="K8" s="134">
        <v>0</v>
      </c>
      <c r="L8" s="135">
        <v>0</v>
      </c>
      <c r="M8" s="136">
        <f t="shared" ref="M8" si="22">F8+G8+H8+I8</f>
        <v>249106.78769801275</v>
      </c>
      <c r="N8" s="186">
        <f t="shared" ref="N8:N21" si="23">IFERROR(M8/D8,0)</f>
        <v>2079.3554899667174</v>
      </c>
      <c r="O8" s="137"/>
      <c r="P8" s="137">
        <f t="shared" ref="P8:P20" si="24">O8*D8</f>
        <v>0</v>
      </c>
      <c r="Q8" s="137">
        <f t="shared" si="1"/>
        <v>-249106.78769801275</v>
      </c>
      <c r="R8" s="138">
        <f t="shared" si="2"/>
        <v>0</v>
      </c>
      <c r="T8" s="139" cm="1">
        <f t="array" ref="T8">SUM([2]Hoja3!$H$5:$H$32*([2]Hoja3!$J$5:$J$32=$C8)*([2]Hoja3!$F$5:$F$32=T$5))</f>
        <v>0</v>
      </c>
      <c r="U8" s="139" cm="1">
        <f t="array" ref="U8">SUM([2]Hoja3!$I$5:$I$32*([2]Hoja3!$J$5:$J$32=$C8)*([2]Hoja3!$F$5:$F$32=T$5))</f>
        <v>0</v>
      </c>
      <c r="V8" s="141">
        <f t="shared" ref="V8:V21" si="25">IFERROR(U8/T8,0)</f>
        <v>0</v>
      </c>
      <c r="W8" s="139" cm="1">
        <f t="array" ref="W8">SUM([2]Hoja3!$H$5:$H$32*([2]Hoja3!$J$5:$J$32=$C8)*([2]Hoja3!$F$5:$F$32=W$5))</f>
        <v>157</v>
      </c>
      <c r="X8" s="139" cm="1">
        <f t="array" ref="X8">SUM([2]Hoja3!$I$5:$I$32*([2]Hoja3!$J$5:$J$32=$C8)*([2]Hoja3!$F$5:$F$32=W$5))</f>
        <v>191725</v>
      </c>
      <c r="Y8" s="141">
        <f t="shared" ref="Y8:Y21" si="26">IFERROR(X8/W8,0)</f>
        <v>1221.1783439490446</v>
      </c>
      <c r="Z8" s="139" cm="1">
        <f t="array" ref="Z8">SUM([2]Hoja3!$H$5:$H$32*([2]Hoja3!$J$5:$J$32=$C8)*([2]Hoja3!$F$5:$F$32=Z$5))</f>
        <v>26</v>
      </c>
      <c r="AA8" s="139" cm="1">
        <f t="array" ref="AA8">SUM([2]Hoja3!$I$5:$I$32*([2]Hoja3!$J$5:$J$32=$C8)*([2]Hoja3!$F$5:$F$32=Z$5))</f>
        <v>33800</v>
      </c>
      <c r="AB8" s="141">
        <f t="shared" ref="AB8:AB21" si="27">IFERROR(AA8/Z8,0)</f>
        <v>1300</v>
      </c>
      <c r="AC8" s="139" cm="1">
        <f t="array" ref="AC8">SUM([2]Hoja3!$H$5:$H$32*([2]Hoja3!$J$5:$J$32=$C8)*([2]Hoja3!$F$5:$F$32=AC$5))</f>
        <v>0</v>
      </c>
      <c r="AD8" s="139" cm="1">
        <f t="array" ref="AD8">SUM([2]Hoja3!$I$5:$I$32*([2]Hoja3!$J$5:$J$32=$C8)*([2]Hoja3!$F$5:$F$32=AC$5))</f>
        <v>0</v>
      </c>
      <c r="AE8" s="141">
        <f t="shared" ref="AE8:AE21" si="28">IFERROR(AD8/AC8,0)</f>
        <v>0</v>
      </c>
      <c r="AF8" s="139" cm="1">
        <f t="array" ref="AF8">SUM([2]Hoja3!$H$5:$H$32*([2]Hoja3!$J$5:$J$32=$C8)*([2]Hoja3!$F$5:$F$32=AF$5))</f>
        <v>0</v>
      </c>
      <c r="AG8" s="139" cm="1">
        <f t="array" ref="AG8">SUM([2]Hoja3!$I$5:$I$32*([2]Hoja3!$J$5:$J$32=$C8)*([2]Hoja3!$F$5:$F$32=AF$5))</f>
        <v>0</v>
      </c>
      <c r="AH8" s="141">
        <f t="shared" ref="AH8:AH21" si="29">IFERROR(AG8/AF8,0)</f>
        <v>0</v>
      </c>
      <c r="AI8" s="139" cm="1">
        <f t="array" ref="AI8">SUM([2]Hoja3!$H$5:$H$32*([2]Hoja3!$J$5:$J$32=$C8)*([2]Hoja3!$F$5:$F$32=AI$5))</f>
        <v>0</v>
      </c>
      <c r="AJ8" s="139" cm="1">
        <f t="array" ref="AJ8">SUM([2]Hoja3!$I$5:$I$32*([2]Hoja3!$J$5:$J$32=$C8)*([2]Hoja3!$F$5:$F$32=AI$5))</f>
        <v>0</v>
      </c>
      <c r="AK8" s="141">
        <f t="shared" ref="AK8:AK21" si="30">IFERROR(AJ8/AI8,0)</f>
        <v>0</v>
      </c>
      <c r="AL8" s="139" cm="1">
        <f t="array" ref="AL8">SUM([2]Hoja3!$H$5:$H$32*([2]Hoja3!$J$5:$J$32=$C8)*([2]Hoja3!$F$5:$F$32=AL$5))</f>
        <v>0</v>
      </c>
      <c r="AM8" s="139" cm="1">
        <f t="array" ref="AM8">SUM([2]Hoja3!$I$5:$I$32*([2]Hoja3!$J$5:$J$32=$C8)*([2]Hoja3!$F$5:$F$32=AL$5))</f>
        <v>0</v>
      </c>
      <c r="AN8" s="141">
        <f t="shared" ref="AN8:AN21" si="31">IFERROR(AM8/AL8,0)</f>
        <v>0</v>
      </c>
      <c r="AO8" s="139" cm="1">
        <f t="array" ref="AO8">SUM([2]Hoja3!$H$5:$H$32*([2]Hoja3!$J$5:$J$32=$C8)*([2]Hoja3!$F$5:$F$32=AO$5))</f>
        <v>0</v>
      </c>
      <c r="AP8" s="139" cm="1">
        <f t="array" ref="AP8">SUM([2]Hoja3!$I$5:$I$32*([2]Hoja3!$J$5:$J$32=$C8)*([2]Hoja3!$F$5:$F$32=AO$5))</f>
        <v>0</v>
      </c>
      <c r="AQ8" s="141">
        <f t="shared" ref="AQ8:AQ21" si="32">IFERROR(AP8/AO8,0)</f>
        <v>0</v>
      </c>
      <c r="AR8" s="142">
        <f t="shared" si="3"/>
        <v>183</v>
      </c>
      <c r="AS8" s="143">
        <f t="shared" si="4"/>
        <v>225525</v>
      </c>
      <c r="AT8" s="144">
        <f t="shared" ref="AT8:AT21" si="33">IFERROR(AS8/AR8,0)</f>
        <v>1232.377049180328</v>
      </c>
      <c r="AU8" s="145">
        <f t="shared" si="5"/>
        <v>0</v>
      </c>
      <c r="AV8" s="146">
        <f t="shared" si="6"/>
        <v>0</v>
      </c>
      <c r="AW8" s="145">
        <f t="shared" ref="AW8:AW21" si="34">IFERROR(AV8/AU8,0)</f>
        <v>0</v>
      </c>
      <c r="AX8" s="147">
        <f t="shared" si="7"/>
        <v>183</v>
      </c>
      <c r="AY8" s="148">
        <f t="shared" si="7"/>
        <v>225525</v>
      </c>
      <c r="AZ8" s="149">
        <f t="shared" ref="AZ8:AZ21" si="35">IFERROR(AY8/AX8,0)</f>
        <v>1232.377049180328</v>
      </c>
      <c r="BA8" s="148">
        <f t="shared" ref="BA8:BA11" si="36">-IFERROR(F8/D8*AX8,0)</f>
        <v>-320925.90089242288</v>
      </c>
      <c r="BB8" s="149">
        <f t="shared" si="8"/>
        <v>-38034.719999999994</v>
      </c>
      <c r="BC8" s="148">
        <f>$BC$21/$AX$21*$AX8</f>
        <v>-7268.7352463946891</v>
      </c>
      <c r="BD8" s="149">
        <f t="shared" si="9"/>
        <v>-4287.6648486349595</v>
      </c>
      <c r="BE8" s="148">
        <f>$BE$21/$AX$21*$AX8</f>
        <v>-10001.437070660608</v>
      </c>
      <c r="BF8" s="148">
        <f>$BF$21/$AX$21*$AX8</f>
        <v>-11422.581697694523</v>
      </c>
      <c r="BG8" s="149">
        <f t="shared" si="10"/>
        <v>6765.75</v>
      </c>
      <c r="BH8" s="148">
        <f t="shared" si="11"/>
        <v>-148227.70805811312</v>
      </c>
      <c r="BI8" s="150">
        <f t="shared" si="12"/>
        <v>-0.65725621575485249</v>
      </c>
      <c r="BK8" s="181">
        <f t="shared" si="13"/>
        <v>1232.377049180328</v>
      </c>
      <c r="BL8" s="182">
        <f t="shared" si="14"/>
        <v>-1753.6934474995785</v>
      </c>
      <c r="BM8" s="182">
        <f t="shared" si="15"/>
        <v>-207.83999999999997</v>
      </c>
      <c r="BN8" s="182">
        <f t="shared" si="16"/>
        <v>-39.719864734397206</v>
      </c>
      <c r="BO8" s="182">
        <f t="shared" si="17"/>
        <v>-23.429862560846772</v>
      </c>
      <c r="BP8" s="182">
        <f t="shared" si="18"/>
        <v>-54.652661588309336</v>
      </c>
      <c r="BQ8" s="182">
        <f t="shared" si="19"/>
        <v>-62.418479222374437</v>
      </c>
      <c r="BR8" s="182">
        <f t="shared" si="20"/>
        <v>36.971311475409834</v>
      </c>
      <c r="BS8" s="182">
        <f t="shared" si="21"/>
        <v>-809.9874757273941</v>
      </c>
    </row>
    <row r="9" spans="2:71" x14ac:dyDescent="0.3">
      <c r="B9" s="106">
        <v>10005781</v>
      </c>
      <c r="C9" s="109" t="s">
        <v>40</v>
      </c>
      <c r="D9" s="131">
        <f>TD!E6</f>
        <v>108.16</v>
      </c>
      <c r="E9" s="132">
        <f t="shared" si="0"/>
        <v>1856.3458458727382</v>
      </c>
      <c r="F9" s="107">
        <f>TD!F6</f>
        <v>200782.36668959536</v>
      </c>
      <c r="G9" s="107">
        <f>TD!G6</f>
        <v>22479.974399999999</v>
      </c>
      <c r="H9" s="107">
        <f>TD!H6</f>
        <v>4296.8173104145608</v>
      </c>
      <c r="I9" s="107">
        <f>TD!I6</f>
        <v>8446.8148028311443</v>
      </c>
      <c r="J9" s="107">
        <f>TD!J6</f>
        <v>6752.3090475227509</v>
      </c>
      <c r="K9" s="134">
        <v>0</v>
      </c>
      <c r="L9" s="135">
        <v>0</v>
      </c>
      <c r="M9" s="136">
        <f>F9+G9+H9+I9</f>
        <v>236005.97320284109</v>
      </c>
      <c r="N9" s="186">
        <f t="shared" si="23"/>
        <v>2182.0078883398769</v>
      </c>
      <c r="O9" s="137"/>
      <c r="P9" s="137">
        <f t="shared" si="24"/>
        <v>0</v>
      </c>
      <c r="Q9" s="137">
        <f t="shared" si="1"/>
        <v>-236005.97320284109</v>
      </c>
      <c r="R9" s="138">
        <f t="shared" si="2"/>
        <v>0</v>
      </c>
      <c r="T9" s="139" cm="1">
        <f t="array" ref="T9">SUM([2]Hoja3!$H$5:$H$32*([2]Hoja3!$J$5:$J$32=$C9)*([2]Hoja3!$F$5:$F$32=T$5))</f>
        <v>0</v>
      </c>
      <c r="U9" s="139" cm="1">
        <f t="array" ref="U9">SUM([2]Hoja3!$I$5:$I$32*([2]Hoja3!$J$5:$J$32=$C9)*([2]Hoja3!$F$5:$F$32=T$5))</f>
        <v>0</v>
      </c>
      <c r="V9" s="141">
        <f t="shared" si="25"/>
        <v>0</v>
      </c>
      <c r="W9" s="139" cm="1">
        <f t="array" ref="W9">SUM([2]Hoja3!$H$5:$H$32*([2]Hoja3!$J$5:$J$32=$C9)*([2]Hoja3!$F$5:$F$32=W$5))</f>
        <v>0</v>
      </c>
      <c r="X9" s="139" cm="1">
        <f t="array" ref="X9">SUM([2]Hoja3!$I$5:$I$32*([2]Hoja3!$J$5:$J$32=$C9)*([2]Hoja3!$F$5:$F$32=W$5))</f>
        <v>0</v>
      </c>
      <c r="Y9" s="141">
        <f t="shared" si="26"/>
        <v>0</v>
      </c>
      <c r="Z9" s="139" cm="1">
        <f t="array" ref="Z9">SUM([2]Hoja3!$H$5:$H$32*([2]Hoja3!$J$5:$J$32=$C9)*([2]Hoja3!$F$5:$F$32=Z$5))</f>
        <v>0</v>
      </c>
      <c r="AA9" s="139" cm="1">
        <f t="array" ref="AA9">SUM([2]Hoja3!$I$5:$I$32*([2]Hoja3!$J$5:$J$32=$C9)*([2]Hoja3!$F$5:$F$32=Z$5))</f>
        <v>0</v>
      </c>
      <c r="AB9" s="141">
        <f t="shared" si="27"/>
        <v>0</v>
      </c>
      <c r="AC9" s="139" cm="1">
        <f t="array" ref="AC9">SUM([2]Hoja3!$H$5:$H$32*([2]Hoja3!$J$5:$J$32=$C9)*([2]Hoja3!$F$5:$F$32=AC$5))</f>
        <v>0</v>
      </c>
      <c r="AD9" s="139" cm="1">
        <f t="array" ref="AD9">SUM([2]Hoja3!$I$5:$I$32*([2]Hoja3!$J$5:$J$32=$C9)*([2]Hoja3!$F$5:$F$32=AC$5))</f>
        <v>0</v>
      </c>
      <c r="AE9" s="141">
        <f t="shared" si="28"/>
        <v>0</v>
      </c>
      <c r="AF9" s="139" cm="1">
        <f t="array" ref="AF9">SUM([2]Hoja3!$H$5:$H$32*([2]Hoja3!$J$5:$J$32=$C9)*([2]Hoja3!$F$5:$F$32=AF$5))</f>
        <v>0</v>
      </c>
      <c r="AG9" s="139" cm="1">
        <f t="array" ref="AG9">SUM([2]Hoja3!$I$5:$I$32*([2]Hoja3!$J$5:$J$32=$C9)*([2]Hoja3!$F$5:$F$32=AF$5))</f>
        <v>0</v>
      </c>
      <c r="AH9" s="141">
        <f t="shared" si="29"/>
        <v>0</v>
      </c>
      <c r="AI9" s="139" cm="1">
        <f t="array" ref="AI9">SUM([2]Hoja3!$H$5:$H$32*([2]Hoja3!$J$5:$J$32=$C9)*([2]Hoja3!$F$5:$F$32=AI$5))</f>
        <v>0</v>
      </c>
      <c r="AJ9" s="139" cm="1">
        <f t="array" ref="AJ9">SUM([2]Hoja3!$I$5:$I$32*([2]Hoja3!$J$5:$J$32=$C9)*([2]Hoja3!$F$5:$F$32=AI$5))</f>
        <v>0</v>
      </c>
      <c r="AK9" s="141">
        <f t="shared" si="30"/>
        <v>0</v>
      </c>
      <c r="AL9" s="139" cm="1">
        <f t="array" ref="AL9">SUM([2]Hoja3!$H$5:$H$32*([2]Hoja3!$J$5:$J$32=$C9)*([2]Hoja3!$F$5:$F$32=AL$5))</f>
        <v>0</v>
      </c>
      <c r="AM9" s="139" cm="1">
        <f t="array" ref="AM9">SUM([2]Hoja3!$I$5:$I$32*([2]Hoja3!$J$5:$J$32=$C9)*([2]Hoja3!$F$5:$F$32=AL$5))</f>
        <v>0</v>
      </c>
      <c r="AN9" s="141">
        <f t="shared" si="31"/>
        <v>0</v>
      </c>
      <c r="AO9" s="139" cm="1">
        <f t="array" ref="AO9">SUM([2]Hoja3!$H$5:$H$32*([2]Hoja3!$J$5:$J$32=$C9)*([2]Hoja3!$F$5:$F$32=AO$5))</f>
        <v>0</v>
      </c>
      <c r="AP9" s="139" cm="1">
        <f t="array" ref="AP9">SUM([2]Hoja3!$I$5:$I$32*([2]Hoja3!$J$5:$J$32=$C9)*([2]Hoja3!$F$5:$F$32=AO$5))</f>
        <v>0</v>
      </c>
      <c r="AQ9" s="141">
        <f t="shared" si="32"/>
        <v>0</v>
      </c>
      <c r="AR9" s="142">
        <f t="shared" si="3"/>
        <v>0</v>
      </c>
      <c r="AS9" s="143">
        <f t="shared" si="4"/>
        <v>0</v>
      </c>
      <c r="AT9" s="144">
        <f t="shared" si="33"/>
        <v>0</v>
      </c>
      <c r="AU9" s="145">
        <f t="shared" si="5"/>
        <v>0</v>
      </c>
      <c r="AV9" s="146">
        <f t="shared" si="6"/>
        <v>0</v>
      </c>
      <c r="AW9" s="145">
        <f t="shared" si="34"/>
        <v>0</v>
      </c>
      <c r="AX9" s="147">
        <f t="shared" si="7"/>
        <v>0</v>
      </c>
      <c r="AY9" s="148">
        <f t="shared" si="7"/>
        <v>0</v>
      </c>
      <c r="AZ9" s="149">
        <f t="shared" si="35"/>
        <v>0</v>
      </c>
      <c r="BA9" s="148">
        <f t="shared" si="36"/>
        <v>0</v>
      </c>
      <c r="BB9" s="149">
        <f t="shared" si="8"/>
        <v>0</v>
      </c>
      <c r="BC9" s="148">
        <f>$BC$21/$AX$21*$AX9</f>
        <v>0</v>
      </c>
      <c r="BD9" s="149">
        <f t="shared" si="9"/>
        <v>0</v>
      </c>
      <c r="BE9" s="148">
        <f>$BE$21/$AX$21*$AX9</f>
        <v>0</v>
      </c>
      <c r="BF9" s="148">
        <f>$BF$21/$AX$21*$AX9</f>
        <v>0</v>
      </c>
      <c r="BG9" s="149">
        <f t="shared" si="10"/>
        <v>0</v>
      </c>
      <c r="BH9" s="148">
        <f t="shared" si="11"/>
        <v>0</v>
      </c>
      <c r="BI9" s="150">
        <f t="shared" si="12"/>
        <v>0</v>
      </c>
      <c r="BK9" s="181">
        <f t="shared" si="13"/>
        <v>0</v>
      </c>
      <c r="BL9" s="182">
        <f t="shared" si="14"/>
        <v>0</v>
      </c>
      <c r="BM9" s="182">
        <f t="shared" si="15"/>
        <v>0</v>
      </c>
      <c r="BN9" s="182">
        <f t="shared" si="16"/>
        <v>0</v>
      </c>
      <c r="BO9" s="182">
        <f t="shared" si="17"/>
        <v>0</v>
      </c>
      <c r="BP9" s="182">
        <f t="shared" si="18"/>
        <v>0</v>
      </c>
      <c r="BQ9" s="182">
        <f t="shared" si="19"/>
        <v>0</v>
      </c>
      <c r="BR9" s="182">
        <f t="shared" si="20"/>
        <v>0</v>
      </c>
      <c r="BS9" s="182">
        <f t="shared" si="21"/>
        <v>0</v>
      </c>
    </row>
    <row r="10" spans="2:71" x14ac:dyDescent="0.3">
      <c r="B10" s="106">
        <v>10006719</v>
      </c>
      <c r="C10" s="109" t="s">
        <v>189</v>
      </c>
      <c r="D10" s="131">
        <f>TD!E7</f>
        <v>8.1</v>
      </c>
      <c r="E10" s="132">
        <f t="shared" si="0"/>
        <v>2035.7385678837293</v>
      </c>
      <c r="F10" s="107">
        <f>TD!F7</f>
        <v>16489.482399858207</v>
      </c>
      <c r="G10" s="107">
        <f>TD!G7</f>
        <v>1683.5039999999999</v>
      </c>
      <c r="H10" s="107">
        <f>TD!H7</f>
        <v>321.78458038422656</v>
      </c>
      <c r="I10" s="107">
        <f>TD!I7</f>
        <v>632.57396359959557</v>
      </c>
      <c r="J10" s="107">
        <f>TD!J7</f>
        <v>505.67403185035391</v>
      </c>
      <c r="K10" s="134">
        <v>0</v>
      </c>
      <c r="L10" s="135">
        <v>0</v>
      </c>
      <c r="M10" s="136">
        <f t="shared" ref="M10:M20" si="37">F10+G10+H10+I10</f>
        <v>19127.344943842032</v>
      </c>
      <c r="N10" s="186">
        <f t="shared" si="23"/>
        <v>2361.4006103508682</v>
      </c>
      <c r="O10" s="137"/>
      <c r="P10" s="137">
        <f t="shared" si="24"/>
        <v>0</v>
      </c>
      <c r="Q10" s="137">
        <f t="shared" si="1"/>
        <v>-19127.344943842032</v>
      </c>
      <c r="R10" s="138">
        <f t="shared" si="2"/>
        <v>0</v>
      </c>
      <c r="T10" s="139" cm="1">
        <f t="array" ref="T10">SUM([2]Hoja3!$H$5:$H$32*([2]Hoja3!$J$5:$J$32=$C10)*([2]Hoja3!$F$5:$F$32=T$5))</f>
        <v>0</v>
      </c>
      <c r="U10" s="139" cm="1">
        <f t="array" ref="U10">SUM([2]Hoja3!$I$5:$I$32*([2]Hoja3!$J$5:$J$32=$C10)*([2]Hoja3!$F$5:$F$32=T$5))</f>
        <v>0</v>
      </c>
      <c r="V10" s="141">
        <f t="shared" si="25"/>
        <v>0</v>
      </c>
      <c r="W10" s="139" cm="1">
        <f t="array" ref="W10">SUM([2]Hoja3!$H$5:$H$32*([2]Hoja3!$J$5:$J$32=$C10)*([2]Hoja3!$F$5:$F$32=W$5))</f>
        <v>0</v>
      </c>
      <c r="X10" s="139" cm="1">
        <f t="array" ref="X10">SUM([2]Hoja3!$I$5:$I$32*([2]Hoja3!$J$5:$J$32=$C10)*([2]Hoja3!$F$5:$F$32=W$5))</f>
        <v>0</v>
      </c>
      <c r="Y10" s="141">
        <f t="shared" si="26"/>
        <v>0</v>
      </c>
      <c r="Z10" s="139" cm="1">
        <f t="array" ref="Z10">SUM([2]Hoja3!$H$5:$H$32*([2]Hoja3!$J$5:$J$32=$C10)*([2]Hoja3!$F$5:$F$32=Z$5))</f>
        <v>0</v>
      </c>
      <c r="AA10" s="139" cm="1">
        <f t="array" ref="AA10">SUM([2]Hoja3!$I$5:$I$32*([2]Hoja3!$J$5:$J$32=$C10)*([2]Hoja3!$F$5:$F$32=Z$5))</f>
        <v>0</v>
      </c>
      <c r="AB10" s="141">
        <f t="shared" si="27"/>
        <v>0</v>
      </c>
      <c r="AC10" s="139" cm="1">
        <f t="array" ref="AC10">SUM([2]Hoja3!$H$5:$H$32*([2]Hoja3!$J$5:$J$32=$C10)*([2]Hoja3!$F$5:$F$32=AC$5))</f>
        <v>0</v>
      </c>
      <c r="AD10" s="139" cm="1">
        <f t="array" ref="AD10">SUM([2]Hoja3!$I$5:$I$32*([2]Hoja3!$J$5:$J$32=$C10)*([2]Hoja3!$F$5:$F$32=AC$5))</f>
        <v>0</v>
      </c>
      <c r="AE10" s="141">
        <f t="shared" si="28"/>
        <v>0</v>
      </c>
      <c r="AF10" s="139" cm="1">
        <f t="array" ref="AF10">SUM([2]Hoja3!$H$5:$H$32*([2]Hoja3!$J$5:$J$32=$C10)*([2]Hoja3!$F$5:$F$32=AF$5))</f>
        <v>54</v>
      </c>
      <c r="AG10" s="139" cm="1">
        <f t="array" ref="AG10">SUM([2]Hoja3!$I$5:$I$32*([2]Hoja3!$J$5:$J$32=$C10)*([2]Hoja3!$F$5:$F$32=AF$5))</f>
        <v>113400</v>
      </c>
      <c r="AH10" s="141">
        <f t="shared" si="29"/>
        <v>2100</v>
      </c>
      <c r="AI10" s="139" cm="1">
        <f t="array" ref="AI10">SUM([2]Hoja3!$H$5:$H$32*([2]Hoja3!$J$5:$J$32=$C10)*([2]Hoja3!$F$5:$F$32=AI$5))</f>
        <v>0</v>
      </c>
      <c r="AJ10" s="139" cm="1">
        <f t="array" ref="AJ10">SUM([2]Hoja3!$I$5:$I$32*([2]Hoja3!$J$5:$J$32=$C10)*([2]Hoja3!$F$5:$F$32=AI$5))</f>
        <v>0</v>
      </c>
      <c r="AK10" s="141">
        <f t="shared" si="30"/>
        <v>0</v>
      </c>
      <c r="AL10" s="139" cm="1">
        <f t="array" ref="AL10">SUM([2]Hoja3!$H$5:$H$32*([2]Hoja3!$J$5:$J$32=$C10)*([2]Hoja3!$F$5:$F$32=AL$5))</f>
        <v>243</v>
      </c>
      <c r="AM10" s="139" cm="1">
        <f t="array" ref="AM10">SUM([2]Hoja3!$I$5:$I$32*([2]Hoja3!$J$5:$J$32=$C10)*([2]Hoja3!$F$5:$F$32=AL$5))</f>
        <v>477900</v>
      </c>
      <c r="AN10" s="141">
        <f t="shared" si="31"/>
        <v>1966.6666666666667</v>
      </c>
      <c r="AO10" s="139" cm="1">
        <f t="array" ref="AO10">SUM([2]Hoja3!$H$5:$H$32*([2]Hoja3!$J$5:$J$32=$C10)*([2]Hoja3!$F$5:$F$32=AO$5))</f>
        <v>0</v>
      </c>
      <c r="AP10" s="139" cm="1">
        <f t="array" ref="AP10">SUM([2]Hoja3!$I$5:$I$32*([2]Hoja3!$J$5:$J$32=$C10)*([2]Hoja3!$F$5:$F$32=AO$5))</f>
        <v>0</v>
      </c>
      <c r="AQ10" s="141">
        <f t="shared" si="32"/>
        <v>0</v>
      </c>
      <c r="AR10" s="142">
        <f t="shared" si="3"/>
        <v>54</v>
      </c>
      <c r="AS10" s="143">
        <f t="shared" si="4"/>
        <v>113400</v>
      </c>
      <c r="AT10" s="144">
        <f t="shared" si="33"/>
        <v>2100</v>
      </c>
      <c r="AU10" s="145">
        <f t="shared" si="5"/>
        <v>243</v>
      </c>
      <c r="AV10" s="146">
        <f t="shared" si="6"/>
        <v>477900</v>
      </c>
      <c r="AW10" s="145">
        <f t="shared" si="34"/>
        <v>1966.6666666666667</v>
      </c>
      <c r="AX10" s="147">
        <f t="shared" si="7"/>
        <v>297</v>
      </c>
      <c r="AY10" s="148">
        <f t="shared" si="7"/>
        <v>591300</v>
      </c>
      <c r="AZ10" s="149">
        <f t="shared" si="35"/>
        <v>1990.909090909091</v>
      </c>
      <c r="BA10" s="148">
        <f t="shared" si="36"/>
        <v>-604614.3546614676</v>
      </c>
      <c r="BB10" s="149">
        <f t="shared" si="8"/>
        <v>-61728.480000000003</v>
      </c>
      <c r="BC10" s="148">
        <f>$BC$21/$AX$21*$AX10</f>
        <v>-11796.79982611597</v>
      </c>
      <c r="BD10" s="149">
        <f t="shared" si="9"/>
        <v>-6958.6691805714927</v>
      </c>
      <c r="BE10" s="148">
        <f>$BE$21/$AX$21*$AX10</f>
        <v>-16231.840491727873</v>
      </c>
      <c r="BF10" s="148">
        <f>$BF$21/$AX$21*$AX10</f>
        <v>-18538.288329045208</v>
      </c>
      <c r="BG10" s="149">
        <f t="shared" si="10"/>
        <v>17739</v>
      </c>
      <c r="BH10" s="148">
        <f t="shared" si="11"/>
        <v>-92291.144159882911</v>
      </c>
      <c r="BI10" s="150">
        <f t="shared" si="12"/>
        <v>-0.15608175910685423</v>
      </c>
      <c r="BK10" s="181">
        <f t="shared" si="13"/>
        <v>1990.909090909091</v>
      </c>
      <c r="BL10" s="182">
        <f t="shared" si="14"/>
        <v>-2035.7385678837293</v>
      </c>
      <c r="BM10" s="182">
        <f t="shared" si="15"/>
        <v>-207.84</v>
      </c>
      <c r="BN10" s="182">
        <f t="shared" si="16"/>
        <v>-39.719864734397206</v>
      </c>
      <c r="BO10" s="182">
        <f t="shared" si="17"/>
        <v>-23.429862560846775</v>
      </c>
      <c r="BP10" s="182">
        <f t="shared" si="18"/>
        <v>-54.652661588309336</v>
      </c>
      <c r="BQ10" s="182">
        <f t="shared" si="19"/>
        <v>-62.418479222374437</v>
      </c>
      <c r="BR10" s="182">
        <f t="shared" si="20"/>
        <v>59.727272727272727</v>
      </c>
      <c r="BS10" s="182">
        <f t="shared" si="21"/>
        <v>-310.74459313091887</v>
      </c>
    </row>
    <row r="11" spans="2:71" x14ac:dyDescent="0.3">
      <c r="B11" s="106">
        <v>10006720</v>
      </c>
      <c r="C11" s="109" t="s">
        <v>190</v>
      </c>
      <c r="D11" s="131">
        <f>TD!E8</f>
        <v>0</v>
      </c>
      <c r="E11" s="132">
        <f t="shared" si="0"/>
        <v>0</v>
      </c>
      <c r="F11" s="107">
        <f>TD!F8</f>
        <v>0</v>
      </c>
      <c r="G11" s="107">
        <f>TD!G8</f>
        <v>0</v>
      </c>
      <c r="H11" s="107">
        <f>TD!H8</f>
        <v>0</v>
      </c>
      <c r="I11" s="107">
        <f>TD!I8</f>
        <v>0</v>
      </c>
      <c r="J11" s="107">
        <f>TD!J8</f>
        <v>0</v>
      </c>
      <c r="K11" s="134">
        <v>0</v>
      </c>
      <c r="L11" s="135">
        <v>0</v>
      </c>
      <c r="M11" s="136">
        <f t="shared" si="37"/>
        <v>0</v>
      </c>
      <c r="N11" s="186">
        <f t="shared" si="23"/>
        <v>0</v>
      </c>
      <c r="O11" s="137"/>
      <c r="P11" s="137">
        <f t="shared" si="24"/>
        <v>0</v>
      </c>
      <c r="Q11" s="137">
        <f t="shared" si="1"/>
        <v>0</v>
      </c>
      <c r="R11" s="138">
        <f t="shared" si="2"/>
        <v>0</v>
      </c>
      <c r="T11" s="139" cm="1">
        <f t="array" ref="T11">SUM([2]Hoja3!$H$5:$H$32*([2]Hoja3!$J$5:$J$32=$C11)*([2]Hoja3!$F$5:$F$32=T$5))</f>
        <v>0</v>
      </c>
      <c r="U11" s="139" cm="1">
        <f t="array" ref="U11">SUM([2]Hoja3!$I$5:$I$32*([2]Hoja3!$J$5:$J$32=$C11)*([2]Hoja3!$F$5:$F$32=T$5))</f>
        <v>0</v>
      </c>
      <c r="V11" s="141">
        <f t="shared" si="25"/>
        <v>0</v>
      </c>
      <c r="W11" s="139" cm="1">
        <f t="array" ref="W11">SUM([2]Hoja3!$H$5:$H$32*([2]Hoja3!$J$5:$J$32=$C11)*([2]Hoja3!$F$5:$F$32=W$5))</f>
        <v>0</v>
      </c>
      <c r="X11" s="139" cm="1">
        <f t="array" ref="X11">SUM([2]Hoja3!$I$5:$I$32*([2]Hoja3!$J$5:$J$32=$C11)*([2]Hoja3!$F$5:$F$32=W$5))</f>
        <v>0</v>
      </c>
      <c r="Y11" s="141">
        <f t="shared" si="26"/>
        <v>0</v>
      </c>
      <c r="Z11" s="139" cm="1">
        <f t="array" ref="Z11">SUM([2]Hoja3!$H$5:$H$32*([2]Hoja3!$J$5:$J$32=$C11)*([2]Hoja3!$F$5:$F$32=Z$5))</f>
        <v>0</v>
      </c>
      <c r="AA11" s="139" cm="1">
        <f t="array" ref="AA11">SUM([2]Hoja3!$I$5:$I$32*([2]Hoja3!$J$5:$J$32=$C11)*([2]Hoja3!$F$5:$F$32=Z$5))</f>
        <v>0</v>
      </c>
      <c r="AB11" s="141">
        <f t="shared" si="27"/>
        <v>0</v>
      </c>
      <c r="AC11" s="139" cm="1">
        <f t="array" ref="AC11">SUM([2]Hoja3!$H$5:$H$32*([2]Hoja3!$J$5:$J$32=$C11)*([2]Hoja3!$F$5:$F$32=AC$5))</f>
        <v>0</v>
      </c>
      <c r="AD11" s="139" cm="1">
        <f t="array" ref="AD11">SUM([2]Hoja3!$I$5:$I$32*([2]Hoja3!$J$5:$J$32=$C11)*([2]Hoja3!$F$5:$F$32=AC$5))</f>
        <v>0</v>
      </c>
      <c r="AE11" s="141">
        <f t="shared" si="28"/>
        <v>0</v>
      </c>
      <c r="AF11" s="139" cm="1">
        <f t="array" ref="AF11">SUM([2]Hoja3!$H$5:$H$32*([2]Hoja3!$J$5:$J$32=$C11)*([2]Hoja3!$F$5:$F$32=AF$5))</f>
        <v>0</v>
      </c>
      <c r="AG11" s="139" cm="1">
        <f t="array" ref="AG11">SUM([2]Hoja3!$I$5:$I$32*([2]Hoja3!$J$5:$J$32=$C11)*([2]Hoja3!$F$5:$F$32=AF$5))</f>
        <v>0</v>
      </c>
      <c r="AH11" s="141">
        <f t="shared" si="29"/>
        <v>0</v>
      </c>
      <c r="AI11" s="139" cm="1">
        <f t="array" ref="AI11">SUM([2]Hoja3!$H$5:$H$32*([2]Hoja3!$J$5:$J$32=$C11)*([2]Hoja3!$F$5:$F$32=AI$5))</f>
        <v>0</v>
      </c>
      <c r="AJ11" s="139" cm="1">
        <f t="array" ref="AJ11">SUM([2]Hoja3!$I$5:$I$32*([2]Hoja3!$J$5:$J$32=$C11)*([2]Hoja3!$F$5:$F$32=AI$5))</f>
        <v>0</v>
      </c>
      <c r="AK11" s="141">
        <f t="shared" si="30"/>
        <v>0</v>
      </c>
      <c r="AL11" s="139" cm="1">
        <f t="array" ref="AL11">SUM([2]Hoja3!$H$5:$H$32*([2]Hoja3!$J$5:$J$32=$C11)*([2]Hoja3!$F$5:$F$32=AL$5))</f>
        <v>0</v>
      </c>
      <c r="AM11" s="139" cm="1">
        <f t="array" ref="AM11">SUM([2]Hoja3!$I$5:$I$32*([2]Hoja3!$J$5:$J$32=$C11)*([2]Hoja3!$F$5:$F$32=AL$5))</f>
        <v>0</v>
      </c>
      <c r="AN11" s="141">
        <f t="shared" si="31"/>
        <v>0</v>
      </c>
      <c r="AO11" s="139" cm="1">
        <f t="array" ref="AO11">SUM([2]Hoja3!$H$5:$H$32*([2]Hoja3!$J$5:$J$32=$C11)*([2]Hoja3!$F$5:$F$32=AO$5))</f>
        <v>0</v>
      </c>
      <c r="AP11" s="139" cm="1">
        <f t="array" ref="AP11">SUM([2]Hoja3!$I$5:$I$32*([2]Hoja3!$J$5:$J$32=$C11)*([2]Hoja3!$F$5:$F$32=AO$5))</f>
        <v>0</v>
      </c>
      <c r="AQ11" s="141">
        <f t="shared" si="32"/>
        <v>0</v>
      </c>
      <c r="AR11" s="142">
        <f t="shared" si="3"/>
        <v>0</v>
      </c>
      <c r="AS11" s="143">
        <f t="shared" si="4"/>
        <v>0</v>
      </c>
      <c r="AT11" s="144">
        <f t="shared" si="33"/>
        <v>0</v>
      </c>
      <c r="AU11" s="145">
        <f t="shared" si="5"/>
        <v>0</v>
      </c>
      <c r="AV11" s="146">
        <f t="shared" si="6"/>
        <v>0</v>
      </c>
      <c r="AW11" s="145">
        <f t="shared" si="34"/>
        <v>0</v>
      </c>
      <c r="AX11" s="147">
        <f t="shared" si="7"/>
        <v>0</v>
      </c>
      <c r="AY11" s="148">
        <f t="shared" si="7"/>
        <v>0</v>
      </c>
      <c r="AZ11" s="149">
        <f t="shared" si="35"/>
        <v>0</v>
      </c>
      <c r="BA11" s="148">
        <f t="shared" si="36"/>
        <v>0</v>
      </c>
      <c r="BB11" s="149">
        <f t="shared" si="8"/>
        <v>0</v>
      </c>
      <c r="BC11" s="148">
        <f>$BC$21/$AX$21*$AX11</f>
        <v>0</v>
      </c>
      <c r="BD11" s="149">
        <f t="shared" si="9"/>
        <v>0</v>
      </c>
      <c r="BE11" s="148">
        <f>$BE$21/$AX$21*$AX11</f>
        <v>0</v>
      </c>
      <c r="BF11" s="148">
        <f>$BF$21/$AX$21*$AX11</f>
        <v>0</v>
      </c>
      <c r="BG11" s="149">
        <f t="shared" si="10"/>
        <v>0</v>
      </c>
      <c r="BH11" s="148">
        <f t="shared" si="11"/>
        <v>0</v>
      </c>
      <c r="BI11" s="150">
        <f t="shared" si="12"/>
        <v>0</v>
      </c>
      <c r="BK11" s="181">
        <f t="shared" si="13"/>
        <v>0</v>
      </c>
      <c r="BL11" s="182">
        <f t="shared" si="14"/>
        <v>0</v>
      </c>
      <c r="BM11" s="182">
        <f t="shared" si="15"/>
        <v>0</v>
      </c>
      <c r="BN11" s="182">
        <f t="shared" si="16"/>
        <v>0</v>
      </c>
      <c r="BO11" s="182">
        <f t="shared" si="17"/>
        <v>0</v>
      </c>
      <c r="BP11" s="182">
        <f t="shared" si="18"/>
        <v>0</v>
      </c>
      <c r="BQ11" s="182">
        <f t="shared" si="19"/>
        <v>0</v>
      </c>
      <c r="BR11" s="182">
        <f t="shared" si="20"/>
        <v>0</v>
      </c>
      <c r="BS11" s="182">
        <f t="shared" si="21"/>
        <v>0</v>
      </c>
    </row>
    <row r="12" spans="2:71" x14ac:dyDescent="0.3">
      <c r="B12" s="106">
        <v>10007050</v>
      </c>
      <c r="C12" s="109" t="s">
        <v>191</v>
      </c>
      <c r="D12" s="131">
        <f>TD!E9</f>
        <v>80.905000000000001</v>
      </c>
      <c r="E12" s="132">
        <f t="shared" si="0"/>
        <v>1570.5963362842756</v>
      </c>
      <c r="F12" s="107">
        <f>TD!F9</f>
        <v>127069.09658707932</v>
      </c>
      <c r="G12" s="107">
        <f>TD!G9</f>
        <v>16815.2952</v>
      </c>
      <c r="H12" s="107">
        <f>TD!H9</f>
        <v>3214.0717871587467</v>
      </c>
      <c r="I12" s="107">
        <f>TD!I9</f>
        <v>6318.3205586450977</v>
      </c>
      <c r="J12" s="107">
        <f>TD!J9</f>
        <v>5050.8095736855421</v>
      </c>
      <c r="K12" s="134">
        <v>0</v>
      </c>
      <c r="L12" s="135">
        <v>0</v>
      </c>
      <c r="M12" s="136">
        <f t="shared" si="37"/>
        <v>153416.78413288316</v>
      </c>
      <c r="N12" s="186">
        <f t="shared" si="23"/>
        <v>1896.2583787514141</v>
      </c>
      <c r="O12" s="137"/>
      <c r="P12" s="137">
        <f t="shared" si="24"/>
        <v>0</v>
      </c>
      <c r="Q12" s="137">
        <f t="shared" si="1"/>
        <v>-153416.78413288316</v>
      </c>
      <c r="R12" s="138">
        <f t="shared" si="2"/>
        <v>0</v>
      </c>
      <c r="T12" s="139" cm="1">
        <f t="array" ref="T12">SUM([2]Hoja3!$H$5:$H$32*([2]Hoja3!$J$5:$J$32=$C12)*([2]Hoja3!$F$5:$F$32=T$5))</f>
        <v>0</v>
      </c>
      <c r="U12" s="139" cm="1">
        <f t="array" ref="U12">SUM([2]Hoja3!$I$5:$I$32*([2]Hoja3!$J$5:$J$32=$C12)*([2]Hoja3!$F$5:$F$32=T$5))</f>
        <v>0</v>
      </c>
      <c r="V12" s="141">
        <f t="shared" si="25"/>
        <v>0</v>
      </c>
      <c r="W12" s="139" cm="1">
        <f t="array" ref="W12">SUM([2]Hoja3!$H$5:$H$32*([2]Hoja3!$J$5:$J$32=$C12)*([2]Hoja3!$F$5:$F$32=W$5))</f>
        <v>0</v>
      </c>
      <c r="X12" s="139" cm="1">
        <f t="array" ref="X12">SUM([2]Hoja3!$I$5:$I$32*([2]Hoja3!$J$5:$J$32=$C12)*([2]Hoja3!$F$5:$F$32=W$5))</f>
        <v>0</v>
      </c>
      <c r="Y12" s="141">
        <f t="shared" si="26"/>
        <v>0</v>
      </c>
      <c r="Z12" s="139" cm="1">
        <f t="array" ref="Z12">SUM([2]Hoja3!$H$5:$H$32*([2]Hoja3!$J$5:$J$32=$C12)*([2]Hoja3!$F$5:$F$32=Z$5))</f>
        <v>0</v>
      </c>
      <c r="AA12" s="139" cm="1">
        <f t="array" ref="AA12">SUM([2]Hoja3!$I$5:$I$32*([2]Hoja3!$J$5:$J$32=$C12)*([2]Hoja3!$F$5:$F$32=Z$5))</f>
        <v>0</v>
      </c>
      <c r="AB12" s="141">
        <f t="shared" si="27"/>
        <v>0</v>
      </c>
      <c r="AC12" s="139" cm="1">
        <f t="array" ref="AC12">SUM([2]Hoja3!$H$5:$H$32*([2]Hoja3!$J$5:$J$32=$C12)*([2]Hoja3!$F$5:$F$32=AC$5))</f>
        <v>0</v>
      </c>
      <c r="AD12" s="139" cm="1">
        <f t="array" ref="AD12">SUM([2]Hoja3!$I$5:$I$32*([2]Hoja3!$J$5:$J$32=$C12)*([2]Hoja3!$F$5:$F$32=AC$5))</f>
        <v>0</v>
      </c>
      <c r="AE12" s="141">
        <f t="shared" si="28"/>
        <v>0</v>
      </c>
      <c r="AF12" s="139" cm="1">
        <f t="array" ref="AF12">SUM([2]Hoja3!$H$5:$H$32*([2]Hoja3!$J$5:$J$32=$C12)*([2]Hoja3!$F$5:$F$32=AF$5))</f>
        <v>0</v>
      </c>
      <c r="AG12" s="139" cm="1">
        <f t="array" ref="AG12">SUM([2]Hoja3!$I$5:$I$32*([2]Hoja3!$J$5:$J$32=$C12)*([2]Hoja3!$F$5:$F$32=AF$5))</f>
        <v>0</v>
      </c>
      <c r="AH12" s="141">
        <f t="shared" si="29"/>
        <v>0</v>
      </c>
      <c r="AI12" s="139" cm="1">
        <f t="array" ref="AI12">SUM([2]Hoja3!$H$5:$H$32*([2]Hoja3!$J$5:$J$32=$C12)*([2]Hoja3!$F$5:$F$32=AI$5))</f>
        <v>0</v>
      </c>
      <c r="AJ12" s="139" cm="1">
        <f t="array" ref="AJ12">SUM([2]Hoja3!$I$5:$I$32*([2]Hoja3!$J$5:$J$32=$C12)*([2]Hoja3!$F$5:$F$32=AI$5))</f>
        <v>0</v>
      </c>
      <c r="AK12" s="141">
        <f t="shared" si="30"/>
        <v>0</v>
      </c>
      <c r="AL12" s="139" cm="1">
        <f t="array" ref="AL12">SUM([2]Hoja3!$H$5:$H$32*([2]Hoja3!$J$5:$J$32=$C12)*([2]Hoja3!$F$5:$F$32=AL$5))</f>
        <v>0</v>
      </c>
      <c r="AM12" s="139" cm="1">
        <f t="array" ref="AM12">SUM([2]Hoja3!$I$5:$I$32*([2]Hoja3!$J$5:$J$32=$C12)*([2]Hoja3!$F$5:$F$32=AL$5))</f>
        <v>0</v>
      </c>
      <c r="AN12" s="141">
        <f t="shared" si="31"/>
        <v>0</v>
      </c>
      <c r="AO12" s="139" cm="1">
        <f t="array" ref="AO12">SUM([2]Hoja3!$H$5:$H$32*([2]Hoja3!$J$5:$J$32=$C12)*([2]Hoja3!$F$5:$F$32=AO$5))</f>
        <v>0</v>
      </c>
      <c r="AP12" s="139" cm="1">
        <f t="array" ref="AP12">SUM([2]Hoja3!$I$5:$I$32*([2]Hoja3!$J$5:$J$32=$C12)*([2]Hoja3!$F$5:$F$32=AO$5))</f>
        <v>0</v>
      </c>
      <c r="AQ12" s="141">
        <f t="shared" si="32"/>
        <v>0</v>
      </c>
      <c r="AR12" s="142">
        <f t="shared" si="3"/>
        <v>0</v>
      </c>
      <c r="AS12" s="143">
        <f t="shared" si="4"/>
        <v>0</v>
      </c>
      <c r="AT12" s="144">
        <f t="shared" si="33"/>
        <v>0</v>
      </c>
      <c r="AU12" s="145">
        <f t="shared" si="5"/>
        <v>0</v>
      </c>
      <c r="AV12" s="146">
        <f t="shared" si="6"/>
        <v>0</v>
      </c>
      <c r="AW12" s="145">
        <f t="shared" si="34"/>
        <v>0</v>
      </c>
      <c r="AX12" s="147">
        <f t="shared" si="7"/>
        <v>0</v>
      </c>
      <c r="AY12" s="148">
        <f t="shared" si="7"/>
        <v>0</v>
      </c>
      <c r="AZ12" s="149">
        <f t="shared" si="35"/>
        <v>0</v>
      </c>
      <c r="BA12" s="148">
        <f>-IFERROR(F12/D12*AX12,0)</f>
        <v>0</v>
      </c>
      <c r="BB12" s="149">
        <f t="shared" si="8"/>
        <v>0</v>
      </c>
      <c r="BC12" s="148">
        <f t="shared" ref="BC12:BC20" si="38">$BC$21/$AX$21*$AX12</f>
        <v>0</v>
      </c>
      <c r="BD12" s="149">
        <f t="shared" si="9"/>
        <v>0</v>
      </c>
      <c r="BE12" s="148">
        <f t="shared" ref="BE12:BE20" si="39">$BE$21/$AX$21*$AX12</f>
        <v>0</v>
      </c>
      <c r="BF12" s="148">
        <f>$BF$21/$AX$21*$AX12</f>
        <v>0</v>
      </c>
      <c r="BG12" s="149">
        <f t="shared" si="10"/>
        <v>0</v>
      </c>
      <c r="BH12" s="148">
        <f t="shared" si="11"/>
        <v>0</v>
      </c>
      <c r="BI12" s="150">
        <f t="shared" si="12"/>
        <v>0</v>
      </c>
      <c r="BK12" s="181">
        <f t="shared" si="13"/>
        <v>0</v>
      </c>
      <c r="BL12" s="182">
        <f t="shared" si="14"/>
        <v>0</v>
      </c>
      <c r="BM12" s="182">
        <f t="shared" si="15"/>
        <v>0</v>
      </c>
      <c r="BN12" s="182">
        <f t="shared" si="16"/>
        <v>0</v>
      </c>
      <c r="BO12" s="182">
        <f t="shared" si="17"/>
        <v>0</v>
      </c>
      <c r="BP12" s="182">
        <f t="shared" si="18"/>
        <v>0</v>
      </c>
      <c r="BQ12" s="182">
        <f t="shared" si="19"/>
        <v>0</v>
      </c>
      <c r="BR12" s="182">
        <f t="shared" si="20"/>
        <v>0</v>
      </c>
      <c r="BS12" s="182">
        <f t="shared" si="21"/>
        <v>0</v>
      </c>
    </row>
    <row r="13" spans="2:71" x14ac:dyDescent="0.3">
      <c r="B13" s="106">
        <v>10007162</v>
      </c>
      <c r="C13" s="109" t="s">
        <v>192</v>
      </c>
      <c r="D13" s="131">
        <f>TD!E10</f>
        <v>27.28</v>
      </c>
      <c r="E13" s="132">
        <f t="shared" si="0"/>
        <v>1882.1795185638514</v>
      </c>
      <c r="F13" s="107">
        <f>TD!F10</f>
        <v>51345.857266421866</v>
      </c>
      <c r="G13" s="107">
        <f>TD!G10</f>
        <v>5669.8752000000004</v>
      </c>
      <c r="H13" s="107">
        <f>TD!H10</f>
        <v>1083.7386855409507</v>
      </c>
      <c r="I13" s="107">
        <f>TD!I10</f>
        <v>2130.4466329625889</v>
      </c>
      <c r="J13" s="107">
        <f>TD!J10</f>
        <v>1703.0601961577354</v>
      </c>
      <c r="K13" s="134">
        <v>0</v>
      </c>
      <c r="L13" s="135">
        <v>0</v>
      </c>
      <c r="M13" s="136">
        <f t="shared" si="37"/>
        <v>60229.917784925405</v>
      </c>
      <c r="N13" s="186">
        <f t="shared" si="23"/>
        <v>2207.8415610309899</v>
      </c>
      <c r="O13" s="137"/>
      <c r="P13" s="137">
        <f t="shared" si="24"/>
        <v>0</v>
      </c>
      <c r="Q13" s="137">
        <f t="shared" si="1"/>
        <v>-60229.917784925405</v>
      </c>
      <c r="R13" s="138">
        <f t="shared" si="2"/>
        <v>0</v>
      </c>
      <c r="T13" s="139" cm="1">
        <f t="array" ref="T13">SUM([2]Hoja3!$H$5:$H$32*([2]Hoja3!$J$5:$J$32=$C13)*([2]Hoja3!$F$5:$F$32=T$5))</f>
        <v>0</v>
      </c>
      <c r="U13" s="139" cm="1">
        <f t="array" ref="U13">SUM([2]Hoja3!$I$5:$I$32*([2]Hoja3!$J$5:$J$32=$C13)*([2]Hoja3!$F$5:$F$32=T$5))</f>
        <v>0</v>
      </c>
      <c r="V13" s="141">
        <f t="shared" si="25"/>
        <v>0</v>
      </c>
      <c r="W13" s="139" cm="1">
        <f t="array" ref="W13">SUM([2]Hoja3!$H$5:$H$32*([2]Hoja3!$J$5:$J$32=$C13)*([2]Hoja3!$F$5:$F$32=W$5))</f>
        <v>81</v>
      </c>
      <c r="X13" s="139" cm="1">
        <f t="array" ref="X13">SUM([2]Hoja3!$I$5:$I$32*([2]Hoja3!$J$5:$J$32=$C13)*([2]Hoja3!$F$5:$F$32=W$5))</f>
        <v>230850</v>
      </c>
      <c r="Y13" s="141">
        <f t="shared" si="26"/>
        <v>2850</v>
      </c>
      <c r="Z13" s="139" cm="1">
        <f t="array" ref="Z13">SUM([2]Hoja3!$H$5:$H$32*([2]Hoja3!$J$5:$J$32=$C13)*([2]Hoja3!$F$5:$F$32=Z$5))</f>
        <v>81</v>
      </c>
      <c r="AA13" s="139" cm="1">
        <f t="array" ref="AA13">SUM([2]Hoja3!$I$5:$I$32*([2]Hoja3!$J$5:$J$32=$C13)*([2]Hoja3!$F$5:$F$32=Z$5))</f>
        <v>234900</v>
      </c>
      <c r="AB13" s="141">
        <f t="shared" si="27"/>
        <v>2900</v>
      </c>
      <c r="AC13" s="139" cm="1">
        <f t="array" ref="AC13">SUM([2]Hoja3!$H$5:$H$32*([2]Hoja3!$J$5:$J$32=$C13)*([2]Hoja3!$F$5:$F$32=AC$5))</f>
        <v>0</v>
      </c>
      <c r="AD13" s="139" cm="1">
        <f t="array" ref="AD13">SUM([2]Hoja3!$I$5:$I$32*([2]Hoja3!$J$5:$J$32=$C13)*([2]Hoja3!$F$5:$F$32=AC$5))</f>
        <v>0</v>
      </c>
      <c r="AE13" s="141">
        <f t="shared" si="28"/>
        <v>0</v>
      </c>
      <c r="AF13" s="139" cm="1">
        <f t="array" ref="AF13">SUM([2]Hoja3!$H$5:$H$32*([2]Hoja3!$J$5:$J$32=$C13)*([2]Hoja3!$F$5:$F$32=AF$5))</f>
        <v>108</v>
      </c>
      <c r="AG13" s="139" cm="1">
        <f t="array" ref="AG13">SUM([2]Hoja3!$I$5:$I$32*([2]Hoja3!$J$5:$J$32=$C13)*([2]Hoja3!$F$5:$F$32=AF$5))</f>
        <v>321300</v>
      </c>
      <c r="AH13" s="141">
        <f t="shared" si="29"/>
        <v>2975</v>
      </c>
      <c r="AI13" s="139" cm="1">
        <f t="array" ref="AI13">SUM([2]Hoja3!$H$5:$H$32*([2]Hoja3!$J$5:$J$32=$C13)*([2]Hoja3!$F$5:$F$32=AI$5))</f>
        <v>0</v>
      </c>
      <c r="AJ13" s="139" cm="1">
        <f t="array" ref="AJ13">SUM([2]Hoja3!$I$5:$I$32*([2]Hoja3!$J$5:$J$32=$C13)*([2]Hoja3!$F$5:$F$32=AI$5))</f>
        <v>0</v>
      </c>
      <c r="AK13" s="141">
        <f t="shared" si="30"/>
        <v>0</v>
      </c>
      <c r="AL13" s="139" cm="1">
        <f t="array" ref="AL13">SUM([2]Hoja3!$H$5:$H$32*([2]Hoja3!$J$5:$J$32=$C13)*([2]Hoja3!$F$5:$F$32=AL$5))</f>
        <v>108</v>
      </c>
      <c r="AM13" s="139" cm="1">
        <f t="array" ref="AM13">SUM([2]Hoja3!$I$5:$I$32*([2]Hoja3!$J$5:$J$32=$C13)*([2]Hoja3!$F$5:$F$32=AL$5))</f>
        <v>318600</v>
      </c>
      <c r="AN13" s="141">
        <f t="shared" si="31"/>
        <v>2950</v>
      </c>
      <c r="AO13" s="139" cm="1">
        <f t="array" ref="AO13">SUM([2]Hoja3!$H$5:$H$32*([2]Hoja3!$J$5:$J$32=$C13)*([2]Hoja3!$F$5:$F$32=AO$5))</f>
        <v>0</v>
      </c>
      <c r="AP13" s="139" cm="1">
        <f t="array" ref="AP13">SUM([2]Hoja3!$I$5:$I$32*([2]Hoja3!$J$5:$J$32=$C13)*([2]Hoja3!$F$5:$F$32=AO$5))</f>
        <v>0</v>
      </c>
      <c r="AQ13" s="141">
        <f t="shared" si="32"/>
        <v>0</v>
      </c>
      <c r="AR13" s="142">
        <f t="shared" si="3"/>
        <v>270</v>
      </c>
      <c r="AS13" s="143">
        <f t="shared" si="4"/>
        <v>787050</v>
      </c>
      <c r="AT13" s="144">
        <f t="shared" si="33"/>
        <v>2915</v>
      </c>
      <c r="AU13" s="145">
        <f t="shared" si="5"/>
        <v>108</v>
      </c>
      <c r="AV13" s="146">
        <f t="shared" si="6"/>
        <v>318600</v>
      </c>
      <c r="AW13" s="145">
        <f t="shared" si="34"/>
        <v>2950</v>
      </c>
      <c r="AX13" s="147">
        <f t="shared" si="7"/>
        <v>378</v>
      </c>
      <c r="AY13" s="148">
        <f t="shared" si="7"/>
        <v>1105650</v>
      </c>
      <c r="AZ13" s="149">
        <f t="shared" si="35"/>
        <v>2925</v>
      </c>
      <c r="BA13" s="148">
        <f t="shared" ref="BA13:BA15" si="40">-IFERROR(F13/D13*AX13,0)</f>
        <v>-711463.85801713588</v>
      </c>
      <c r="BB13" s="149">
        <f t="shared" si="8"/>
        <v>-78563.520000000004</v>
      </c>
      <c r="BC13" s="148">
        <f t="shared" si="38"/>
        <v>-15014.108869602143</v>
      </c>
      <c r="BD13" s="149">
        <f t="shared" si="9"/>
        <v>-8856.4880480000811</v>
      </c>
      <c r="BE13" s="148">
        <f t="shared" si="39"/>
        <v>-20658.706080380929</v>
      </c>
      <c r="BF13" s="148">
        <f>$BF$21/$AX$21*$AX13</f>
        <v>-23594.185146057538</v>
      </c>
      <c r="BG13" s="149">
        <f t="shared" si="10"/>
        <v>33169.5</v>
      </c>
      <c r="BH13" s="148">
        <f t="shared" si="11"/>
        <v>304262.81898488104</v>
      </c>
      <c r="BI13" s="150">
        <f t="shared" si="12"/>
        <v>0.27518909147097276</v>
      </c>
      <c r="BK13" s="181">
        <f t="shared" si="13"/>
        <v>2925</v>
      </c>
      <c r="BL13" s="182">
        <f t="shared" si="14"/>
        <v>-1882.1795185638516</v>
      </c>
      <c r="BM13" s="182">
        <f t="shared" si="15"/>
        <v>-207.84</v>
      </c>
      <c r="BN13" s="182">
        <f t="shared" si="16"/>
        <v>-39.719864734397206</v>
      </c>
      <c r="BO13" s="182">
        <f t="shared" si="17"/>
        <v>-23.429862560846775</v>
      </c>
      <c r="BP13" s="182">
        <f t="shared" si="18"/>
        <v>-54.652661588309336</v>
      </c>
      <c r="BQ13" s="182">
        <f t="shared" si="19"/>
        <v>-62.418479222374437</v>
      </c>
      <c r="BR13" s="182">
        <f t="shared" si="20"/>
        <v>87.75</v>
      </c>
      <c r="BS13" s="182">
        <f t="shared" si="21"/>
        <v>804.92809255259533</v>
      </c>
    </row>
    <row r="14" spans="2:71" x14ac:dyDescent="0.3">
      <c r="B14" s="106">
        <v>10007567</v>
      </c>
      <c r="C14" s="109" t="s">
        <v>193</v>
      </c>
      <c r="D14" s="131">
        <f>TD!E11</f>
        <v>65.680000000000007</v>
      </c>
      <c r="E14" s="132">
        <f t="shared" si="0"/>
        <v>1821.2402425897035</v>
      </c>
      <c r="F14" s="107">
        <f>TD!F11</f>
        <v>119619.05913329174</v>
      </c>
      <c r="G14" s="107">
        <f>TD!G11</f>
        <v>13650.931199999999</v>
      </c>
      <c r="H14" s="107">
        <f>TD!H11</f>
        <v>2609.2359555106173</v>
      </c>
      <c r="I14" s="107">
        <f>TD!I11</f>
        <v>5129.3157937310425</v>
      </c>
      <c r="J14" s="107">
        <f>TD!J11</f>
        <v>4100.3296804853389</v>
      </c>
      <c r="K14" s="134">
        <v>0</v>
      </c>
      <c r="L14" s="135">
        <v>0</v>
      </c>
      <c r="M14" s="136">
        <f t="shared" si="37"/>
        <v>141008.54208253339</v>
      </c>
      <c r="N14" s="186">
        <f t="shared" si="23"/>
        <v>2146.9022850568417</v>
      </c>
      <c r="O14" s="137"/>
      <c r="P14" s="137">
        <f t="shared" si="24"/>
        <v>0</v>
      </c>
      <c r="Q14" s="137">
        <f t="shared" si="1"/>
        <v>-141008.54208253339</v>
      </c>
      <c r="R14" s="138">
        <f t="shared" si="2"/>
        <v>0</v>
      </c>
      <c r="T14" s="139" cm="1">
        <f t="array" ref="T14">SUM([2]Hoja3!$H$5:$H$32*([2]Hoja3!$J$5:$J$32=$C14)*([2]Hoja3!$F$5:$F$32=T$5))</f>
        <v>0</v>
      </c>
      <c r="U14" s="139" cm="1">
        <f t="array" ref="U14">SUM([2]Hoja3!$I$5:$I$32*([2]Hoja3!$J$5:$J$32=$C14)*([2]Hoja3!$F$5:$F$32=T$5))</f>
        <v>0</v>
      </c>
      <c r="V14" s="141">
        <f t="shared" si="25"/>
        <v>0</v>
      </c>
      <c r="W14" s="139" cm="1">
        <f t="array" ref="W14">SUM([2]Hoja3!$H$5:$H$32*([2]Hoja3!$J$5:$J$32=$C14)*([2]Hoja3!$F$5:$F$32=W$5))</f>
        <v>0</v>
      </c>
      <c r="X14" s="139" cm="1">
        <f t="array" ref="X14">SUM([2]Hoja3!$I$5:$I$32*([2]Hoja3!$J$5:$J$32=$C14)*([2]Hoja3!$F$5:$F$32=W$5))</f>
        <v>0</v>
      </c>
      <c r="Y14" s="141">
        <f t="shared" si="26"/>
        <v>0</v>
      </c>
      <c r="Z14" s="139" cm="1">
        <f t="array" ref="Z14">SUM([2]Hoja3!$H$5:$H$32*([2]Hoja3!$J$5:$J$32=$C14)*([2]Hoja3!$F$5:$F$32=Z$5))</f>
        <v>0</v>
      </c>
      <c r="AA14" s="139" cm="1">
        <f t="array" ref="AA14">SUM([2]Hoja3!$I$5:$I$32*([2]Hoja3!$J$5:$J$32=$C14)*([2]Hoja3!$F$5:$F$32=Z$5))</f>
        <v>0</v>
      </c>
      <c r="AB14" s="141">
        <f t="shared" si="27"/>
        <v>0</v>
      </c>
      <c r="AC14" s="139" cm="1">
        <f t="array" ref="AC14">SUM([2]Hoja3!$H$5:$H$32*([2]Hoja3!$J$5:$J$32=$C14)*([2]Hoja3!$F$5:$F$32=AC$5))</f>
        <v>26</v>
      </c>
      <c r="AD14" s="139" cm="1">
        <f t="array" ref="AD14">SUM([2]Hoja3!$I$5:$I$32*([2]Hoja3!$J$5:$J$32=$C14)*([2]Hoja3!$F$5:$F$32=AC$5))</f>
        <v>80600</v>
      </c>
      <c r="AE14" s="141">
        <f t="shared" si="28"/>
        <v>3100</v>
      </c>
      <c r="AF14" s="139" cm="1">
        <f t="array" ref="AF14">SUM([2]Hoja3!$H$5:$H$32*([2]Hoja3!$J$5:$J$32=$C14)*([2]Hoja3!$F$5:$F$32=AF$5))</f>
        <v>0</v>
      </c>
      <c r="AG14" s="139" cm="1">
        <f t="array" ref="AG14">SUM([2]Hoja3!$I$5:$I$32*([2]Hoja3!$J$5:$J$32=$C14)*([2]Hoja3!$F$5:$F$32=AF$5))</f>
        <v>0</v>
      </c>
      <c r="AH14" s="141">
        <f t="shared" si="29"/>
        <v>0</v>
      </c>
      <c r="AI14" s="139" cm="1">
        <f t="array" ref="AI14">SUM([2]Hoja3!$H$5:$H$32*([2]Hoja3!$J$5:$J$32=$C14)*([2]Hoja3!$F$5:$F$32=AI$5))</f>
        <v>26</v>
      </c>
      <c r="AJ14" s="139" cm="1">
        <f t="array" ref="AJ14">SUM([2]Hoja3!$I$5:$I$32*([2]Hoja3!$J$5:$J$32=$C14)*([2]Hoja3!$F$5:$F$32=AI$5))</f>
        <v>74100</v>
      </c>
      <c r="AK14" s="141">
        <f t="shared" si="30"/>
        <v>2850</v>
      </c>
      <c r="AL14" s="139" cm="1">
        <f t="array" ref="AL14">SUM([2]Hoja3!$H$5:$H$32*([2]Hoja3!$J$5:$J$32=$C14)*([2]Hoja3!$F$5:$F$32=AL$5))</f>
        <v>0</v>
      </c>
      <c r="AM14" s="139" cm="1">
        <f t="array" ref="AM14">SUM([2]Hoja3!$I$5:$I$32*([2]Hoja3!$J$5:$J$32=$C14)*([2]Hoja3!$F$5:$F$32=AL$5))</f>
        <v>0</v>
      </c>
      <c r="AN14" s="141">
        <f t="shared" si="31"/>
        <v>0</v>
      </c>
      <c r="AO14" s="139" cm="1">
        <f t="array" ref="AO14">SUM([2]Hoja3!$H$5:$H$32*([2]Hoja3!$J$5:$J$32=$C14)*([2]Hoja3!$F$5:$F$32=AO$5))</f>
        <v>0</v>
      </c>
      <c r="AP14" s="139" cm="1">
        <f t="array" ref="AP14">SUM([2]Hoja3!$I$5:$I$32*([2]Hoja3!$J$5:$J$32=$C14)*([2]Hoja3!$F$5:$F$32=AO$5))</f>
        <v>0</v>
      </c>
      <c r="AQ14" s="141">
        <f t="shared" si="32"/>
        <v>0</v>
      </c>
      <c r="AR14" s="142">
        <f t="shared" si="3"/>
        <v>52</v>
      </c>
      <c r="AS14" s="143">
        <f t="shared" si="4"/>
        <v>154700</v>
      </c>
      <c r="AT14" s="144">
        <f t="shared" si="33"/>
        <v>2975</v>
      </c>
      <c r="AU14" s="145">
        <f t="shared" si="5"/>
        <v>0</v>
      </c>
      <c r="AV14" s="146">
        <f t="shared" si="6"/>
        <v>0</v>
      </c>
      <c r="AW14" s="145">
        <f t="shared" si="34"/>
        <v>0</v>
      </c>
      <c r="AX14" s="147">
        <f t="shared" si="7"/>
        <v>52</v>
      </c>
      <c r="AY14" s="148">
        <f t="shared" si="7"/>
        <v>154700</v>
      </c>
      <c r="AZ14" s="149">
        <f t="shared" si="35"/>
        <v>2975</v>
      </c>
      <c r="BA14" s="148">
        <f t="shared" si="40"/>
        <v>-94704.492614664574</v>
      </c>
      <c r="BB14" s="149">
        <f t="shared" si="8"/>
        <v>-10807.679999999998</v>
      </c>
      <c r="BC14" s="148">
        <f t="shared" si="38"/>
        <v>-2065.4329661886545</v>
      </c>
      <c r="BD14" s="149">
        <f t="shared" si="9"/>
        <v>-1218.3528531640322</v>
      </c>
      <c r="BE14" s="148">
        <f t="shared" si="39"/>
        <v>-2841.9384025920854</v>
      </c>
      <c r="BF14" s="148">
        <f>$BF$21/$AX$21*$AX14</f>
        <v>-3245.7609195634709</v>
      </c>
      <c r="BG14" s="149">
        <f t="shared" si="10"/>
        <v>4641</v>
      </c>
      <c r="BH14" s="148">
        <f t="shared" si="11"/>
        <v>47703.103163390653</v>
      </c>
      <c r="BI14" s="150">
        <f t="shared" si="12"/>
        <v>0.30835877933672046</v>
      </c>
      <c r="BK14" s="181">
        <f t="shared" si="13"/>
        <v>2975</v>
      </c>
      <c r="BL14" s="182">
        <f t="shared" si="14"/>
        <v>-1821.2402425897033</v>
      </c>
      <c r="BM14" s="182">
        <f t="shared" si="15"/>
        <v>-207.83999999999997</v>
      </c>
      <c r="BN14" s="182">
        <f t="shared" si="16"/>
        <v>-39.719864734397206</v>
      </c>
      <c r="BO14" s="182">
        <f t="shared" si="17"/>
        <v>-23.429862560846775</v>
      </c>
      <c r="BP14" s="182">
        <f t="shared" si="18"/>
        <v>-54.652661588309336</v>
      </c>
      <c r="BQ14" s="182">
        <f t="shared" si="19"/>
        <v>-62.418479222374444</v>
      </c>
      <c r="BR14" s="182">
        <f t="shared" si="20"/>
        <v>89.25</v>
      </c>
      <c r="BS14" s="182">
        <f t="shared" si="21"/>
        <v>917.36736852674335</v>
      </c>
    </row>
    <row r="15" spans="2:71" x14ac:dyDescent="0.3">
      <c r="B15" s="106">
        <v>10007969</v>
      </c>
      <c r="C15" s="109" t="s">
        <v>19</v>
      </c>
      <c r="D15" s="131">
        <f>TD!E12</f>
        <v>15.56</v>
      </c>
      <c r="E15" s="132">
        <f t="shared" si="0"/>
        <v>1494.6793794440853</v>
      </c>
      <c r="F15" s="107">
        <f>TD!F12</f>
        <v>23257.211144149969</v>
      </c>
      <c r="G15" s="107">
        <f>TD!G12</f>
        <v>3233.9904000000001</v>
      </c>
      <c r="H15" s="107">
        <f>TD!H12</f>
        <v>618.14420626895867</v>
      </c>
      <c r="I15" s="107">
        <f>TD!I12</f>
        <v>1215.1667745197171</v>
      </c>
      <c r="J15" s="107">
        <f>TD!J12</f>
        <v>971.39357229524785</v>
      </c>
      <c r="K15" s="134">
        <v>0</v>
      </c>
      <c r="L15" s="135">
        <v>0</v>
      </c>
      <c r="M15" s="136">
        <f t="shared" si="37"/>
        <v>28324.512524938644</v>
      </c>
      <c r="N15" s="186">
        <f t="shared" si="23"/>
        <v>1820.3414219112237</v>
      </c>
      <c r="O15" s="137"/>
      <c r="P15" s="137">
        <f t="shared" si="24"/>
        <v>0</v>
      </c>
      <c r="Q15" s="137">
        <f t="shared" si="1"/>
        <v>-28324.512524938644</v>
      </c>
      <c r="R15" s="138">
        <f t="shared" si="2"/>
        <v>0</v>
      </c>
      <c r="T15" s="139" cm="1">
        <f t="array" ref="T15">SUM([2]Hoja3!$H$5:$H$32*([2]Hoja3!$J$5:$J$32=$C15)*([2]Hoja3!$F$5:$F$32=T$5))</f>
        <v>0</v>
      </c>
      <c r="U15" s="139" cm="1">
        <f t="array" ref="U15">SUM([2]Hoja3!$I$5:$I$32*([2]Hoja3!$J$5:$J$32=$C15)*([2]Hoja3!$F$5:$F$32=T$5))</f>
        <v>0</v>
      </c>
      <c r="V15" s="141">
        <f t="shared" si="25"/>
        <v>0</v>
      </c>
      <c r="W15" s="139" cm="1">
        <f t="array" ref="W15">SUM([2]Hoja3!$H$5:$H$32*([2]Hoja3!$J$5:$J$32=$C15)*([2]Hoja3!$F$5:$F$32=W$5))</f>
        <v>0</v>
      </c>
      <c r="X15" s="139" cm="1">
        <f t="array" ref="X15">SUM([2]Hoja3!$I$5:$I$32*([2]Hoja3!$J$5:$J$32=$C15)*([2]Hoja3!$F$5:$F$32=W$5))</f>
        <v>0</v>
      </c>
      <c r="Y15" s="141">
        <f t="shared" si="26"/>
        <v>0</v>
      </c>
      <c r="Z15" s="139" cm="1">
        <f t="array" ref="Z15">SUM([2]Hoja3!$H$5:$H$32*([2]Hoja3!$J$5:$J$32=$C15)*([2]Hoja3!$F$5:$F$32=Z$5))</f>
        <v>0</v>
      </c>
      <c r="AA15" s="139" cm="1">
        <f t="array" ref="AA15">SUM([2]Hoja3!$I$5:$I$32*([2]Hoja3!$J$5:$J$32=$C15)*([2]Hoja3!$F$5:$F$32=Z$5))</f>
        <v>0</v>
      </c>
      <c r="AB15" s="141">
        <f t="shared" si="27"/>
        <v>0</v>
      </c>
      <c r="AC15" s="139" cm="1">
        <f t="array" ref="AC15">SUM([2]Hoja3!$H$5:$H$32*([2]Hoja3!$J$5:$J$32=$C15)*([2]Hoja3!$F$5:$F$32=AC$5))</f>
        <v>0</v>
      </c>
      <c r="AD15" s="139" cm="1">
        <f t="array" ref="AD15">SUM([2]Hoja3!$I$5:$I$32*([2]Hoja3!$J$5:$J$32=$C15)*([2]Hoja3!$F$5:$F$32=AC$5))</f>
        <v>0</v>
      </c>
      <c r="AE15" s="141">
        <f t="shared" si="28"/>
        <v>0</v>
      </c>
      <c r="AF15" s="139" cm="1">
        <f t="array" ref="AF15">SUM([2]Hoja3!$H$5:$H$32*([2]Hoja3!$J$5:$J$32=$C15)*([2]Hoja3!$F$5:$F$32=AF$5))</f>
        <v>0</v>
      </c>
      <c r="AG15" s="139" cm="1">
        <f t="array" ref="AG15">SUM([2]Hoja3!$I$5:$I$32*([2]Hoja3!$J$5:$J$32=$C15)*([2]Hoja3!$F$5:$F$32=AF$5))</f>
        <v>0</v>
      </c>
      <c r="AH15" s="141">
        <f t="shared" si="29"/>
        <v>0</v>
      </c>
      <c r="AI15" s="139" cm="1">
        <f t="array" ref="AI15">SUM([2]Hoja3!$H$5:$H$32*([2]Hoja3!$J$5:$J$32=$C15)*([2]Hoja3!$F$5:$F$32=AI$5))</f>
        <v>0</v>
      </c>
      <c r="AJ15" s="139" cm="1">
        <f t="array" ref="AJ15">SUM([2]Hoja3!$I$5:$I$32*([2]Hoja3!$J$5:$J$32=$C15)*([2]Hoja3!$F$5:$F$32=AI$5))</f>
        <v>0</v>
      </c>
      <c r="AK15" s="141">
        <f t="shared" si="30"/>
        <v>0</v>
      </c>
      <c r="AL15" s="139" cm="1">
        <f t="array" ref="AL15">SUM([2]Hoja3!$H$5:$H$32*([2]Hoja3!$J$5:$J$32=$C15)*([2]Hoja3!$F$5:$F$32=AL$5))</f>
        <v>0</v>
      </c>
      <c r="AM15" s="139" cm="1">
        <f t="array" ref="AM15">SUM([2]Hoja3!$I$5:$I$32*([2]Hoja3!$J$5:$J$32=$C15)*([2]Hoja3!$F$5:$F$32=AL$5))</f>
        <v>0</v>
      </c>
      <c r="AN15" s="141">
        <f t="shared" si="31"/>
        <v>0</v>
      </c>
      <c r="AO15" s="139" cm="1">
        <f t="array" ref="AO15">SUM([2]Hoja3!$H$5:$H$32*([2]Hoja3!$J$5:$J$32=$C15)*([2]Hoja3!$F$5:$F$32=AO$5))</f>
        <v>24</v>
      </c>
      <c r="AP15" s="139" cm="1">
        <f t="array" ref="AP15">SUM([2]Hoja3!$I$5:$I$32*([2]Hoja3!$J$5:$J$32=$C15)*([2]Hoja3!$F$5:$F$32=AO$5))</f>
        <v>43200</v>
      </c>
      <c r="AQ15" s="141">
        <f t="shared" si="32"/>
        <v>1800</v>
      </c>
      <c r="AR15" s="142">
        <f t="shared" si="3"/>
        <v>0</v>
      </c>
      <c r="AS15" s="143">
        <f t="shared" si="4"/>
        <v>0</v>
      </c>
      <c r="AT15" s="144">
        <f t="shared" si="33"/>
        <v>0</v>
      </c>
      <c r="AU15" s="145">
        <f t="shared" si="5"/>
        <v>24</v>
      </c>
      <c r="AV15" s="146">
        <f t="shared" si="6"/>
        <v>43200</v>
      </c>
      <c r="AW15" s="145">
        <f t="shared" si="34"/>
        <v>1800</v>
      </c>
      <c r="AX15" s="147">
        <f t="shared" si="7"/>
        <v>24</v>
      </c>
      <c r="AY15" s="148">
        <f t="shared" si="7"/>
        <v>43200</v>
      </c>
      <c r="AZ15" s="149">
        <f t="shared" si="35"/>
        <v>1800</v>
      </c>
      <c r="BA15" s="148">
        <f t="shared" si="40"/>
        <v>-35872.305106658045</v>
      </c>
      <c r="BB15" s="149">
        <f t="shared" si="8"/>
        <v>-4988.16</v>
      </c>
      <c r="BC15" s="148">
        <f t="shared" si="38"/>
        <v>-953.27675362553293</v>
      </c>
      <c r="BD15" s="149">
        <f t="shared" si="9"/>
        <v>-562.31670146032263</v>
      </c>
      <c r="BE15" s="148">
        <f t="shared" si="39"/>
        <v>-1311.663878119424</v>
      </c>
      <c r="BF15" s="148">
        <f>$BF$21/$AX$21*$AX15</f>
        <v>-1498.0435013369865</v>
      </c>
      <c r="BG15" s="149">
        <f t="shared" si="10"/>
        <v>1296</v>
      </c>
      <c r="BH15" s="148">
        <f t="shared" si="11"/>
        <v>808.27756013667386</v>
      </c>
      <c r="BI15" s="150">
        <f t="shared" si="12"/>
        <v>1.8710128706867449E-2</v>
      </c>
      <c r="BK15" s="181">
        <f t="shared" si="13"/>
        <v>1800</v>
      </c>
      <c r="BL15" s="182">
        <f t="shared" si="14"/>
        <v>-1494.6793794440853</v>
      </c>
      <c r="BM15" s="182">
        <f t="shared" si="15"/>
        <v>-207.84</v>
      </c>
      <c r="BN15" s="182">
        <f t="shared" si="16"/>
        <v>-39.719864734397206</v>
      </c>
      <c r="BO15" s="182">
        <f t="shared" si="17"/>
        <v>-23.429862560846775</v>
      </c>
      <c r="BP15" s="182">
        <f t="shared" si="18"/>
        <v>-54.652661588309336</v>
      </c>
      <c r="BQ15" s="182">
        <f t="shared" si="19"/>
        <v>-62.418479222374437</v>
      </c>
      <c r="BR15" s="182">
        <f t="shared" si="20"/>
        <v>54</v>
      </c>
      <c r="BS15" s="182">
        <f t="shared" si="21"/>
        <v>33.678231672361413</v>
      </c>
    </row>
    <row r="16" spans="2:71" x14ac:dyDescent="0.3">
      <c r="B16" s="106">
        <v>10009207</v>
      </c>
      <c r="C16" s="109" t="s">
        <v>18</v>
      </c>
      <c r="D16" s="131">
        <f>TD!E13</f>
        <v>0.38</v>
      </c>
      <c r="E16" s="132">
        <f t="shared" si="0"/>
        <v>1545.5756063338245</v>
      </c>
      <c r="F16" s="107">
        <f>TD!F13</f>
        <v>587.31873040685332</v>
      </c>
      <c r="G16" s="107">
        <f>TD!G13</f>
        <v>78.979200000000006</v>
      </c>
      <c r="H16" s="107">
        <f>TD!H13</f>
        <v>15.096066734074826</v>
      </c>
      <c r="I16" s="107">
        <f>TD!I13</f>
        <v>29.676309403437823</v>
      </c>
      <c r="J16" s="107">
        <f>TD!J13</f>
        <v>23.722979271991914</v>
      </c>
      <c r="K16" s="134">
        <v>0</v>
      </c>
      <c r="L16" s="135">
        <v>0</v>
      </c>
      <c r="M16" s="136">
        <f t="shared" si="37"/>
        <v>711.07030654436596</v>
      </c>
      <c r="N16" s="186">
        <f t="shared" si="23"/>
        <v>1871.2376488009631</v>
      </c>
      <c r="O16" s="137"/>
      <c r="P16" s="137">
        <f t="shared" si="24"/>
        <v>0</v>
      </c>
      <c r="Q16" s="137">
        <f t="shared" si="1"/>
        <v>-711.07030654436596</v>
      </c>
      <c r="R16" s="138">
        <f t="shared" si="2"/>
        <v>0</v>
      </c>
      <c r="T16" s="139" cm="1">
        <f t="array" ref="T16">SUM([2]Hoja3!$H$5:$H$32*([2]Hoja3!$J$5:$J$32=$C16)*([2]Hoja3!$F$5:$F$32=T$5))</f>
        <v>0</v>
      </c>
      <c r="U16" s="139" cm="1">
        <f t="array" ref="U16">SUM([2]Hoja3!$I$5:$I$32*([2]Hoja3!$J$5:$J$32=$C16)*([2]Hoja3!$F$5:$F$32=T$5))</f>
        <v>0</v>
      </c>
      <c r="V16" s="141">
        <f t="shared" si="25"/>
        <v>0</v>
      </c>
      <c r="W16" s="139" cm="1">
        <f t="array" ref="W16">SUM([2]Hoja3!$H$5:$H$32*([2]Hoja3!$J$5:$J$32=$C16)*([2]Hoja3!$F$5:$F$32=W$5))</f>
        <v>0</v>
      </c>
      <c r="X16" s="139" cm="1">
        <f t="array" ref="X16">SUM([2]Hoja3!$I$5:$I$32*([2]Hoja3!$J$5:$J$32=$C16)*([2]Hoja3!$F$5:$F$32=W$5))</f>
        <v>0</v>
      </c>
      <c r="Y16" s="141">
        <f t="shared" si="26"/>
        <v>0</v>
      </c>
      <c r="Z16" s="139" cm="1">
        <f t="array" ref="Z16">SUM([2]Hoja3!$H$5:$H$32*([2]Hoja3!$J$5:$J$32=$C16)*([2]Hoja3!$F$5:$F$32=Z$5))</f>
        <v>0</v>
      </c>
      <c r="AA16" s="139" cm="1">
        <f t="array" ref="AA16">SUM([2]Hoja3!$I$5:$I$32*([2]Hoja3!$J$5:$J$32=$C16)*([2]Hoja3!$F$5:$F$32=Z$5))</f>
        <v>0</v>
      </c>
      <c r="AB16" s="141">
        <f t="shared" si="27"/>
        <v>0</v>
      </c>
      <c r="AC16" s="139" cm="1">
        <f t="array" ref="AC16">SUM([2]Hoja3!$H$5:$H$32*([2]Hoja3!$J$5:$J$32=$C16)*([2]Hoja3!$F$5:$F$32=AC$5))</f>
        <v>26</v>
      </c>
      <c r="AD16" s="139" cm="1">
        <f t="array" ref="AD16">SUM([2]Hoja3!$I$5:$I$32*([2]Hoja3!$J$5:$J$32=$C16)*([2]Hoja3!$F$5:$F$32=AC$5))</f>
        <v>36400</v>
      </c>
      <c r="AE16" s="141">
        <f t="shared" si="28"/>
        <v>1400</v>
      </c>
      <c r="AF16" s="139" cm="1">
        <f t="array" ref="AF16">SUM([2]Hoja3!$H$5:$H$32*([2]Hoja3!$J$5:$J$32=$C16)*([2]Hoja3!$F$5:$F$32=AF$5))</f>
        <v>0</v>
      </c>
      <c r="AG16" s="139" cm="1">
        <f t="array" ref="AG16">SUM([2]Hoja3!$I$5:$I$32*([2]Hoja3!$J$5:$J$32=$C16)*([2]Hoja3!$F$5:$F$32=AF$5))</f>
        <v>0</v>
      </c>
      <c r="AH16" s="141">
        <f t="shared" si="29"/>
        <v>0</v>
      </c>
      <c r="AI16" s="139" cm="1">
        <f t="array" ref="AI16">SUM([2]Hoja3!$H$5:$H$32*([2]Hoja3!$J$5:$J$32=$C16)*([2]Hoja3!$F$5:$F$32=AI$5))</f>
        <v>0</v>
      </c>
      <c r="AJ16" s="139" cm="1">
        <f t="array" ref="AJ16">SUM([2]Hoja3!$I$5:$I$32*([2]Hoja3!$J$5:$J$32=$C16)*([2]Hoja3!$F$5:$F$32=AI$5))</f>
        <v>0</v>
      </c>
      <c r="AK16" s="141">
        <f t="shared" si="30"/>
        <v>0</v>
      </c>
      <c r="AL16" s="139" cm="1">
        <f t="array" ref="AL16">SUM([2]Hoja3!$H$5:$H$32*([2]Hoja3!$J$5:$J$32=$C16)*([2]Hoja3!$F$5:$F$32=AL$5))</f>
        <v>0</v>
      </c>
      <c r="AM16" s="139" cm="1">
        <f t="array" ref="AM16">SUM([2]Hoja3!$I$5:$I$32*([2]Hoja3!$J$5:$J$32=$C16)*([2]Hoja3!$F$5:$F$32=AL$5))</f>
        <v>0</v>
      </c>
      <c r="AN16" s="141">
        <f t="shared" si="31"/>
        <v>0</v>
      </c>
      <c r="AO16" s="139" cm="1">
        <f t="array" ref="AO16">SUM([2]Hoja3!$H$5:$H$32*([2]Hoja3!$J$5:$J$32=$C16)*([2]Hoja3!$F$5:$F$32=AO$5))</f>
        <v>0</v>
      </c>
      <c r="AP16" s="139" cm="1">
        <f t="array" ref="AP16">SUM([2]Hoja3!$I$5:$I$32*([2]Hoja3!$J$5:$J$32=$C16)*([2]Hoja3!$F$5:$F$32=AO$5))</f>
        <v>0</v>
      </c>
      <c r="AQ16" s="141">
        <f t="shared" si="32"/>
        <v>0</v>
      </c>
      <c r="AR16" s="142">
        <f t="shared" si="3"/>
        <v>26</v>
      </c>
      <c r="AS16" s="143">
        <f t="shared" si="4"/>
        <v>36400</v>
      </c>
      <c r="AT16" s="144">
        <f t="shared" si="33"/>
        <v>1400</v>
      </c>
      <c r="AU16" s="145">
        <f t="shared" si="5"/>
        <v>0</v>
      </c>
      <c r="AV16" s="146">
        <f t="shared" si="6"/>
        <v>0</v>
      </c>
      <c r="AW16" s="145">
        <f t="shared" si="34"/>
        <v>0</v>
      </c>
      <c r="AX16" s="147">
        <f t="shared" si="7"/>
        <v>26</v>
      </c>
      <c r="AY16" s="148">
        <f t="shared" si="7"/>
        <v>36400</v>
      </c>
      <c r="AZ16" s="149">
        <f t="shared" si="35"/>
        <v>1400</v>
      </c>
      <c r="BA16" s="148">
        <f>-AX16*1570</f>
        <v>-40820</v>
      </c>
      <c r="BB16" s="149">
        <f>BB15/AX15*AX16</f>
        <v>-5403.84</v>
      </c>
      <c r="BC16" s="148">
        <f t="shared" si="38"/>
        <v>-1032.7164830943273</v>
      </c>
      <c r="BD16" s="149">
        <f t="shared" si="9"/>
        <v>-609.17642658201612</v>
      </c>
      <c r="BE16" s="148">
        <f t="shared" si="39"/>
        <v>-1420.9692012960427</v>
      </c>
      <c r="BF16" s="148">
        <f>$BF$21/$AX$21*$AX16</f>
        <v>-1622.8804597817355</v>
      </c>
      <c r="BG16" s="149">
        <f t="shared" si="10"/>
        <v>1092</v>
      </c>
      <c r="BH16" s="148">
        <f t="shared" si="11"/>
        <v>-11794.702110972386</v>
      </c>
      <c r="BI16" s="150">
        <f t="shared" si="12"/>
        <v>-0.32403027777396665</v>
      </c>
      <c r="BK16" s="181">
        <f t="shared" si="13"/>
        <v>1400</v>
      </c>
      <c r="BL16" s="182">
        <f t="shared" si="14"/>
        <v>-1570</v>
      </c>
      <c r="BM16" s="182">
        <f t="shared" si="15"/>
        <v>-207.84</v>
      </c>
      <c r="BN16" s="182">
        <f t="shared" si="16"/>
        <v>-39.719864734397206</v>
      </c>
      <c r="BO16" s="182">
        <f t="shared" si="17"/>
        <v>-23.429862560846775</v>
      </c>
      <c r="BP16" s="182">
        <f t="shared" si="18"/>
        <v>-54.652661588309336</v>
      </c>
      <c r="BQ16" s="182">
        <f t="shared" si="19"/>
        <v>-62.418479222374444</v>
      </c>
      <c r="BR16" s="182">
        <f t="shared" si="20"/>
        <v>42</v>
      </c>
      <c r="BS16" s="182">
        <f t="shared" si="21"/>
        <v>-453.64238888355334</v>
      </c>
    </row>
    <row r="17" spans="2:71" x14ac:dyDescent="0.3">
      <c r="B17" s="106">
        <v>10009239</v>
      </c>
      <c r="C17" s="109" t="s">
        <v>194</v>
      </c>
      <c r="D17" s="131">
        <f>TD!E14</f>
        <v>50.260000000000005</v>
      </c>
      <c r="E17" s="132">
        <f t="shared" si="0"/>
        <v>3441.681665997347</v>
      </c>
      <c r="F17" s="107">
        <f>TD!F14</f>
        <v>172978.92053302669</v>
      </c>
      <c r="G17" s="107">
        <f>TD!G14</f>
        <v>10446.038399999999</v>
      </c>
      <c r="H17" s="107">
        <f>TD!H14</f>
        <v>1996.6534580384232</v>
      </c>
      <c r="I17" s="107">
        <f>TD!I14</f>
        <v>3925.0823963599605</v>
      </c>
      <c r="J17" s="107">
        <f>TD!J14</f>
        <v>3137.6761531850361</v>
      </c>
      <c r="K17" s="134">
        <v>0</v>
      </c>
      <c r="L17" s="135">
        <v>0</v>
      </c>
      <c r="M17" s="136">
        <f t="shared" si="37"/>
        <v>189346.69478742508</v>
      </c>
      <c r="N17" s="186">
        <f t="shared" si="23"/>
        <v>3767.3437084644856</v>
      </c>
      <c r="O17" s="137"/>
      <c r="P17" s="137">
        <f t="shared" si="24"/>
        <v>0</v>
      </c>
      <c r="Q17" s="137">
        <f t="shared" si="1"/>
        <v>-189346.69478742508</v>
      </c>
      <c r="R17" s="138">
        <f t="shared" si="2"/>
        <v>0</v>
      </c>
      <c r="T17" s="139" cm="1">
        <f t="array" ref="T17">SUM([2]Hoja3!$H$5:$H$32*([2]Hoja3!$J$5:$J$32=$C17)*([2]Hoja3!$F$5:$F$32=T$5))</f>
        <v>81</v>
      </c>
      <c r="U17" s="139" cm="1">
        <f t="array" ref="U17">SUM([2]Hoja3!$I$5:$I$32*([2]Hoja3!$J$5:$J$32=$C17)*([2]Hoja3!$F$5:$F$32=T$5))</f>
        <v>315900</v>
      </c>
      <c r="V17" s="141">
        <f t="shared" si="25"/>
        <v>3900</v>
      </c>
      <c r="W17" s="139" cm="1">
        <f t="array" ref="W17">SUM([2]Hoja3!$H$5:$H$32*([2]Hoja3!$J$5:$J$32=$C17)*([2]Hoja3!$F$5:$F$32=W$5))</f>
        <v>81</v>
      </c>
      <c r="X17" s="139" cm="1">
        <f t="array" ref="X17">SUM([2]Hoja3!$I$5:$I$32*([2]Hoja3!$J$5:$J$32=$C17)*([2]Hoja3!$F$5:$F$32=W$5))</f>
        <v>299700</v>
      </c>
      <c r="Y17" s="141">
        <f t="shared" si="26"/>
        <v>3700</v>
      </c>
      <c r="Z17" s="139" cm="1">
        <f t="array" ref="Z17">SUM([2]Hoja3!$H$5:$H$32*([2]Hoja3!$J$5:$J$32=$C17)*([2]Hoja3!$F$5:$F$32=Z$5))</f>
        <v>0</v>
      </c>
      <c r="AA17" s="139" cm="1">
        <f t="array" ref="AA17">SUM([2]Hoja3!$I$5:$I$32*([2]Hoja3!$J$5:$J$32=$C17)*([2]Hoja3!$F$5:$F$32=Z$5))</f>
        <v>0</v>
      </c>
      <c r="AB17" s="141">
        <f t="shared" si="27"/>
        <v>0</v>
      </c>
      <c r="AC17" s="139" cm="1">
        <f t="array" ref="AC17">SUM([2]Hoja3!$H$5:$H$32*([2]Hoja3!$J$5:$J$32=$C17)*([2]Hoja3!$F$5:$F$32=AC$5))</f>
        <v>0</v>
      </c>
      <c r="AD17" s="139" cm="1">
        <f t="array" ref="AD17">SUM([2]Hoja3!$I$5:$I$32*([2]Hoja3!$J$5:$J$32=$C17)*([2]Hoja3!$F$5:$F$32=AC$5))</f>
        <v>0</v>
      </c>
      <c r="AE17" s="141">
        <f t="shared" si="28"/>
        <v>0</v>
      </c>
      <c r="AF17" s="139" cm="1">
        <f t="array" ref="AF17">SUM([2]Hoja3!$H$5:$H$32*([2]Hoja3!$J$5:$J$32=$C17)*([2]Hoja3!$F$5:$F$32=AF$5))</f>
        <v>108</v>
      </c>
      <c r="AG17" s="139" cm="1">
        <f t="array" ref="AG17">SUM([2]Hoja3!$I$5:$I$32*([2]Hoja3!$J$5:$J$32=$C17)*([2]Hoja3!$F$5:$F$32=AF$5))</f>
        <v>421200</v>
      </c>
      <c r="AH17" s="141">
        <f t="shared" si="29"/>
        <v>3900</v>
      </c>
      <c r="AI17" s="139" cm="1">
        <f t="array" ref="AI17">SUM([2]Hoja3!$H$5:$H$32*([2]Hoja3!$J$5:$J$32=$C17)*([2]Hoja3!$F$5:$F$32=AI$5))</f>
        <v>0</v>
      </c>
      <c r="AJ17" s="139" cm="1">
        <f t="array" ref="AJ17">SUM([2]Hoja3!$I$5:$I$32*([2]Hoja3!$J$5:$J$32=$C17)*([2]Hoja3!$F$5:$F$32=AI$5))</f>
        <v>0</v>
      </c>
      <c r="AK17" s="141">
        <f t="shared" si="30"/>
        <v>0</v>
      </c>
      <c r="AL17" s="139" cm="1">
        <f t="array" ref="AL17">SUM([2]Hoja3!$H$5:$H$32*([2]Hoja3!$J$5:$J$32=$C17)*([2]Hoja3!$F$5:$F$32=AL$5))</f>
        <v>27</v>
      </c>
      <c r="AM17" s="139" cm="1">
        <f t="array" ref="AM17">SUM([2]Hoja3!$I$5:$I$32*([2]Hoja3!$J$5:$J$32=$C17)*([2]Hoja3!$F$5:$F$32=AL$5))</f>
        <v>105300</v>
      </c>
      <c r="AN17" s="141">
        <f t="shared" si="31"/>
        <v>3900</v>
      </c>
      <c r="AO17" s="139" cm="1">
        <f t="array" ref="AO17">SUM([2]Hoja3!$H$5:$H$32*([2]Hoja3!$J$5:$J$32=$C17)*([2]Hoja3!$F$5:$F$32=AO$5))</f>
        <v>0</v>
      </c>
      <c r="AP17" s="139" cm="1">
        <f t="array" ref="AP17">SUM([2]Hoja3!$I$5:$I$32*([2]Hoja3!$J$5:$J$32=$C17)*([2]Hoja3!$F$5:$F$32=AO$5))</f>
        <v>0</v>
      </c>
      <c r="AQ17" s="141">
        <f t="shared" si="32"/>
        <v>0</v>
      </c>
      <c r="AR17" s="142">
        <f t="shared" si="3"/>
        <v>270</v>
      </c>
      <c r="AS17" s="143">
        <f t="shared" si="4"/>
        <v>1036800</v>
      </c>
      <c r="AT17" s="144">
        <f t="shared" si="33"/>
        <v>3840</v>
      </c>
      <c r="AU17" s="145">
        <f t="shared" si="5"/>
        <v>27</v>
      </c>
      <c r="AV17" s="146">
        <f t="shared" si="6"/>
        <v>105300</v>
      </c>
      <c r="AW17" s="145">
        <f t="shared" si="34"/>
        <v>3900</v>
      </c>
      <c r="AX17" s="147">
        <f t="shared" si="7"/>
        <v>297</v>
      </c>
      <c r="AY17" s="148">
        <f t="shared" si="7"/>
        <v>1142100</v>
      </c>
      <c r="AZ17" s="149">
        <f t="shared" si="35"/>
        <v>3845.4545454545455</v>
      </c>
      <c r="BA17" s="148">
        <f>-IFERROR(F17/D17*AX17,0)</f>
        <v>-1022179.4548012121</v>
      </c>
      <c r="BB17" s="149">
        <f t="shared" ref="BB17:BB20" si="41">-IFERROR(G17/D17*AX17,0)</f>
        <v>-61728.479999999996</v>
      </c>
      <c r="BC17" s="148">
        <f t="shared" si="38"/>
        <v>-11796.79982611597</v>
      </c>
      <c r="BD17" s="149">
        <f t="shared" si="9"/>
        <v>-6958.6691805714927</v>
      </c>
      <c r="BE17" s="148">
        <f t="shared" si="39"/>
        <v>-16231.840491727873</v>
      </c>
      <c r="BF17" s="148">
        <f>$BF$21/$AX$21*$AX17</f>
        <v>-18538.288329045208</v>
      </c>
      <c r="BG17" s="149">
        <f t="shared" si="10"/>
        <v>34263</v>
      </c>
      <c r="BH17" s="148">
        <f t="shared" si="11"/>
        <v>57467.755700372392</v>
      </c>
      <c r="BI17" s="150">
        <f t="shared" si="12"/>
        <v>5.0317621662177035E-2</v>
      </c>
      <c r="BK17" s="181">
        <f t="shared" si="13"/>
        <v>3845.4545454545455</v>
      </c>
      <c r="BL17" s="182">
        <f t="shared" si="14"/>
        <v>-3441.681665997347</v>
      </c>
      <c r="BM17" s="182">
        <f t="shared" si="15"/>
        <v>-207.83999999999997</v>
      </c>
      <c r="BN17" s="182">
        <f t="shared" si="16"/>
        <v>-39.719864734397206</v>
      </c>
      <c r="BO17" s="182">
        <f t="shared" si="17"/>
        <v>-23.429862560846775</v>
      </c>
      <c r="BP17" s="182">
        <f t="shared" si="18"/>
        <v>-54.652661588309336</v>
      </c>
      <c r="BQ17" s="182">
        <f t="shared" si="19"/>
        <v>-62.418479222374437</v>
      </c>
      <c r="BR17" s="182">
        <f t="shared" si="20"/>
        <v>115.36363636363636</v>
      </c>
      <c r="BS17" s="182">
        <f t="shared" si="21"/>
        <v>193.49412693728078</v>
      </c>
    </row>
    <row r="18" spans="2:71" x14ac:dyDescent="0.3">
      <c r="B18" s="106">
        <v>10009334</v>
      </c>
      <c r="C18" s="109" t="s">
        <v>195</v>
      </c>
      <c r="D18" s="131">
        <f>TD!E15</f>
        <v>1.3520000000000001</v>
      </c>
      <c r="E18" s="132">
        <f t="shared" si="0"/>
        <v>3020.0740355810349</v>
      </c>
      <c r="F18" s="107">
        <f>TD!F15</f>
        <v>4083.1400961055592</v>
      </c>
      <c r="G18" s="107">
        <f>TD!G15</f>
        <v>280.99968000000001</v>
      </c>
      <c r="H18" s="107">
        <f>TD!H15</f>
        <v>53.710216380182011</v>
      </c>
      <c r="I18" s="107">
        <f>TD!I15</f>
        <v>105.58518503538932</v>
      </c>
      <c r="J18" s="107">
        <f>TD!J15</f>
        <v>84.403863094034392</v>
      </c>
      <c r="K18" s="134">
        <v>0</v>
      </c>
      <c r="L18" s="135">
        <v>0</v>
      </c>
      <c r="M18" s="136">
        <f t="shared" si="37"/>
        <v>4523.4351775211308</v>
      </c>
      <c r="N18" s="186">
        <f t="shared" si="23"/>
        <v>3345.7360780481736</v>
      </c>
      <c r="O18" s="137"/>
      <c r="P18" s="137">
        <f t="shared" si="24"/>
        <v>0</v>
      </c>
      <c r="Q18" s="137">
        <f t="shared" si="1"/>
        <v>-4523.4351775211308</v>
      </c>
      <c r="R18" s="138">
        <f t="shared" si="2"/>
        <v>0</v>
      </c>
      <c r="T18" s="139" cm="1">
        <f t="array" ref="T18">SUM([2]Hoja3!$H$5:$H$32*([2]Hoja3!$J$5:$J$32=$C18)*([2]Hoja3!$F$5:$F$32=T$5))</f>
        <v>27</v>
      </c>
      <c r="U18" s="139" cm="1">
        <f t="array" ref="U18">SUM([2]Hoja3!$I$5:$I$32*([2]Hoja3!$J$5:$J$32=$C18)*([2]Hoja3!$F$5:$F$32=T$5))</f>
        <v>106650</v>
      </c>
      <c r="V18" s="141">
        <f t="shared" si="25"/>
        <v>3950</v>
      </c>
      <c r="W18" s="139" cm="1">
        <f t="array" ref="W18">SUM([2]Hoja3!$H$5:$H$32*([2]Hoja3!$J$5:$J$32=$C18)*([2]Hoja3!$F$5:$F$32=W$5))</f>
        <v>0</v>
      </c>
      <c r="X18" s="139" cm="1">
        <f t="array" ref="X18">SUM([2]Hoja3!$I$5:$I$32*([2]Hoja3!$J$5:$J$32=$C18)*([2]Hoja3!$F$5:$F$32=W$5))</f>
        <v>0</v>
      </c>
      <c r="Y18" s="141">
        <f t="shared" si="26"/>
        <v>0</v>
      </c>
      <c r="Z18" s="139" cm="1">
        <f t="array" ref="Z18">SUM([2]Hoja3!$H$5:$H$32*([2]Hoja3!$J$5:$J$32=$C18)*([2]Hoja3!$F$5:$F$32=Z$5))</f>
        <v>26.28</v>
      </c>
      <c r="AA18" s="139" cm="1">
        <f t="array" ref="AA18">SUM([2]Hoja3!$I$5:$I$32*([2]Hoja3!$J$5:$J$32=$C18)*([2]Hoja3!$F$5:$F$32=Z$5))</f>
        <v>103806</v>
      </c>
      <c r="AB18" s="141">
        <f t="shared" si="27"/>
        <v>3950</v>
      </c>
      <c r="AC18" s="139" cm="1">
        <f t="array" ref="AC18">SUM([2]Hoja3!$H$5:$H$32*([2]Hoja3!$J$5:$J$32=$C18)*([2]Hoja3!$F$5:$F$32=AC$5))</f>
        <v>0</v>
      </c>
      <c r="AD18" s="139" cm="1">
        <f t="array" ref="AD18">SUM([2]Hoja3!$I$5:$I$32*([2]Hoja3!$J$5:$J$32=$C18)*([2]Hoja3!$F$5:$F$32=AC$5))</f>
        <v>0</v>
      </c>
      <c r="AE18" s="141">
        <f t="shared" si="28"/>
        <v>0</v>
      </c>
      <c r="AF18" s="139" cm="1">
        <f t="array" ref="AF18">SUM([2]Hoja3!$H$5:$H$32*([2]Hoja3!$J$5:$J$32=$C18)*([2]Hoja3!$F$5:$F$32=AF$5))</f>
        <v>27</v>
      </c>
      <c r="AG18" s="139" cm="1">
        <f t="array" ref="AG18">SUM([2]Hoja3!$I$5:$I$32*([2]Hoja3!$J$5:$J$32=$C18)*([2]Hoja3!$F$5:$F$32=AF$5))</f>
        <v>106650</v>
      </c>
      <c r="AH18" s="141">
        <f t="shared" si="29"/>
        <v>3950</v>
      </c>
      <c r="AI18" s="139" cm="1">
        <f t="array" ref="AI18">SUM([2]Hoja3!$H$5:$H$32*([2]Hoja3!$J$5:$J$32=$C18)*([2]Hoja3!$F$5:$F$32=AI$5))</f>
        <v>0</v>
      </c>
      <c r="AJ18" s="139" cm="1">
        <f t="array" ref="AJ18">SUM([2]Hoja3!$I$5:$I$32*([2]Hoja3!$J$5:$J$32=$C18)*([2]Hoja3!$F$5:$F$32=AI$5))</f>
        <v>0</v>
      </c>
      <c r="AK18" s="141">
        <f t="shared" si="30"/>
        <v>0</v>
      </c>
      <c r="AL18" s="139" cm="1">
        <f t="array" ref="AL18">SUM([2]Hoja3!$H$5:$H$32*([2]Hoja3!$J$5:$J$32=$C18)*([2]Hoja3!$F$5:$F$32=AL$5))</f>
        <v>27</v>
      </c>
      <c r="AM18" s="139" cm="1">
        <f t="array" ref="AM18">SUM([2]Hoja3!$I$5:$I$32*([2]Hoja3!$J$5:$J$32=$C18)*([2]Hoja3!$F$5:$F$32=AL$5))</f>
        <v>106650</v>
      </c>
      <c r="AN18" s="141">
        <f t="shared" si="31"/>
        <v>3950</v>
      </c>
      <c r="AO18" s="139" cm="1">
        <f t="array" ref="AO18">SUM([2]Hoja3!$H$5:$H$32*([2]Hoja3!$J$5:$J$32=$C18)*([2]Hoja3!$F$5:$F$32=AO$5))</f>
        <v>0</v>
      </c>
      <c r="AP18" s="139" cm="1">
        <f t="array" ref="AP18">SUM([2]Hoja3!$I$5:$I$32*([2]Hoja3!$J$5:$J$32=$C18)*([2]Hoja3!$F$5:$F$32=AO$5))</f>
        <v>0</v>
      </c>
      <c r="AQ18" s="141">
        <f t="shared" si="32"/>
        <v>0</v>
      </c>
      <c r="AR18" s="142">
        <f t="shared" si="3"/>
        <v>80.28</v>
      </c>
      <c r="AS18" s="143">
        <f t="shared" si="4"/>
        <v>317106</v>
      </c>
      <c r="AT18" s="144">
        <f t="shared" si="33"/>
        <v>3950</v>
      </c>
      <c r="AU18" s="145">
        <f t="shared" si="5"/>
        <v>27</v>
      </c>
      <c r="AV18" s="146">
        <f t="shared" si="6"/>
        <v>106650</v>
      </c>
      <c r="AW18" s="145">
        <f t="shared" si="34"/>
        <v>3950</v>
      </c>
      <c r="AX18" s="147">
        <f t="shared" si="7"/>
        <v>107.28</v>
      </c>
      <c r="AY18" s="148">
        <f t="shared" si="7"/>
        <v>423756</v>
      </c>
      <c r="AZ18" s="149">
        <f t="shared" si="35"/>
        <v>3950</v>
      </c>
      <c r="BA18" s="148">
        <f t="shared" ref="BA18:BA20" si="42">-IFERROR(F18/D18*AX18,0)</f>
        <v>-323993.54253713344</v>
      </c>
      <c r="BB18" s="149">
        <f t="shared" si="41"/>
        <v>-22297.075199999999</v>
      </c>
      <c r="BC18" s="148">
        <f t="shared" si="38"/>
        <v>-4261.1470887061323</v>
      </c>
      <c r="BD18" s="149">
        <f t="shared" si="9"/>
        <v>-2513.5556555276421</v>
      </c>
      <c r="BE18" s="148">
        <f t="shared" si="39"/>
        <v>-5863.1375351938259</v>
      </c>
      <c r="BF18" s="148">
        <f>$BF$21/$AX$21*$AX18</f>
        <v>-6696.2544509763293</v>
      </c>
      <c r="BG18" s="149">
        <f t="shared" si="10"/>
        <v>12712.68</v>
      </c>
      <c r="BH18" s="148">
        <f t="shared" si="11"/>
        <v>77540.22198343894</v>
      </c>
      <c r="BI18" s="150">
        <f t="shared" si="12"/>
        <v>0.182983183679851</v>
      </c>
      <c r="BK18" s="181">
        <f t="shared" si="13"/>
        <v>3950</v>
      </c>
      <c r="BL18" s="182">
        <f t="shared" si="14"/>
        <v>-3020.0740355810349</v>
      </c>
      <c r="BM18" s="182">
        <f t="shared" si="15"/>
        <v>-207.84</v>
      </c>
      <c r="BN18" s="182">
        <f t="shared" si="16"/>
        <v>-39.719864734397206</v>
      </c>
      <c r="BO18" s="182">
        <f t="shared" si="17"/>
        <v>-23.429862560846775</v>
      </c>
      <c r="BP18" s="182">
        <f t="shared" si="18"/>
        <v>-54.652661588309336</v>
      </c>
      <c r="BQ18" s="182">
        <f t="shared" si="19"/>
        <v>-62.418479222374437</v>
      </c>
      <c r="BR18" s="182">
        <f t="shared" si="20"/>
        <v>118.5</v>
      </c>
      <c r="BS18" s="182">
        <f t="shared" si="21"/>
        <v>722.78357553541139</v>
      </c>
    </row>
    <row r="19" spans="2:71" x14ac:dyDescent="0.3">
      <c r="B19" s="106">
        <v>10009386</v>
      </c>
      <c r="C19" s="109" t="s">
        <v>142</v>
      </c>
      <c r="D19" s="131">
        <f>TD!E16</f>
        <v>14.52</v>
      </c>
      <c r="E19" s="132">
        <f t="shared" si="0"/>
        <v>1883.7262986780906</v>
      </c>
      <c r="F19" s="107">
        <f>TD!F16</f>
        <v>27351.705856805875</v>
      </c>
      <c r="G19" s="107">
        <f>TD!G16</f>
        <v>3017.8368</v>
      </c>
      <c r="H19" s="107">
        <f>TD!H16</f>
        <v>576.82865520728012</v>
      </c>
      <c r="I19" s="107">
        <f>TD!I16</f>
        <v>1133.9474014155714</v>
      </c>
      <c r="J19" s="107">
        <f>TD!J16</f>
        <v>906.46752376137522</v>
      </c>
      <c r="K19" s="134">
        <v>0</v>
      </c>
      <c r="L19" s="135">
        <v>0</v>
      </c>
      <c r="M19" s="136">
        <f t="shared" si="37"/>
        <v>32080.318713428725</v>
      </c>
      <c r="N19" s="186">
        <f t="shared" si="23"/>
        <v>2209.3883411452289</v>
      </c>
      <c r="O19" s="137"/>
      <c r="P19" s="137">
        <f t="shared" si="24"/>
        <v>0</v>
      </c>
      <c r="Q19" s="137">
        <f t="shared" si="1"/>
        <v>-32080.318713428725</v>
      </c>
      <c r="R19" s="138">
        <f t="shared" si="2"/>
        <v>0</v>
      </c>
      <c r="T19" s="139" cm="1">
        <f t="array" ref="T19">SUM([2]Hoja3!$H$5:$H$32*([2]Hoja3!$J$5:$J$32=$C19)*([2]Hoja3!$F$5:$F$32=T$5))</f>
        <v>0</v>
      </c>
      <c r="U19" s="139" cm="1">
        <f t="array" ref="U19">SUM([2]Hoja3!$I$5:$I$32*([2]Hoja3!$J$5:$J$32=$C19)*([2]Hoja3!$F$5:$F$32=T$5))</f>
        <v>0</v>
      </c>
      <c r="V19" s="141">
        <f t="shared" si="25"/>
        <v>0</v>
      </c>
      <c r="W19" s="139" cm="1">
        <f t="array" ref="W19">SUM([2]Hoja3!$H$5:$H$32*([2]Hoja3!$J$5:$J$32=$C19)*([2]Hoja3!$F$5:$F$32=W$5))</f>
        <v>0</v>
      </c>
      <c r="X19" s="139" cm="1">
        <f t="array" ref="X19">SUM([2]Hoja3!$I$5:$I$32*([2]Hoja3!$J$5:$J$32=$C19)*([2]Hoja3!$F$5:$F$32=W$5))</f>
        <v>0</v>
      </c>
      <c r="Y19" s="141">
        <f t="shared" si="26"/>
        <v>0</v>
      </c>
      <c r="Z19" s="139" cm="1">
        <f t="array" ref="Z19">SUM([2]Hoja3!$H$5:$H$32*([2]Hoja3!$J$5:$J$32=$C19)*([2]Hoja3!$F$5:$F$32=Z$5))</f>
        <v>0</v>
      </c>
      <c r="AA19" s="139" cm="1">
        <f t="array" ref="AA19">SUM([2]Hoja3!$I$5:$I$32*([2]Hoja3!$J$5:$J$32=$C19)*([2]Hoja3!$F$5:$F$32=Z$5))</f>
        <v>0</v>
      </c>
      <c r="AB19" s="141">
        <f t="shared" si="27"/>
        <v>0</v>
      </c>
      <c r="AC19" s="139" cm="1">
        <f t="array" ref="AC19">SUM([2]Hoja3!$H$5:$H$32*([2]Hoja3!$J$5:$J$32=$C19)*([2]Hoja3!$F$5:$F$32=AC$5))</f>
        <v>0</v>
      </c>
      <c r="AD19" s="139" cm="1">
        <f t="array" ref="AD19">SUM([2]Hoja3!$I$5:$I$32*([2]Hoja3!$J$5:$J$32=$C19)*([2]Hoja3!$F$5:$F$32=AC$5))</f>
        <v>0</v>
      </c>
      <c r="AE19" s="141">
        <f t="shared" si="28"/>
        <v>0</v>
      </c>
      <c r="AF19" s="139" cm="1">
        <f t="array" ref="AF19">SUM([2]Hoja3!$H$5:$H$32*([2]Hoja3!$J$5:$J$32=$C19)*([2]Hoja3!$F$5:$F$32=AF$5))</f>
        <v>0</v>
      </c>
      <c r="AG19" s="139" cm="1">
        <f t="array" ref="AG19">SUM([2]Hoja3!$I$5:$I$32*([2]Hoja3!$J$5:$J$32=$C19)*([2]Hoja3!$F$5:$F$32=AF$5))</f>
        <v>0</v>
      </c>
      <c r="AH19" s="141">
        <f t="shared" si="29"/>
        <v>0</v>
      </c>
      <c r="AI19" s="139" cm="1">
        <f t="array" ref="AI19">SUM([2]Hoja3!$H$5:$H$32*([2]Hoja3!$J$5:$J$32=$C19)*([2]Hoja3!$F$5:$F$32=AI$5))</f>
        <v>0</v>
      </c>
      <c r="AJ19" s="139" cm="1">
        <f t="array" ref="AJ19">SUM([2]Hoja3!$I$5:$I$32*([2]Hoja3!$J$5:$J$32=$C19)*([2]Hoja3!$F$5:$F$32=AI$5))</f>
        <v>0</v>
      </c>
      <c r="AK19" s="141">
        <f t="shared" si="30"/>
        <v>0</v>
      </c>
      <c r="AL19" s="139" cm="1">
        <f t="array" ref="AL19">SUM([2]Hoja3!$H$5:$H$32*([2]Hoja3!$J$5:$J$32=$C19)*([2]Hoja3!$F$5:$F$32=AL$5))</f>
        <v>0</v>
      </c>
      <c r="AM19" s="139" cm="1">
        <f t="array" ref="AM19">SUM([2]Hoja3!$I$5:$I$32*([2]Hoja3!$J$5:$J$32=$C19)*([2]Hoja3!$F$5:$F$32=AL$5))</f>
        <v>0</v>
      </c>
      <c r="AN19" s="141">
        <f t="shared" si="31"/>
        <v>0</v>
      </c>
      <c r="AO19" s="139" cm="1">
        <f t="array" ref="AO19">SUM([2]Hoja3!$H$5:$H$32*([2]Hoja3!$J$5:$J$32=$C19)*([2]Hoja3!$F$5:$F$32=AO$5))</f>
        <v>0</v>
      </c>
      <c r="AP19" s="139" cm="1">
        <f t="array" ref="AP19">SUM([2]Hoja3!$I$5:$I$32*([2]Hoja3!$J$5:$J$32=$C19)*([2]Hoja3!$F$5:$F$32=AO$5))</f>
        <v>0</v>
      </c>
      <c r="AQ19" s="141">
        <f t="shared" si="32"/>
        <v>0</v>
      </c>
      <c r="AR19" s="142">
        <f t="shared" si="3"/>
        <v>0</v>
      </c>
      <c r="AS19" s="143">
        <f t="shared" si="4"/>
        <v>0</v>
      </c>
      <c r="AT19" s="144">
        <f t="shared" si="33"/>
        <v>0</v>
      </c>
      <c r="AU19" s="145">
        <f t="shared" si="5"/>
        <v>0</v>
      </c>
      <c r="AV19" s="146">
        <f t="shared" si="6"/>
        <v>0</v>
      </c>
      <c r="AW19" s="145">
        <f t="shared" si="34"/>
        <v>0</v>
      </c>
      <c r="AX19" s="147">
        <f t="shared" si="7"/>
        <v>0</v>
      </c>
      <c r="AY19" s="148">
        <f t="shared" si="7"/>
        <v>0</v>
      </c>
      <c r="AZ19" s="149">
        <f t="shared" si="35"/>
        <v>0</v>
      </c>
      <c r="BA19" s="148">
        <f t="shared" si="42"/>
        <v>0</v>
      </c>
      <c r="BB19" s="149">
        <f t="shared" si="41"/>
        <v>0</v>
      </c>
      <c r="BC19" s="148">
        <f t="shared" si="38"/>
        <v>0</v>
      </c>
      <c r="BD19" s="149">
        <f t="shared" si="9"/>
        <v>0</v>
      </c>
      <c r="BE19" s="148">
        <f t="shared" si="39"/>
        <v>0</v>
      </c>
      <c r="BF19" s="148">
        <f>$BF$21/$AX$21*$AX19</f>
        <v>0</v>
      </c>
      <c r="BG19" s="149">
        <f t="shared" si="10"/>
        <v>0</v>
      </c>
      <c r="BH19" s="148">
        <f t="shared" si="11"/>
        <v>0</v>
      </c>
      <c r="BI19" s="150">
        <f t="shared" si="12"/>
        <v>0</v>
      </c>
      <c r="BK19" s="181">
        <f t="shared" si="13"/>
        <v>0</v>
      </c>
      <c r="BL19" s="182">
        <f t="shared" si="14"/>
        <v>0</v>
      </c>
      <c r="BM19" s="182">
        <f t="shared" si="15"/>
        <v>0</v>
      </c>
      <c r="BN19" s="182">
        <f t="shared" si="16"/>
        <v>0</v>
      </c>
      <c r="BO19" s="182">
        <f t="shared" si="17"/>
        <v>0</v>
      </c>
      <c r="BP19" s="182">
        <f t="shared" si="18"/>
        <v>0</v>
      </c>
      <c r="BQ19" s="182">
        <f t="shared" si="19"/>
        <v>0</v>
      </c>
      <c r="BR19" s="182">
        <f t="shared" si="20"/>
        <v>0</v>
      </c>
      <c r="BS19" s="182">
        <f t="shared" si="21"/>
        <v>0</v>
      </c>
    </row>
    <row r="20" spans="2:71" ht="15" thickBot="1" x14ac:dyDescent="0.35">
      <c r="B20" s="106"/>
      <c r="C20" s="109" t="s">
        <v>196</v>
      </c>
      <c r="D20" s="131"/>
      <c r="E20" s="132"/>
      <c r="F20" s="107"/>
      <c r="G20" s="107"/>
      <c r="H20" s="107"/>
      <c r="I20" s="107"/>
      <c r="J20" s="107"/>
      <c r="K20" s="134"/>
      <c r="L20" s="135">
        <v>0</v>
      </c>
      <c r="M20" s="136">
        <f t="shared" si="37"/>
        <v>0</v>
      </c>
      <c r="N20" s="186">
        <f t="shared" si="23"/>
        <v>0</v>
      </c>
      <c r="O20" s="137"/>
      <c r="P20" s="151">
        <f t="shared" si="24"/>
        <v>0</v>
      </c>
      <c r="Q20" s="137">
        <f t="shared" si="1"/>
        <v>0</v>
      </c>
      <c r="R20" s="138">
        <f t="shared" si="2"/>
        <v>0</v>
      </c>
      <c r="T20" s="139" cm="1">
        <f t="array" ref="T20">SUM([2]Hoja3!$H$5:$H$32*([2]Hoja3!$J$5:$J$32=$C20)*([2]Hoja3!$F$5:$F$32=T$5))</f>
        <v>0</v>
      </c>
      <c r="U20" s="139" cm="1">
        <f t="array" ref="U20">SUM([2]Hoja3!$I$5:$I$32*([2]Hoja3!$J$5:$J$32=$C20)*([2]Hoja3!$F$5:$F$32=T$5))</f>
        <v>0</v>
      </c>
      <c r="V20" s="141">
        <f t="shared" si="25"/>
        <v>0</v>
      </c>
      <c r="W20" s="139" cm="1">
        <f t="array" ref="W20">SUM([2]Hoja3!$H$5:$H$32*([2]Hoja3!$J$5:$J$32=$C20)*([2]Hoja3!$F$5:$F$32=W$5))</f>
        <v>53.25</v>
      </c>
      <c r="X20" s="139" cm="1">
        <f t="array" ref="X20">SUM([2]Hoja3!$I$5:$I$32*([2]Hoja3!$J$5:$J$32=$C20)*([2]Hoja3!$F$5:$F$32=W$5))</f>
        <v>107812.5</v>
      </c>
      <c r="Y20" s="141">
        <f t="shared" si="26"/>
        <v>2024.6478873239437</v>
      </c>
      <c r="Z20" s="139" cm="1">
        <f t="array" ref="Z20">SUM([2]Hoja3!$H$5:$H$32*([2]Hoja3!$J$5:$J$32=$C20)*([2]Hoja3!$F$5:$F$32=Z$5))</f>
        <v>0</v>
      </c>
      <c r="AA20" s="139" cm="1">
        <f t="array" ref="AA20">SUM([2]Hoja3!$I$5:$I$32*([2]Hoja3!$J$5:$J$32=$C20)*([2]Hoja3!$F$5:$F$32=Z$5))</f>
        <v>0</v>
      </c>
      <c r="AB20" s="141">
        <f t="shared" si="27"/>
        <v>0</v>
      </c>
      <c r="AC20" s="139" cm="1">
        <f t="array" ref="AC20">SUM([2]Hoja3!$H$5:$H$32*([2]Hoja3!$J$5:$J$32=$C20)*([2]Hoja3!$F$5:$F$32=AC$5))</f>
        <v>27</v>
      </c>
      <c r="AD20" s="139" cm="1">
        <f t="array" ref="AD20">SUM([2]Hoja3!$I$5:$I$32*([2]Hoja3!$J$5:$J$32=$C20)*([2]Hoja3!$F$5:$F$32=AC$5))</f>
        <v>63450</v>
      </c>
      <c r="AE20" s="141">
        <f t="shared" si="28"/>
        <v>2350</v>
      </c>
      <c r="AF20" s="139" cm="1">
        <f t="array" ref="AF20">SUM([2]Hoja3!$H$5:$H$32*([2]Hoja3!$J$5:$J$32=$C20)*([2]Hoja3!$F$5:$F$32=AF$5))</f>
        <v>0</v>
      </c>
      <c r="AG20" s="139" cm="1">
        <f t="array" ref="AG20">SUM([2]Hoja3!$I$5:$I$32*([2]Hoja3!$J$5:$J$32=$C20)*([2]Hoja3!$F$5:$F$32=AF$5))</f>
        <v>0</v>
      </c>
      <c r="AH20" s="141">
        <f t="shared" si="29"/>
        <v>0</v>
      </c>
      <c r="AI20" s="139" cm="1">
        <f t="array" ref="AI20">SUM([2]Hoja3!$H$5:$H$32*([2]Hoja3!$J$5:$J$32=$C20)*([2]Hoja3!$F$5:$F$32=AI$5))</f>
        <v>0</v>
      </c>
      <c r="AJ20" s="139" cm="1">
        <f t="array" ref="AJ20">SUM([2]Hoja3!$I$5:$I$32*([2]Hoja3!$J$5:$J$32=$C20)*([2]Hoja3!$F$5:$F$32=AI$5))</f>
        <v>0</v>
      </c>
      <c r="AK20" s="141">
        <f t="shared" si="30"/>
        <v>0</v>
      </c>
      <c r="AL20" s="139" cm="1">
        <f t="array" ref="AL20">SUM([2]Hoja3!$H$5:$H$32*([2]Hoja3!$J$5:$J$32=$C20)*([2]Hoja3!$F$5:$F$32=AL$5))</f>
        <v>27</v>
      </c>
      <c r="AM20" s="139" cm="1">
        <f t="array" ref="AM20">SUM([2]Hoja3!$I$5:$I$32*([2]Hoja3!$J$5:$J$32=$C20)*([2]Hoja3!$F$5:$F$32=AL$5))</f>
        <v>67500</v>
      </c>
      <c r="AN20" s="141">
        <f t="shared" si="31"/>
        <v>2500</v>
      </c>
      <c r="AO20" s="139" cm="1">
        <f t="array" ref="AO20">SUM([2]Hoja3!$H$5:$H$32*([2]Hoja3!$J$5:$J$32=$C20)*([2]Hoja3!$F$5:$F$32=AO$5))</f>
        <v>0</v>
      </c>
      <c r="AP20" s="139" cm="1">
        <f t="array" ref="AP20">SUM([2]Hoja3!$I$5:$I$32*([2]Hoja3!$J$5:$J$32=$C20)*([2]Hoja3!$F$5:$F$32=AO$5))</f>
        <v>0</v>
      </c>
      <c r="AQ20" s="141">
        <f t="shared" si="32"/>
        <v>0</v>
      </c>
      <c r="AR20" s="142">
        <f t="shared" si="3"/>
        <v>80.25</v>
      </c>
      <c r="AS20" s="143">
        <f t="shared" si="4"/>
        <v>171262.5</v>
      </c>
      <c r="AT20" s="144">
        <f t="shared" si="33"/>
        <v>2134.1121495327102</v>
      </c>
      <c r="AU20" s="145">
        <f t="shared" si="5"/>
        <v>27</v>
      </c>
      <c r="AV20" s="146">
        <f t="shared" si="6"/>
        <v>67500</v>
      </c>
      <c r="AW20" s="145">
        <f t="shared" si="34"/>
        <v>2500</v>
      </c>
      <c r="AX20" s="147">
        <f t="shared" si="7"/>
        <v>107.25</v>
      </c>
      <c r="AY20" s="148">
        <f t="shared" si="7"/>
        <v>238762.5</v>
      </c>
      <c r="AZ20" s="149">
        <f t="shared" si="35"/>
        <v>2226.2237762237764</v>
      </c>
      <c r="BA20" s="148">
        <f t="shared" si="42"/>
        <v>0</v>
      </c>
      <c r="BB20" s="149">
        <f t="shared" si="41"/>
        <v>0</v>
      </c>
      <c r="BC20" s="148">
        <f t="shared" si="38"/>
        <v>-4259.9554927641002</v>
      </c>
      <c r="BD20" s="149">
        <f t="shared" si="9"/>
        <v>-2512.8527596508166</v>
      </c>
      <c r="BE20" s="148">
        <f t="shared" si="39"/>
        <v>-5861.4979553461762</v>
      </c>
      <c r="BF20" s="148">
        <f>$BF$21/$AX$21*$AX20</f>
        <v>-6694.3818965996579</v>
      </c>
      <c r="BG20" s="149">
        <f t="shared" si="10"/>
        <v>7162.875</v>
      </c>
      <c r="BH20" s="148">
        <f t="shared" si="11"/>
        <v>233291.06879223892</v>
      </c>
      <c r="BI20" s="150">
        <f t="shared" si="12"/>
        <v>0.9770842104276799</v>
      </c>
      <c r="BK20" s="181">
        <f t="shared" si="13"/>
        <v>2226.2237762237764</v>
      </c>
      <c r="BL20" s="182">
        <f t="shared" si="14"/>
        <v>0</v>
      </c>
      <c r="BM20" s="182">
        <f t="shared" si="15"/>
        <v>0</v>
      </c>
      <c r="BN20" s="182">
        <f t="shared" si="16"/>
        <v>-39.719864734397206</v>
      </c>
      <c r="BO20" s="182">
        <f t="shared" si="17"/>
        <v>-23.429862560846775</v>
      </c>
      <c r="BP20" s="182">
        <f t="shared" si="18"/>
        <v>-54.652661588309336</v>
      </c>
      <c r="BQ20" s="182">
        <f t="shared" si="19"/>
        <v>-62.41847922237443</v>
      </c>
      <c r="BR20" s="182">
        <f t="shared" si="20"/>
        <v>66.786713286713294</v>
      </c>
      <c r="BS20" s="182">
        <f t="shared" si="21"/>
        <v>2175.2081006269364</v>
      </c>
    </row>
    <row r="21" spans="2:71" ht="15" thickBot="1" x14ac:dyDescent="0.35">
      <c r="C21" s="152" t="s">
        <v>72</v>
      </c>
      <c r="D21" s="153">
        <f>SUM(D7:D20)</f>
        <v>777.9369999999999</v>
      </c>
      <c r="E21" s="154">
        <f t="shared" ref="E21" si="43">IFERROR(F21/D21,0)</f>
        <v>2011.243651198304</v>
      </c>
      <c r="F21" s="155">
        <f t="shared" ref="F21:K21" si="44">SUM(F7:F20)</f>
        <v>1564620.8522822547</v>
      </c>
      <c r="G21" s="155">
        <f t="shared" si="44"/>
        <v>161686.42608</v>
      </c>
      <c r="H21" s="155">
        <f t="shared" si="44"/>
        <v>30904.707544489389</v>
      </c>
      <c r="I21" s="155">
        <f t="shared" si="44"/>
        <v>60753.418706268974</v>
      </c>
      <c r="J21" s="155">
        <f t="shared" si="44"/>
        <v>48565.745594514672</v>
      </c>
      <c r="K21" s="155">
        <f t="shared" si="44"/>
        <v>0</v>
      </c>
      <c r="L21" s="156">
        <v>0</v>
      </c>
      <c r="M21" s="157">
        <f>SUM(M7:M20)</f>
        <v>1817965.4046130127</v>
      </c>
      <c r="N21" s="187">
        <f t="shared" si="23"/>
        <v>2336.905693665442</v>
      </c>
      <c r="O21" s="157">
        <f>P21/D21</f>
        <v>0</v>
      </c>
      <c r="P21" s="158">
        <f>SUM(P7:P20)</f>
        <v>0</v>
      </c>
      <c r="Q21" s="157">
        <f>SUM(Q7:Q20)</f>
        <v>-1817965.4046130127</v>
      </c>
      <c r="R21" s="159" t="e">
        <f t="shared" ref="R21" si="45">Q21/P21</f>
        <v>#DIV/0!</v>
      </c>
      <c r="T21" s="160">
        <f>SUM(T7:T20)</f>
        <v>108</v>
      </c>
      <c r="U21" s="160">
        <f>SUM(U7:U20)</f>
        <v>422550</v>
      </c>
      <c r="V21" s="161">
        <f t="shared" si="25"/>
        <v>3912.5</v>
      </c>
      <c r="W21" s="160">
        <f>SUM(W7:W20)</f>
        <v>426.25</v>
      </c>
      <c r="X21" s="160">
        <f>SUM(X7:X20)</f>
        <v>943487.5</v>
      </c>
      <c r="Y21" s="161">
        <f t="shared" si="26"/>
        <v>2213.4604105571848</v>
      </c>
      <c r="Z21" s="160">
        <f>SUM(Z7:Z20)</f>
        <v>208.08</v>
      </c>
      <c r="AA21" s="160">
        <f>SUM(AA7:AA20)</f>
        <v>539186</v>
      </c>
      <c r="AB21" s="162">
        <f t="shared" si="27"/>
        <v>2591.2437524029219</v>
      </c>
      <c r="AC21" s="160">
        <f>SUM(AC7:AC20)</f>
        <v>79</v>
      </c>
      <c r="AD21" s="160">
        <f>SUM(AD7:AD20)</f>
        <v>180450</v>
      </c>
      <c r="AE21" s="162">
        <f t="shared" si="28"/>
        <v>2284.1772151898736</v>
      </c>
      <c r="AF21" s="160">
        <f>SUM(AF7:AF20)</f>
        <v>648</v>
      </c>
      <c r="AG21" s="160">
        <f>SUM(AG7:AG20)</f>
        <v>1682640</v>
      </c>
      <c r="AH21" s="161">
        <f t="shared" si="29"/>
        <v>2596.6666666666665</v>
      </c>
      <c r="AI21" s="160">
        <f>SUM(AI7:AI20)</f>
        <v>26</v>
      </c>
      <c r="AJ21" s="160">
        <f>SUM(AJ7:AJ20)</f>
        <v>74100</v>
      </c>
      <c r="AK21" s="161">
        <f t="shared" si="30"/>
        <v>2850</v>
      </c>
      <c r="AL21" s="160">
        <f>SUM(AL7:AL20)</f>
        <v>459</v>
      </c>
      <c r="AM21" s="160">
        <f>SUM(AM7:AM20)</f>
        <v>1130490</v>
      </c>
      <c r="AN21" s="161">
        <f t="shared" si="31"/>
        <v>2462.9411764705883</v>
      </c>
      <c r="AO21" s="160">
        <f>SUM(AO7:AO20)</f>
        <v>24</v>
      </c>
      <c r="AP21" s="160">
        <f>SUM(AP7:AP20)</f>
        <v>43200</v>
      </c>
      <c r="AQ21" s="161">
        <f t="shared" si="32"/>
        <v>1800</v>
      </c>
      <c r="AR21" s="160">
        <f>SUM(AR7:AR20)</f>
        <v>1495.33</v>
      </c>
      <c r="AS21" s="160">
        <f>SUM(AS7:AS20)</f>
        <v>3842413.5</v>
      </c>
      <c r="AT21" s="176">
        <f t="shared" si="33"/>
        <v>2569.6090495074668</v>
      </c>
      <c r="AU21" s="163">
        <f>SUM(AU7:AU20)</f>
        <v>483</v>
      </c>
      <c r="AV21" s="163">
        <f>SUM(AV7:AV20)</f>
        <v>1173690</v>
      </c>
      <c r="AW21" s="177">
        <f t="shared" si="34"/>
        <v>2430</v>
      </c>
      <c r="AX21" s="164">
        <f>SUM(AX7:AX20)</f>
        <v>1978.33</v>
      </c>
      <c r="AY21" s="164">
        <f>SUM(AY7:AY20)</f>
        <v>5016103.5</v>
      </c>
      <c r="AZ21" s="165">
        <f t="shared" si="35"/>
        <v>2535.5241542108747</v>
      </c>
      <c r="BA21" s="166">
        <f>SUM(BA7:BA20)</f>
        <v>-4237446.7704395009</v>
      </c>
      <c r="BB21" s="165">
        <f>SUM(BB7:BB20)</f>
        <v>-388885.2672</v>
      </c>
      <c r="BC21" s="166">
        <f>-'Stock Libre'!Y61</f>
        <v>-78579.000000000015</v>
      </c>
      <c r="BD21" s="165">
        <v>-46352</v>
      </c>
      <c r="BE21" s="166">
        <v>-108121</v>
      </c>
      <c r="BF21" s="166">
        <f>-'Stock Libre'!AA61</f>
        <v>-123484.35000000002</v>
      </c>
      <c r="BG21" s="165">
        <f>SUM(BG7:BG20)</f>
        <v>150483.10500000001</v>
      </c>
      <c r="BH21" s="164">
        <f>SUM(BH7:BH20)</f>
        <v>307202.56736049871</v>
      </c>
      <c r="BI21" s="167">
        <f t="shared" si="12"/>
        <v>6.1243267281167288E-2</v>
      </c>
      <c r="BK21" s="183">
        <f t="shared" si="13"/>
        <v>2535.5241542108747</v>
      </c>
      <c r="BL21" s="184">
        <f t="shared" si="14"/>
        <v>-2141.9312098787873</v>
      </c>
      <c r="BM21" s="184">
        <f t="shared" si="15"/>
        <v>-196.57249660066825</v>
      </c>
      <c r="BN21" s="184">
        <f t="shared" si="16"/>
        <v>-39.719864734397206</v>
      </c>
      <c r="BO21" s="184">
        <f t="shared" si="17"/>
        <v>-23.429862560846775</v>
      </c>
      <c r="BP21" s="184">
        <f t="shared" si="18"/>
        <v>-54.652661588309336</v>
      </c>
      <c r="BQ21" s="184">
        <f t="shared" si="19"/>
        <v>-62.418479222374437</v>
      </c>
      <c r="BR21" s="184">
        <f t="shared" si="20"/>
        <v>76.065724626326258</v>
      </c>
      <c r="BS21" s="184">
        <f t="shared" si="21"/>
        <v>155.28378347419223</v>
      </c>
    </row>
    <row r="22" spans="2:71" x14ac:dyDescent="0.3">
      <c r="I22" s="112">
        <f>I21/D21</f>
        <v>78.095551061678492</v>
      </c>
    </row>
    <row r="23" spans="2:71" x14ac:dyDescent="0.3">
      <c r="M23" s="95"/>
      <c r="N23" s="95"/>
      <c r="O23" s="95"/>
      <c r="P23" s="168"/>
      <c r="Q23" s="95"/>
      <c r="R23" s="95"/>
      <c r="V23" s="169"/>
      <c r="BL23" s="107">
        <f>BL21+BM21+BN21-BQ21</f>
        <v>-2315.8050919914781</v>
      </c>
    </row>
    <row r="24" spans="2:71" x14ac:dyDescent="0.3">
      <c r="L24" s="170"/>
      <c r="N24" s="171"/>
      <c r="O24" s="171"/>
      <c r="P24" s="168"/>
      <c r="Q24" s="171"/>
      <c r="R24" s="171"/>
      <c r="S24" s="107"/>
      <c r="T24" s="107"/>
      <c r="U24" s="172"/>
      <c r="V24" s="169"/>
      <c r="BA24" s="112"/>
    </row>
    <row r="25" spans="2:71" x14ac:dyDescent="0.3">
      <c r="G25" s="107"/>
      <c r="L25" s="170"/>
      <c r="N25" s="171"/>
      <c r="O25" s="171"/>
      <c r="P25" s="168"/>
      <c r="Q25" s="171"/>
      <c r="R25" s="171"/>
      <c r="S25" s="107"/>
      <c r="T25" s="107"/>
      <c r="U25" s="172"/>
      <c r="AY25" s="107"/>
    </row>
    <row r="26" spans="2:71" x14ac:dyDescent="0.3">
      <c r="G26" s="107"/>
      <c r="L26" s="170"/>
      <c r="N26" s="171"/>
      <c r="O26" s="171"/>
      <c r="P26" s="171"/>
      <c r="Q26" s="171"/>
      <c r="R26" s="171"/>
      <c r="S26" s="107"/>
      <c r="T26" s="107"/>
      <c r="U26" s="133"/>
    </row>
    <row r="27" spans="2:71" x14ac:dyDescent="0.3">
      <c r="G27" s="107"/>
      <c r="L27" s="170"/>
      <c r="N27" s="171"/>
      <c r="O27" s="171"/>
      <c r="P27" s="171"/>
      <c r="Q27" s="171"/>
      <c r="R27" s="171"/>
      <c r="S27" s="107"/>
      <c r="T27" s="107"/>
      <c r="U27" s="133"/>
    </row>
    <row r="28" spans="2:71" x14ac:dyDescent="0.3">
      <c r="G28" s="107"/>
      <c r="L28" s="170"/>
      <c r="N28" s="171"/>
      <c r="O28" s="171"/>
      <c r="P28" s="171"/>
      <c r="Q28" s="171"/>
      <c r="R28" s="171"/>
      <c r="S28" s="107"/>
      <c r="T28" s="107"/>
      <c r="U28" s="133"/>
    </row>
    <row r="29" spans="2:71" x14ac:dyDescent="0.3">
      <c r="G29" s="107"/>
      <c r="L29" s="170"/>
      <c r="N29" s="171"/>
      <c r="O29" s="171"/>
      <c r="P29" s="171"/>
      <c r="Q29" s="171"/>
      <c r="R29" s="171"/>
      <c r="S29" s="107"/>
      <c r="T29" s="107"/>
      <c r="U29" s="133"/>
    </row>
    <row r="30" spans="2:71" x14ac:dyDescent="0.3">
      <c r="G30" s="107"/>
      <c r="L30" s="170"/>
      <c r="N30" s="171"/>
      <c r="O30" s="171"/>
      <c r="P30" s="171"/>
      <c r="Q30" s="171"/>
      <c r="R30" s="171"/>
      <c r="T30" s="107"/>
      <c r="U30" s="133"/>
    </row>
    <row r="31" spans="2:71" x14ac:dyDescent="0.3">
      <c r="L31" s="170"/>
      <c r="N31" s="171"/>
      <c r="O31" s="171"/>
      <c r="P31" s="171"/>
      <c r="Q31" s="171"/>
      <c r="R31" s="171"/>
      <c r="S31" s="107"/>
      <c r="T31" s="107"/>
      <c r="U31" s="133"/>
      <c r="AY31" s="133"/>
    </row>
    <row r="32" spans="2:71" x14ac:dyDescent="0.3">
      <c r="L32" s="170"/>
      <c r="N32" s="171"/>
      <c r="O32" s="171"/>
      <c r="P32" s="171"/>
      <c r="Q32" s="171"/>
      <c r="R32" s="171"/>
      <c r="S32" s="107"/>
      <c r="T32" s="107"/>
      <c r="U32" s="133"/>
    </row>
    <row r="33" spans="12:21" x14ac:dyDescent="0.3">
      <c r="L33" s="170"/>
      <c r="N33" s="171"/>
      <c r="O33" s="171"/>
      <c r="P33" s="171"/>
      <c r="Q33" s="171"/>
      <c r="R33" s="171"/>
      <c r="S33" s="107"/>
      <c r="T33" s="107"/>
      <c r="U33" s="133"/>
    </row>
    <row r="34" spans="12:21" x14ac:dyDescent="0.3">
      <c r="L34" s="170"/>
      <c r="N34" s="171"/>
      <c r="O34" s="171"/>
      <c r="P34" s="171"/>
      <c r="Q34" s="171"/>
      <c r="R34" s="171"/>
      <c r="S34" s="107"/>
      <c r="T34" s="107"/>
      <c r="U34" s="133"/>
    </row>
    <row r="35" spans="12:21" x14ac:dyDescent="0.3">
      <c r="L35" s="170"/>
      <c r="N35" s="171"/>
      <c r="O35" s="171"/>
      <c r="P35" s="171"/>
      <c r="Q35" s="171"/>
      <c r="R35" s="171"/>
      <c r="S35" s="107"/>
      <c r="T35" s="107"/>
      <c r="U35" s="133"/>
    </row>
    <row r="36" spans="12:21" x14ac:dyDescent="0.3">
      <c r="L36" s="173"/>
      <c r="M36" s="111"/>
      <c r="N36" s="174"/>
      <c r="O36" s="174"/>
      <c r="P36" s="174"/>
      <c r="Q36" s="174"/>
      <c r="R36" s="174"/>
      <c r="U36" s="174"/>
    </row>
    <row r="38" spans="12:21" x14ac:dyDescent="0.3">
      <c r="N38" s="107"/>
      <c r="O38" s="107"/>
      <c r="P38" s="107"/>
      <c r="Q38" s="107"/>
      <c r="R38" s="107"/>
    </row>
    <row r="39" spans="12:21" x14ac:dyDescent="0.3">
      <c r="N39" s="107"/>
      <c r="O39" s="107"/>
      <c r="P39" s="107"/>
      <c r="Q39" s="107"/>
      <c r="R39" s="107"/>
    </row>
    <row r="40" spans="12:21" x14ac:dyDescent="0.3">
      <c r="N40" s="175"/>
      <c r="O40" s="175"/>
      <c r="P40" s="175"/>
      <c r="Q40" s="175"/>
      <c r="R40" s="175"/>
    </row>
  </sheetData>
  <mergeCells count="14">
    <mergeCell ref="AF5:AH5"/>
    <mergeCell ref="AI5:AK5"/>
    <mergeCell ref="AL5:AN5"/>
    <mergeCell ref="AO5:AQ5"/>
    <mergeCell ref="F5:R5"/>
    <mergeCell ref="T5:V5"/>
    <mergeCell ref="W5:Y5"/>
    <mergeCell ref="Z5:AB5"/>
    <mergeCell ref="AC5:AE5"/>
    <mergeCell ref="BK5:BS5"/>
    <mergeCell ref="AR5:AT5"/>
    <mergeCell ref="AU5:AW5"/>
    <mergeCell ref="AX5:BI5"/>
    <mergeCell ref="AR4:B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04D3-E519-4DE1-84E0-F8B39A7CEA7D}">
  <dimension ref="A3:J18"/>
  <sheetViews>
    <sheetView showGridLines="0" zoomScale="90" zoomScaleNormal="90" workbookViewId="0">
      <selection activeCell="B22" sqref="B22"/>
    </sheetView>
  </sheetViews>
  <sheetFormatPr baseColWidth="10" defaultRowHeight="14.4" x14ac:dyDescent="0.3"/>
  <cols>
    <col min="2" max="2" width="10" bestFit="1" customWidth="1"/>
    <col min="3" max="3" width="46.44140625" bestFit="1" customWidth="1"/>
    <col min="4" max="4" width="17.44140625" bestFit="1" customWidth="1"/>
    <col min="5" max="5" width="19.33203125" bestFit="1" customWidth="1"/>
    <col min="6" max="6" width="20.5546875" bestFit="1" customWidth="1"/>
    <col min="7" max="7" width="20.44140625" bestFit="1" customWidth="1"/>
    <col min="8" max="8" width="18.5546875" bestFit="1" customWidth="1"/>
    <col min="9" max="9" width="17" bestFit="1" customWidth="1"/>
    <col min="10" max="10" width="20.77734375" bestFit="1" customWidth="1"/>
  </cols>
  <sheetData>
    <row r="3" spans="1:10" x14ac:dyDescent="0.3">
      <c r="D3" s="105" t="s">
        <v>178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</row>
    <row r="4" spans="1:10" x14ac:dyDescent="0.3">
      <c r="A4" s="178" t="b">
        <f t="shared" ref="A4:A16" si="0">B4=D4</f>
        <v>1</v>
      </c>
      <c r="B4" s="106">
        <v>10005721</v>
      </c>
      <c r="C4" s="108" t="s">
        <v>187</v>
      </c>
      <c r="D4" s="106">
        <v>10005721</v>
      </c>
      <c r="E4" s="107">
        <v>285.94</v>
      </c>
      <c r="F4" s="107">
        <v>610964.21883506363</v>
      </c>
      <c r="G4" s="107">
        <v>59429.769600000007</v>
      </c>
      <c r="H4" s="107">
        <v>11359.392952477252</v>
      </c>
      <c r="I4" s="107">
        <v>22330.641870576343</v>
      </c>
      <c r="J4" s="107">
        <v>17850.917613245707</v>
      </c>
    </row>
    <row r="5" spans="1:10" x14ac:dyDescent="0.3">
      <c r="A5" s="178" t="b">
        <f t="shared" si="0"/>
        <v>1</v>
      </c>
      <c r="B5" s="106">
        <v>10005779</v>
      </c>
      <c r="C5" s="109" t="s">
        <v>188</v>
      </c>
      <c r="D5" s="106">
        <v>10005779</v>
      </c>
      <c r="E5" s="107">
        <v>119.80000000000001</v>
      </c>
      <c r="F5" s="107">
        <v>210092.47501044956</v>
      </c>
      <c r="G5" s="107">
        <v>24899.232</v>
      </c>
      <c r="H5" s="107">
        <v>4759.2336703741157</v>
      </c>
      <c r="I5" s="107">
        <v>9355.8470171890822</v>
      </c>
      <c r="J5" s="107">
        <v>7478.9813599595564</v>
      </c>
    </row>
    <row r="6" spans="1:10" x14ac:dyDescent="0.3">
      <c r="A6" s="178" t="b">
        <f t="shared" si="0"/>
        <v>1</v>
      </c>
      <c r="B6" s="106">
        <v>10005781</v>
      </c>
      <c r="C6" s="109" t="s">
        <v>40</v>
      </c>
      <c r="D6" s="106">
        <v>10005781</v>
      </c>
      <c r="E6" s="107">
        <v>108.16</v>
      </c>
      <c r="F6" s="107">
        <v>200782.36668959536</v>
      </c>
      <c r="G6" s="107">
        <v>22479.974399999999</v>
      </c>
      <c r="H6" s="107">
        <v>4296.8173104145608</v>
      </c>
      <c r="I6" s="107">
        <v>8446.8148028311443</v>
      </c>
      <c r="J6" s="107">
        <v>6752.3090475227509</v>
      </c>
    </row>
    <row r="7" spans="1:10" x14ac:dyDescent="0.3">
      <c r="A7" s="178" t="b">
        <f t="shared" si="0"/>
        <v>1</v>
      </c>
      <c r="B7" s="106">
        <v>10006719</v>
      </c>
      <c r="C7" s="109" t="s">
        <v>189</v>
      </c>
      <c r="D7" s="106">
        <v>10006719</v>
      </c>
      <c r="E7" s="107">
        <v>8.1</v>
      </c>
      <c r="F7" s="107">
        <v>16489.482399858207</v>
      </c>
      <c r="G7" s="107">
        <v>1683.5039999999999</v>
      </c>
      <c r="H7" s="107">
        <v>321.78458038422656</v>
      </c>
      <c r="I7" s="107">
        <v>632.57396359959557</v>
      </c>
      <c r="J7" s="107">
        <v>505.67403185035391</v>
      </c>
    </row>
    <row r="8" spans="1:10" x14ac:dyDescent="0.3">
      <c r="A8" s="178" t="b">
        <f t="shared" si="0"/>
        <v>1</v>
      </c>
      <c r="B8" s="106">
        <v>10006720</v>
      </c>
      <c r="C8" s="109" t="s">
        <v>190</v>
      </c>
      <c r="D8" s="106">
        <v>10006720</v>
      </c>
      <c r="E8" s="107">
        <v>0</v>
      </c>
      <c r="F8" s="107">
        <v>0</v>
      </c>
      <c r="G8" s="107">
        <v>0</v>
      </c>
      <c r="H8" s="107">
        <v>0</v>
      </c>
      <c r="I8" s="107">
        <v>0</v>
      </c>
      <c r="J8" s="107">
        <v>0</v>
      </c>
    </row>
    <row r="9" spans="1:10" x14ac:dyDescent="0.3">
      <c r="A9" s="178" t="b">
        <f t="shared" si="0"/>
        <v>1</v>
      </c>
      <c r="B9" s="106">
        <v>10007050</v>
      </c>
      <c r="C9" s="109" t="s">
        <v>191</v>
      </c>
      <c r="D9" s="106">
        <v>10007050</v>
      </c>
      <c r="E9" s="107">
        <v>80.905000000000001</v>
      </c>
      <c r="F9" s="107">
        <v>127069.09658707932</v>
      </c>
      <c r="G9" s="107">
        <v>16815.2952</v>
      </c>
      <c r="H9" s="107">
        <v>3214.0717871587467</v>
      </c>
      <c r="I9" s="107">
        <v>6318.3205586450977</v>
      </c>
      <c r="J9" s="107">
        <v>5050.8095736855421</v>
      </c>
    </row>
    <row r="10" spans="1:10" x14ac:dyDescent="0.3">
      <c r="A10" s="178" t="b">
        <f t="shared" si="0"/>
        <v>1</v>
      </c>
      <c r="B10" s="106">
        <v>10007162</v>
      </c>
      <c r="C10" s="109" t="s">
        <v>192</v>
      </c>
      <c r="D10" s="106">
        <v>10007162</v>
      </c>
      <c r="E10" s="107">
        <v>27.28</v>
      </c>
      <c r="F10" s="107">
        <v>51345.857266421866</v>
      </c>
      <c r="G10" s="107">
        <v>5669.8752000000004</v>
      </c>
      <c r="H10" s="107">
        <v>1083.7386855409507</v>
      </c>
      <c r="I10" s="107">
        <v>2130.4466329625889</v>
      </c>
      <c r="J10" s="107">
        <v>1703.0601961577354</v>
      </c>
    </row>
    <row r="11" spans="1:10" x14ac:dyDescent="0.3">
      <c r="A11" s="178" t="b">
        <f t="shared" si="0"/>
        <v>1</v>
      </c>
      <c r="B11" s="106">
        <v>10007567</v>
      </c>
      <c r="C11" s="109" t="s">
        <v>193</v>
      </c>
      <c r="D11" s="106">
        <v>10007567</v>
      </c>
      <c r="E11" s="107">
        <v>65.680000000000007</v>
      </c>
      <c r="F11" s="107">
        <v>119619.05913329174</v>
      </c>
      <c r="G11" s="107">
        <v>13650.931199999999</v>
      </c>
      <c r="H11" s="107">
        <v>2609.2359555106173</v>
      </c>
      <c r="I11" s="107">
        <v>5129.3157937310425</v>
      </c>
      <c r="J11" s="107">
        <v>4100.3296804853389</v>
      </c>
    </row>
    <row r="12" spans="1:10" x14ac:dyDescent="0.3">
      <c r="A12" s="178" t="b">
        <f t="shared" si="0"/>
        <v>1</v>
      </c>
      <c r="B12" s="106">
        <v>10007969</v>
      </c>
      <c r="C12" s="109" t="s">
        <v>19</v>
      </c>
      <c r="D12" s="106">
        <v>10007969</v>
      </c>
      <c r="E12" s="107">
        <v>15.56</v>
      </c>
      <c r="F12" s="107">
        <v>23257.211144149969</v>
      </c>
      <c r="G12" s="107">
        <v>3233.9904000000001</v>
      </c>
      <c r="H12" s="107">
        <v>618.14420626895867</v>
      </c>
      <c r="I12" s="107">
        <v>1215.1667745197171</v>
      </c>
      <c r="J12" s="107">
        <v>971.39357229524785</v>
      </c>
    </row>
    <row r="13" spans="1:10" x14ac:dyDescent="0.3">
      <c r="A13" s="178" t="b">
        <f t="shared" si="0"/>
        <v>1</v>
      </c>
      <c r="B13" s="106">
        <v>10009207</v>
      </c>
      <c r="C13" s="109" t="s">
        <v>18</v>
      </c>
      <c r="D13" s="106">
        <v>10009207</v>
      </c>
      <c r="E13" s="107">
        <v>0.38</v>
      </c>
      <c r="F13" s="107">
        <v>587.31873040685332</v>
      </c>
      <c r="G13" s="107">
        <v>78.979200000000006</v>
      </c>
      <c r="H13" s="107">
        <v>15.096066734074826</v>
      </c>
      <c r="I13" s="107">
        <v>29.676309403437823</v>
      </c>
      <c r="J13" s="107">
        <v>23.722979271991914</v>
      </c>
    </row>
    <row r="14" spans="1:10" x14ac:dyDescent="0.3">
      <c r="A14" s="178" t="b">
        <f t="shared" si="0"/>
        <v>1</v>
      </c>
      <c r="B14" s="106">
        <v>10009239</v>
      </c>
      <c r="C14" s="109" t="s">
        <v>194</v>
      </c>
      <c r="D14" s="106">
        <v>10009239</v>
      </c>
      <c r="E14" s="107">
        <v>50.260000000000005</v>
      </c>
      <c r="F14" s="107">
        <v>172978.92053302669</v>
      </c>
      <c r="G14" s="107">
        <v>10446.038399999999</v>
      </c>
      <c r="H14" s="107">
        <v>1996.6534580384232</v>
      </c>
      <c r="I14" s="107">
        <v>3925.0823963599605</v>
      </c>
      <c r="J14" s="107">
        <v>3137.6761531850361</v>
      </c>
    </row>
    <row r="15" spans="1:10" x14ac:dyDescent="0.3">
      <c r="A15" s="178" t="b">
        <f t="shared" si="0"/>
        <v>1</v>
      </c>
      <c r="B15" s="106">
        <v>10009334</v>
      </c>
      <c r="C15" s="109" t="s">
        <v>195</v>
      </c>
      <c r="D15" s="106">
        <v>10009334</v>
      </c>
      <c r="E15" s="107">
        <v>1.3520000000000001</v>
      </c>
      <c r="F15" s="107">
        <v>4083.1400961055592</v>
      </c>
      <c r="G15" s="107">
        <v>280.99968000000001</v>
      </c>
      <c r="H15" s="107">
        <v>53.710216380182011</v>
      </c>
      <c r="I15" s="107">
        <v>105.58518503538932</v>
      </c>
      <c r="J15" s="107">
        <v>84.403863094034392</v>
      </c>
    </row>
    <row r="16" spans="1:10" x14ac:dyDescent="0.3">
      <c r="A16" s="178" t="b">
        <f t="shared" si="0"/>
        <v>1</v>
      </c>
      <c r="B16" s="106">
        <v>10009386</v>
      </c>
      <c r="C16" s="109" t="s">
        <v>142</v>
      </c>
      <c r="D16" s="106">
        <v>10009386</v>
      </c>
      <c r="E16" s="107">
        <v>14.52</v>
      </c>
      <c r="F16" s="107">
        <v>27351.705856805875</v>
      </c>
      <c r="G16" s="107">
        <v>3017.8368</v>
      </c>
      <c r="H16" s="107">
        <v>576.82865520728012</v>
      </c>
      <c r="I16" s="107">
        <v>1133.9474014155714</v>
      </c>
      <c r="J16" s="107">
        <v>906.46752376137522</v>
      </c>
    </row>
    <row r="17" spans="3:10" x14ac:dyDescent="0.3">
      <c r="C17" s="109" t="s">
        <v>196</v>
      </c>
      <c r="D17" s="106" t="s">
        <v>179</v>
      </c>
      <c r="E17" s="107">
        <v>0</v>
      </c>
      <c r="F17" s="107">
        <v>0</v>
      </c>
      <c r="G17" s="107">
        <v>0</v>
      </c>
      <c r="H17" s="107">
        <v>0</v>
      </c>
      <c r="I17" s="107">
        <v>0</v>
      </c>
      <c r="J17" s="107">
        <v>0</v>
      </c>
    </row>
    <row r="18" spans="3:10" x14ac:dyDescent="0.3">
      <c r="D18" s="106" t="s">
        <v>180</v>
      </c>
      <c r="E18" s="107">
        <v>777.9369999999999</v>
      </c>
      <c r="F18" s="107">
        <v>1564620.8522822547</v>
      </c>
      <c r="G18" s="107">
        <v>161686.42608</v>
      </c>
      <c r="H18" s="107">
        <v>30904.707544489389</v>
      </c>
      <c r="I18" s="107">
        <v>60753.418706268974</v>
      </c>
      <c r="J18" s="107">
        <v>48565.745594514672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E54A-1533-4157-B1D4-CB8F361B0547}">
  <dimension ref="A1:AE100"/>
  <sheetViews>
    <sheetView showGridLines="0" zoomScale="80" zoomScaleNormal="80" workbookViewId="0">
      <pane ySplit="1" topLeftCell="A2" activePane="bottomLeft" state="frozen"/>
      <selection pane="bottomLeft" activeCell="Y61" sqref="Y61"/>
    </sheetView>
  </sheetViews>
  <sheetFormatPr baseColWidth="10" defaultRowHeight="15.6" outlineLevelCol="1" x14ac:dyDescent="0.3"/>
  <cols>
    <col min="1" max="1" width="48" style="8" bestFit="1" customWidth="1"/>
    <col min="2" max="2" width="14" style="8" hidden="1" customWidth="1" outlineLevel="1"/>
    <col min="3" max="3" width="20.109375" style="8" hidden="1" customWidth="1" outlineLevel="1"/>
    <col min="4" max="5" width="20.44140625" style="8" hidden="1" customWidth="1" outlineLevel="1"/>
    <col min="6" max="6" width="12.88671875" style="59" hidden="1" customWidth="1" outlineLevel="1"/>
    <col min="7" max="7" width="15.44140625" style="8" hidden="1" customWidth="1" outlineLevel="1"/>
    <col min="8" max="8" width="17.77734375" style="8" hidden="1" customWidth="1" outlineLevel="1"/>
    <col min="9" max="9" width="8.6640625" style="8" hidden="1" customWidth="1" outlineLevel="1"/>
    <col min="10" max="10" width="18.5546875" style="8" hidden="1" customWidth="1" outlineLevel="1"/>
    <col min="11" max="12" width="12.33203125" style="8" hidden="1" customWidth="1" outlineLevel="1"/>
    <col min="13" max="13" width="13" style="8" hidden="1" customWidth="1" outlineLevel="1"/>
    <col min="14" max="14" width="17.77734375" style="8" customWidth="1" collapsed="1"/>
    <col min="15" max="15" width="17.77734375" style="51" customWidth="1"/>
    <col min="16" max="16" width="17.77734375" style="52" customWidth="1"/>
    <col min="17" max="17" width="11.5546875" style="8" customWidth="1"/>
    <col min="18" max="18" width="10" style="8" customWidth="1" outlineLevel="1"/>
    <col min="19" max="20" width="12.5546875" style="8" customWidth="1" outlineLevel="1"/>
    <col min="21" max="21" width="15.6640625" style="8" customWidth="1" outlineLevel="1"/>
    <col min="22" max="22" width="12.6640625" style="8" customWidth="1" outlineLevel="1"/>
    <col min="23" max="23" width="19.6640625" style="8" customWidth="1" outlineLevel="1"/>
    <col min="24" max="24" width="17.88671875" style="8" customWidth="1" outlineLevel="1"/>
    <col min="25" max="25" width="11.33203125" style="8" customWidth="1" outlineLevel="1"/>
    <col min="26" max="26" width="10.44140625" style="8" customWidth="1" outlineLevel="1"/>
    <col min="27" max="27" width="13.6640625" style="8" customWidth="1" outlineLevel="1"/>
    <col min="28" max="28" width="13.88671875" style="8" customWidth="1" outlineLevel="1"/>
    <col min="29" max="29" width="13.44140625" style="8" customWidth="1" outlineLevel="1"/>
    <col min="30" max="30" width="19.6640625" style="8" bestFit="1" customWidth="1"/>
    <col min="31" max="31" width="22.5546875" style="8" bestFit="1" customWidth="1"/>
    <col min="32" max="16384" width="11.5546875" style="8"/>
  </cols>
  <sheetData>
    <row r="1" spans="1:31" ht="47.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3"/>
      <c r="H1" s="3"/>
      <c r="I1" s="3"/>
      <c r="J1" s="2" t="s">
        <v>5</v>
      </c>
      <c r="K1" s="2" t="s">
        <v>6</v>
      </c>
      <c r="L1" s="2" t="s">
        <v>7</v>
      </c>
      <c r="M1" s="2" t="s">
        <v>8</v>
      </c>
      <c r="N1" s="5" t="s">
        <v>1</v>
      </c>
      <c r="O1" s="6" t="s">
        <v>9</v>
      </c>
      <c r="P1" s="7" t="s">
        <v>10</v>
      </c>
      <c r="R1" s="79" t="s">
        <v>163</v>
      </c>
      <c r="S1" s="79" t="s">
        <v>164</v>
      </c>
      <c r="T1" s="79" t="s">
        <v>165</v>
      </c>
      <c r="U1" s="79" t="s">
        <v>166</v>
      </c>
      <c r="V1" s="80" t="s">
        <v>167</v>
      </c>
      <c r="W1" s="81" t="s">
        <v>168</v>
      </c>
      <c r="X1" s="81" t="s">
        <v>169</v>
      </c>
      <c r="Y1" s="81" t="s">
        <v>170</v>
      </c>
      <c r="Z1" s="81" t="s">
        <v>171</v>
      </c>
      <c r="AA1" s="81" t="s">
        <v>172</v>
      </c>
      <c r="AB1" s="81" t="s">
        <v>173</v>
      </c>
      <c r="AC1" s="82" t="s">
        <v>174</v>
      </c>
      <c r="AD1" s="83" t="s">
        <v>175</v>
      </c>
      <c r="AE1" s="83" t="s">
        <v>176</v>
      </c>
    </row>
    <row r="2" spans="1:31" x14ac:dyDescent="0.3">
      <c r="A2" s="9" t="s">
        <v>11</v>
      </c>
      <c r="B2" s="10">
        <v>19780</v>
      </c>
      <c r="C2" s="11">
        <v>100</v>
      </c>
      <c r="D2" s="11"/>
      <c r="E2" s="11">
        <v>20</v>
      </c>
      <c r="F2" s="11"/>
      <c r="G2" s="12"/>
      <c r="H2" s="12"/>
      <c r="I2" s="12"/>
      <c r="J2" s="12">
        <f t="shared" ref="J2:J33" si="0">+C2+D2+E2+F2+G2+H2+I2</f>
        <v>120</v>
      </c>
      <c r="K2" s="12">
        <v>1880</v>
      </c>
      <c r="L2" s="12"/>
      <c r="M2" s="12"/>
      <c r="N2" s="13">
        <f t="shared" ref="N2:N21" si="1">+J2+B2-K2-L2-M2</f>
        <v>18020</v>
      </c>
      <c r="O2" s="14">
        <f>6000+4000</f>
        <v>10000</v>
      </c>
      <c r="P2" s="15">
        <f>+N2-O2</f>
        <v>8020</v>
      </c>
      <c r="R2" s="84">
        <v>10006719</v>
      </c>
      <c r="S2" s="92">
        <f>IFERROR(INDEX([1]Resumen!$K$3:$K$63,MATCH(R2,[1]Resumen!$C$3:$C$63,0)),0)*(1+T2*U2)/1000</f>
        <v>2.0357385678837292</v>
      </c>
      <c r="T2" s="93">
        <v>0.71</v>
      </c>
      <c r="U2" s="94">
        <v>0</v>
      </c>
      <c r="V2" s="96">
        <f t="shared" ref="V2:V33" si="2">IF(P2&lt;0,0,P2)/1000</f>
        <v>8.02</v>
      </c>
      <c r="W2" s="97">
        <f>IFERROR(S2*V2,0)*1000</f>
        <v>16326.623314427508</v>
      </c>
      <c r="X2" s="102">
        <f>207.84*V2</f>
        <v>1666.8768</v>
      </c>
      <c r="Y2" s="97">
        <f t="shared" ref="Y2" si="3">$Y$61/1978*V2</f>
        <v>318.60646107178974</v>
      </c>
      <c r="Z2" s="97">
        <f t="shared" ref="Z2" si="4">$Z$61/1978*V2</f>
        <v>626.32631951466135</v>
      </c>
      <c r="AA2" s="97">
        <f t="shared" ref="AA2:AA33" si="5">$AA$61/1978*V2</f>
        <v>500.67972042467142</v>
      </c>
      <c r="AB2" s="97">
        <v>0</v>
      </c>
      <c r="AC2" s="103">
        <v>0</v>
      </c>
      <c r="AD2" s="98">
        <f t="shared" ref="AD2:AD33" si="6">W2+X2+Y2+Z2</f>
        <v>18938.432895013961</v>
      </c>
      <c r="AE2" s="98">
        <f>IFERROR(AD2/V2,0)</f>
        <v>2361.4006103508682</v>
      </c>
    </row>
    <row r="3" spans="1:31" x14ac:dyDescent="0.3">
      <c r="A3" s="16" t="s">
        <v>12</v>
      </c>
      <c r="B3" s="10">
        <v>22500</v>
      </c>
      <c r="C3" s="11">
        <v>60</v>
      </c>
      <c r="D3" s="12"/>
      <c r="E3" s="12">
        <v>20</v>
      </c>
      <c r="F3" s="11"/>
      <c r="G3" s="12"/>
      <c r="H3" s="12"/>
      <c r="I3" s="12"/>
      <c r="J3" s="12">
        <f t="shared" si="0"/>
        <v>80</v>
      </c>
      <c r="K3" s="12"/>
      <c r="L3" s="12"/>
      <c r="M3" s="12"/>
      <c r="N3" s="13">
        <f t="shared" si="1"/>
        <v>22580</v>
      </c>
      <c r="O3" s="14">
        <v>22500</v>
      </c>
      <c r="P3" s="17">
        <f t="shared" ref="P3:P58" si="7">+N3-O3</f>
        <v>80</v>
      </c>
      <c r="R3" s="84">
        <v>10006719</v>
      </c>
      <c r="S3" s="92">
        <f>IFERROR(INDEX([1]Resumen!$K$3:$K$63,MATCH(R3,[1]Resumen!$C$3:$C$63,0)),0)*(1+T3*U3)/1000</f>
        <v>2.0357385678837292</v>
      </c>
      <c r="T3" s="94">
        <v>0.71</v>
      </c>
      <c r="U3" s="94">
        <v>0</v>
      </c>
      <c r="V3" s="96">
        <f t="shared" si="2"/>
        <v>0.08</v>
      </c>
      <c r="W3" s="97">
        <f t="shared" ref="W3:W58" si="8">IFERROR(S3*V3,0)*1000</f>
        <v>162.85908543069834</v>
      </c>
      <c r="X3" s="102">
        <f t="shared" ref="X3:X58" si="9">207.84*V3</f>
        <v>16.627200000000002</v>
      </c>
      <c r="Y3" s="97">
        <f t="shared" ref="Y3:Y33" si="10">$Y$61/1978*V3</f>
        <v>3.1781193124368055</v>
      </c>
      <c r="Z3" s="97">
        <f t="shared" ref="Z3:Z33" si="11">$Z$61/1978*V3</f>
        <v>6.2476440849342785</v>
      </c>
      <c r="AA3" s="97">
        <f t="shared" si="5"/>
        <v>4.9943114256825085</v>
      </c>
      <c r="AB3" s="97">
        <v>0</v>
      </c>
      <c r="AC3" s="103">
        <v>0</v>
      </c>
      <c r="AD3" s="98">
        <f t="shared" si="6"/>
        <v>188.9120488280694</v>
      </c>
      <c r="AE3" s="98">
        <f t="shared" ref="AE3:AE58" si="12">IFERROR(AD3/V3,0)</f>
        <v>2361.4006103508673</v>
      </c>
    </row>
    <row r="4" spans="1:31" x14ac:dyDescent="0.3">
      <c r="A4" s="16" t="s">
        <v>13</v>
      </c>
      <c r="B4" s="10">
        <v>236420</v>
      </c>
      <c r="C4" s="11">
        <v>1220</v>
      </c>
      <c r="D4" s="12"/>
      <c r="E4" s="12">
        <v>1540</v>
      </c>
      <c r="F4" s="11"/>
      <c r="G4" s="12"/>
      <c r="H4" s="12"/>
      <c r="I4" s="12"/>
      <c r="J4" s="12">
        <f t="shared" si="0"/>
        <v>2760</v>
      </c>
      <c r="K4" s="12"/>
      <c r="L4" s="12"/>
      <c r="M4" s="12"/>
      <c r="N4" s="13">
        <f t="shared" si="1"/>
        <v>239180</v>
      </c>
      <c r="O4" s="14">
        <f>54000+216000-4000-4000</f>
        <v>262000</v>
      </c>
      <c r="P4" s="18">
        <f>+N4-O4</f>
        <v>-22820</v>
      </c>
      <c r="Q4" s="19"/>
      <c r="R4" s="84">
        <v>10006719</v>
      </c>
      <c r="S4" s="92">
        <f>IFERROR(INDEX([1]Resumen!$K$3:$K$63,MATCH(R4,[1]Resumen!$C$3:$C$63,0)),0)*(1+T4*U4)/1000</f>
        <v>2.0357385678837292</v>
      </c>
      <c r="T4" s="94">
        <v>0.71</v>
      </c>
      <c r="U4" s="94">
        <v>0</v>
      </c>
      <c r="V4" s="96">
        <f t="shared" si="2"/>
        <v>0</v>
      </c>
      <c r="W4" s="97">
        <f t="shared" si="8"/>
        <v>0</v>
      </c>
      <c r="X4" s="102">
        <f t="shared" si="9"/>
        <v>0</v>
      </c>
      <c r="Y4" s="97">
        <f t="shared" si="10"/>
        <v>0</v>
      </c>
      <c r="Z4" s="97">
        <f t="shared" si="11"/>
        <v>0</v>
      </c>
      <c r="AA4" s="97">
        <f t="shared" si="5"/>
        <v>0</v>
      </c>
      <c r="AB4" s="97">
        <v>0</v>
      </c>
      <c r="AC4" s="103">
        <v>0</v>
      </c>
      <c r="AD4" s="98">
        <f t="shared" si="6"/>
        <v>0</v>
      </c>
      <c r="AE4" s="98">
        <f t="shared" si="12"/>
        <v>0</v>
      </c>
    </row>
    <row r="5" spans="1:31" x14ac:dyDescent="0.3">
      <c r="A5" s="16" t="s">
        <v>14</v>
      </c>
      <c r="B5" s="10">
        <v>0</v>
      </c>
      <c r="C5" s="11"/>
      <c r="D5" s="12"/>
      <c r="E5" s="12"/>
      <c r="F5" s="11"/>
      <c r="G5" s="12"/>
      <c r="H5" s="12"/>
      <c r="I5" s="12"/>
      <c r="J5" s="12">
        <f t="shared" si="0"/>
        <v>0</v>
      </c>
      <c r="K5" s="12"/>
      <c r="L5" s="12"/>
      <c r="M5" s="12"/>
      <c r="N5" s="13">
        <f t="shared" si="1"/>
        <v>0</v>
      </c>
      <c r="O5" s="14"/>
      <c r="P5" s="15">
        <f t="shared" si="7"/>
        <v>0</v>
      </c>
      <c r="R5" s="84">
        <v>10006719</v>
      </c>
      <c r="S5" s="92">
        <f>IFERROR(INDEX([1]Resumen!$K$3:$K$63,MATCH(R5,[1]Resumen!$C$3:$C$63,0)),0)*(1+T5*U5)/1000</f>
        <v>2.0357385678837292</v>
      </c>
      <c r="T5" s="94">
        <v>0.71</v>
      </c>
      <c r="U5" s="94">
        <v>0</v>
      </c>
      <c r="V5" s="96">
        <f t="shared" si="2"/>
        <v>0</v>
      </c>
      <c r="W5" s="97">
        <f t="shared" si="8"/>
        <v>0</v>
      </c>
      <c r="X5" s="102">
        <f t="shared" si="9"/>
        <v>0</v>
      </c>
      <c r="Y5" s="97">
        <f t="shared" si="10"/>
        <v>0</v>
      </c>
      <c r="Z5" s="97">
        <f t="shared" si="11"/>
        <v>0</v>
      </c>
      <c r="AA5" s="97">
        <f t="shared" si="5"/>
        <v>0</v>
      </c>
      <c r="AB5" s="97">
        <v>0</v>
      </c>
      <c r="AC5" s="103">
        <v>0</v>
      </c>
      <c r="AD5" s="98">
        <f t="shared" si="6"/>
        <v>0</v>
      </c>
      <c r="AE5" s="98">
        <f t="shared" si="12"/>
        <v>0</v>
      </c>
    </row>
    <row r="6" spans="1:31" x14ac:dyDescent="0.3">
      <c r="A6" s="16" t="s">
        <v>15</v>
      </c>
      <c r="B6" s="10">
        <v>320</v>
      </c>
      <c r="C6" s="11"/>
      <c r="D6" s="11"/>
      <c r="E6" s="11">
        <v>160</v>
      </c>
      <c r="F6" s="11"/>
      <c r="G6" s="12"/>
      <c r="H6" s="12"/>
      <c r="I6" s="12"/>
      <c r="J6" s="12">
        <f t="shared" si="0"/>
        <v>160</v>
      </c>
      <c r="K6" s="12"/>
      <c r="L6" s="12"/>
      <c r="M6" s="12"/>
      <c r="N6" s="13">
        <f t="shared" si="1"/>
        <v>480</v>
      </c>
      <c r="O6" s="14">
        <f>+N6</f>
        <v>480</v>
      </c>
      <c r="P6" s="18">
        <f>+N6-O6</f>
        <v>0</v>
      </c>
      <c r="R6" s="84">
        <v>10006720</v>
      </c>
      <c r="S6" s="92">
        <f>IFERROR(INDEX([1]Resumen!$K$3:$K$63,MATCH(R6,[1]Resumen!$C$3:$C$63,0)),0)*(1+T6*U6)/1000</f>
        <v>1.5292757311252616</v>
      </c>
      <c r="T6" s="94">
        <v>0.71</v>
      </c>
      <c r="U6" s="94">
        <v>0</v>
      </c>
      <c r="V6" s="96">
        <f t="shared" si="2"/>
        <v>0</v>
      </c>
      <c r="W6" s="97">
        <f t="shared" si="8"/>
        <v>0</v>
      </c>
      <c r="X6" s="102">
        <f t="shared" si="9"/>
        <v>0</v>
      </c>
      <c r="Y6" s="97">
        <f t="shared" si="10"/>
        <v>0</v>
      </c>
      <c r="Z6" s="97">
        <f t="shared" si="11"/>
        <v>0</v>
      </c>
      <c r="AA6" s="97">
        <f t="shared" si="5"/>
        <v>0</v>
      </c>
      <c r="AB6" s="97">
        <v>0</v>
      </c>
      <c r="AC6" s="103">
        <v>0</v>
      </c>
      <c r="AD6" s="98">
        <f t="shared" si="6"/>
        <v>0</v>
      </c>
      <c r="AE6" s="98">
        <f t="shared" si="12"/>
        <v>0</v>
      </c>
    </row>
    <row r="7" spans="1:31" x14ac:dyDescent="0.3">
      <c r="A7" s="20" t="s">
        <v>16</v>
      </c>
      <c r="B7" s="10">
        <v>102020</v>
      </c>
      <c r="C7" s="11">
        <v>2440</v>
      </c>
      <c r="D7" s="11"/>
      <c r="E7" s="11">
        <v>2860</v>
      </c>
      <c r="F7" s="11"/>
      <c r="G7" s="12"/>
      <c r="H7" s="12"/>
      <c r="I7" s="12"/>
      <c r="J7" s="12">
        <f t="shared" si="0"/>
        <v>5300</v>
      </c>
      <c r="K7" s="12"/>
      <c r="L7" s="12">
        <f>54000+27000</f>
        <v>81000</v>
      </c>
      <c r="M7" s="12"/>
      <c r="N7" s="13">
        <f t="shared" si="1"/>
        <v>26320</v>
      </c>
      <c r="O7" s="14">
        <f>27000+72000-O6-27000</f>
        <v>71520</v>
      </c>
      <c r="P7" s="18">
        <f>+N7-O7</f>
        <v>-45200</v>
      </c>
      <c r="R7" s="84">
        <v>10006720</v>
      </c>
      <c r="S7" s="92">
        <f>IFERROR(INDEX([1]Resumen!$K$3:$K$63,MATCH(R7,[1]Resumen!$C$3:$C$63,0)),0)*(1+T7*U7)/1000</f>
        <v>1.5292757311252616</v>
      </c>
      <c r="T7" s="94">
        <v>0.71</v>
      </c>
      <c r="U7" s="94">
        <v>0</v>
      </c>
      <c r="V7" s="96">
        <f t="shared" si="2"/>
        <v>0</v>
      </c>
      <c r="W7" s="97">
        <f t="shared" si="8"/>
        <v>0</v>
      </c>
      <c r="X7" s="102">
        <f t="shared" si="9"/>
        <v>0</v>
      </c>
      <c r="Y7" s="97">
        <f t="shared" si="10"/>
        <v>0</v>
      </c>
      <c r="Z7" s="97">
        <f t="shared" si="11"/>
        <v>0</v>
      </c>
      <c r="AA7" s="97">
        <f t="shared" si="5"/>
        <v>0</v>
      </c>
      <c r="AB7" s="97">
        <v>0</v>
      </c>
      <c r="AC7" s="103">
        <v>0</v>
      </c>
      <c r="AD7" s="98">
        <f t="shared" si="6"/>
        <v>0</v>
      </c>
      <c r="AE7" s="98">
        <f t="shared" si="12"/>
        <v>0</v>
      </c>
    </row>
    <row r="8" spans="1:31" x14ac:dyDescent="0.3">
      <c r="A8" s="16" t="s">
        <v>17</v>
      </c>
      <c r="B8" s="10">
        <v>120</v>
      </c>
      <c r="C8" s="11"/>
      <c r="D8" s="12"/>
      <c r="E8" s="12"/>
      <c r="F8" s="11"/>
      <c r="G8" s="12"/>
      <c r="H8" s="12"/>
      <c r="I8" s="12"/>
      <c r="J8" s="12">
        <f t="shared" si="0"/>
        <v>0</v>
      </c>
      <c r="K8" s="12"/>
      <c r="L8" s="12"/>
      <c r="M8" s="12"/>
      <c r="N8" s="13">
        <f t="shared" si="1"/>
        <v>120</v>
      </c>
      <c r="O8" s="14"/>
      <c r="P8" s="15">
        <f>+N8-O8-120</f>
        <v>0</v>
      </c>
      <c r="R8" s="84">
        <v>10006720</v>
      </c>
      <c r="S8" s="92">
        <f>IFERROR(INDEX([1]Resumen!$K$3:$K$63,MATCH(R8,[1]Resumen!$C$3:$C$63,0)),0)*(1+T8*U8)/1000</f>
        <v>1.5292757311252616</v>
      </c>
      <c r="T8" s="94">
        <v>0.71</v>
      </c>
      <c r="U8" s="94">
        <v>0</v>
      </c>
      <c r="V8" s="96">
        <f t="shared" si="2"/>
        <v>0</v>
      </c>
      <c r="W8" s="97">
        <f t="shared" si="8"/>
        <v>0</v>
      </c>
      <c r="X8" s="102">
        <f t="shared" si="9"/>
        <v>0</v>
      </c>
      <c r="Y8" s="97">
        <f t="shared" si="10"/>
        <v>0</v>
      </c>
      <c r="Z8" s="97">
        <f t="shared" si="11"/>
        <v>0</v>
      </c>
      <c r="AA8" s="97">
        <f t="shared" si="5"/>
        <v>0</v>
      </c>
      <c r="AB8" s="97">
        <v>0</v>
      </c>
      <c r="AC8" s="103">
        <v>0</v>
      </c>
      <c r="AD8" s="98">
        <f t="shared" si="6"/>
        <v>0</v>
      </c>
      <c r="AE8" s="98">
        <f t="shared" si="12"/>
        <v>0</v>
      </c>
    </row>
    <row r="9" spans="1:31" x14ac:dyDescent="0.3">
      <c r="A9" s="16" t="s">
        <v>18</v>
      </c>
      <c r="B9" s="10">
        <v>49740</v>
      </c>
      <c r="C9" s="11">
        <v>640</v>
      </c>
      <c r="D9" s="11">
        <v>120</v>
      </c>
      <c r="E9" s="11">
        <v>120</v>
      </c>
      <c r="F9" s="11"/>
      <c r="G9" s="12"/>
      <c r="H9" s="12"/>
      <c r="I9" s="12"/>
      <c r="J9" s="12">
        <f t="shared" si="0"/>
        <v>880</v>
      </c>
      <c r="K9" s="12">
        <v>24400</v>
      </c>
      <c r="L9" s="12"/>
      <c r="M9" s="12"/>
      <c r="N9" s="13">
        <f t="shared" si="1"/>
        <v>26220</v>
      </c>
      <c r="O9" s="14">
        <v>26000</v>
      </c>
      <c r="P9" s="15">
        <f>+N9-O9+160</f>
        <v>380</v>
      </c>
      <c r="R9" s="85">
        <v>10009207</v>
      </c>
      <c r="S9" s="92">
        <f>IFERROR(INDEX([1]Resumen!$K$3:$K$63,MATCH(R9,[1]Resumen!$C$3:$C$63,0)),0)*(1+T9*U9)/1000</f>
        <v>1.5455756063338246</v>
      </c>
      <c r="T9" s="94">
        <v>0.71</v>
      </c>
      <c r="U9" s="94">
        <v>0</v>
      </c>
      <c r="V9" s="96">
        <f t="shared" si="2"/>
        <v>0.38</v>
      </c>
      <c r="W9" s="97">
        <f t="shared" si="8"/>
        <v>587.31873040685332</v>
      </c>
      <c r="X9" s="102">
        <f t="shared" si="9"/>
        <v>78.979200000000006</v>
      </c>
      <c r="Y9" s="97">
        <f t="shared" si="10"/>
        <v>15.096066734074826</v>
      </c>
      <c r="Z9" s="97">
        <f t="shared" si="11"/>
        <v>29.676309403437823</v>
      </c>
      <c r="AA9" s="97">
        <f t="shared" si="5"/>
        <v>23.722979271991914</v>
      </c>
      <c r="AB9" s="97">
        <v>0</v>
      </c>
      <c r="AC9" s="103">
        <v>0</v>
      </c>
      <c r="AD9" s="98">
        <f t="shared" si="6"/>
        <v>711.07030654436596</v>
      </c>
      <c r="AE9" s="98">
        <f t="shared" si="12"/>
        <v>1871.2376488009631</v>
      </c>
    </row>
    <row r="10" spans="1:31" x14ac:dyDescent="0.3">
      <c r="A10" s="16" t="s">
        <v>19</v>
      </c>
      <c r="B10" s="10">
        <v>35660</v>
      </c>
      <c r="C10" s="11">
        <v>2040</v>
      </c>
      <c r="D10" s="12">
        <v>1380</v>
      </c>
      <c r="E10" s="12">
        <v>480</v>
      </c>
      <c r="F10" s="11"/>
      <c r="G10" s="12"/>
      <c r="H10" s="12"/>
      <c r="I10" s="12"/>
      <c r="J10" s="12">
        <f t="shared" si="0"/>
        <v>3900</v>
      </c>
      <c r="K10" s="12"/>
      <c r="L10" s="12"/>
      <c r="M10" s="12"/>
      <c r="N10" s="13">
        <f t="shared" si="1"/>
        <v>39560</v>
      </c>
      <c r="O10" s="14">
        <v>24000</v>
      </c>
      <c r="P10" s="15">
        <f t="shared" si="7"/>
        <v>15560</v>
      </c>
      <c r="R10" s="85">
        <v>10007969</v>
      </c>
      <c r="S10" s="92">
        <f>IFERROR(INDEX([1]Resumen!$K$3:$K$63,MATCH(R10,[1]Resumen!$C$3:$C$63,0)),0)*(1+T10*U10)/1000</f>
        <v>1.4946793794440854</v>
      </c>
      <c r="T10" s="94">
        <v>0.71</v>
      </c>
      <c r="U10" s="94">
        <v>0</v>
      </c>
      <c r="V10" s="96">
        <f t="shared" si="2"/>
        <v>15.56</v>
      </c>
      <c r="W10" s="97">
        <f t="shared" si="8"/>
        <v>23257.211144149969</v>
      </c>
      <c r="X10" s="102">
        <f t="shared" si="9"/>
        <v>3233.9904000000001</v>
      </c>
      <c r="Y10" s="97">
        <f t="shared" si="10"/>
        <v>618.14420626895867</v>
      </c>
      <c r="Z10" s="97">
        <f t="shared" si="11"/>
        <v>1215.1667745197171</v>
      </c>
      <c r="AA10" s="97">
        <f t="shared" si="5"/>
        <v>971.39357229524785</v>
      </c>
      <c r="AB10" s="97">
        <v>0</v>
      </c>
      <c r="AC10" s="103">
        <v>0</v>
      </c>
      <c r="AD10" s="98">
        <f t="shared" si="6"/>
        <v>28324.512524938644</v>
      </c>
      <c r="AE10" s="98">
        <f t="shared" si="12"/>
        <v>1820.3414219112237</v>
      </c>
    </row>
    <row r="11" spans="1:31" x14ac:dyDescent="0.3">
      <c r="A11" s="16" t="s">
        <v>20</v>
      </c>
      <c r="B11" s="10">
        <v>0</v>
      </c>
      <c r="C11" s="11"/>
      <c r="D11" s="12"/>
      <c r="E11" s="12"/>
      <c r="F11" s="11"/>
      <c r="G11" s="12"/>
      <c r="H11" s="12"/>
      <c r="I11" s="12"/>
      <c r="J11" s="12">
        <f t="shared" si="0"/>
        <v>0</v>
      </c>
      <c r="K11" s="12"/>
      <c r="L11" s="12"/>
      <c r="M11" s="12"/>
      <c r="N11" s="13">
        <f t="shared" si="1"/>
        <v>0</v>
      </c>
      <c r="O11" s="14"/>
      <c r="P11" s="15">
        <f t="shared" si="7"/>
        <v>0</v>
      </c>
      <c r="S11" s="92">
        <f>IFERROR(INDEX([1]Resumen!$K$3:$K$63,MATCH(R11,[1]Resumen!$C$3:$C$63,0)),0)*(1+T11*U11)/1000</f>
        <v>0</v>
      </c>
      <c r="U11" s="94">
        <v>0</v>
      </c>
      <c r="V11" s="96">
        <f t="shared" si="2"/>
        <v>0</v>
      </c>
      <c r="W11" s="97">
        <f t="shared" si="8"/>
        <v>0</v>
      </c>
      <c r="X11" s="102">
        <f t="shared" si="9"/>
        <v>0</v>
      </c>
      <c r="Y11" s="97">
        <f t="shared" si="10"/>
        <v>0</v>
      </c>
      <c r="Z11" s="97">
        <f t="shared" si="11"/>
        <v>0</v>
      </c>
      <c r="AA11" s="97">
        <f t="shared" si="5"/>
        <v>0</v>
      </c>
      <c r="AB11" s="97">
        <v>0</v>
      </c>
      <c r="AC11" s="103">
        <v>0</v>
      </c>
      <c r="AD11" s="98">
        <f t="shared" si="6"/>
        <v>0</v>
      </c>
      <c r="AE11" s="98">
        <f t="shared" si="12"/>
        <v>0</v>
      </c>
    </row>
    <row r="12" spans="1:31" x14ac:dyDescent="0.3">
      <c r="A12" s="16" t="s">
        <v>21</v>
      </c>
      <c r="B12" s="10">
        <v>0</v>
      </c>
      <c r="C12" s="11"/>
      <c r="D12" s="12"/>
      <c r="E12" s="12"/>
      <c r="F12" s="11"/>
      <c r="G12" s="12"/>
      <c r="H12" s="12"/>
      <c r="I12" s="12"/>
      <c r="J12" s="12">
        <f t="shared" si="0"/>
        <v>0</v>
      </c>
      <c r="K12" s="12"/>
      <c r="L12" s="12"/>
      <c r="M12" s="12"/>
      <c r="N12" s="13">
        <f t="shared" si="1"/>
        <v>0</v>
      </c>
      <c r="O12" s="14"/>
      <c r="P12" s="15">
        <f t="shared" si="7"/>
        <v>0</v>
      </c>
      <c r="S12" s="92">
        <f>IFERROR(INDEX([1]Resumen!$K$3:$K$63,MATCH(R12,[1]Resumen!$C$3:$C$63,0)),0)*(1+T12*U12)/1000</f>
        <v>0</v>
      </c>
      <c r="U12" s="94">
        <v>0</v>
      </c>
      <c r="V12" s="96">
        <f t="shared" si="2"/>
        <v>0</v>
      </c>
      <c r="W12" s="97">
        <f t="shared" si="8"/>
        <v>0</v>
      </c>
      <c r="X12" s="102">
        <f t="shared" si="9"/>
        <v>0</v>
      </c>
      <c r="Y12" s="97">
        <f t="shared" si="10"/>
        <v>0</v>
      </c>
      <c r="Z12" s="97">
        <f t="shared" si="11"/>
        <v>0</v>
      </c>
      <c r="AA12" s="97">
        <f t="shared" si="5"/>
        <v>0</v>
      </c>
      <c r="AB12" s="97">
        <v>0</v>
      </c>
      <c r="AC12" s="103">
        <v>0</v>
      </c>
      <c r="AD12" s="98">
        <f t="shared" si="6"/>
        <v>0</v>
      </c>
      <c r="AE12" s="98">
        <f t="shared" si="12"/>
        <v>0</v>
      </c>
    </row>
    <row r="13" spans="1:31" x14ac:dyDescent="0.3">
      <c r="A13" s="16" t="s">
        <v>22</v>
      </c>
      <c r="B13" s="10">
        <v>0</v>
      </c>
      <c r="C13" s="11"/>
      <c r="D13" s="12"/>
      <c r="E13" s="12"/>
      <c r="F13" s="11"/>
      <c r="G13" s="12"/>
      <c r="H13" s="12"/>
      <c r="I13" s="12"/>
      <c r="J13" s="12">
        <f t="shared" si="0"/>
        <v>0</v>
      </c>
      <c r="K13" s="12"/>
      <c r="L13" s="12"/>
      <c r="M13" s="12"/>
      <c r="N13" s="13">
        <f t="shared" si="1"/>
        <v>0</v>
      </c>
      <c r="O13" s="14"/>
      <c r="P13" s="15">
        <f>+N13-O13</f>
        <v>0</v>
      </c>
      <c r="S13" s="92">
        <f>IFERROR(INDEX([1]Resumen!$K$3:$K$63,MATCH(R13,[1]Resumen!$C$3:$C$63,0)),0)*(1+T13*U13)/1000</f>
        <v>0</v>
      </c>
      <c r="U13" s="94">
        <v>0</v>
      </c>
      <c r="V13" s="96">
        <f t="shared" si="2"/>
        <v>0</v>
      </c>
      <c r="W13" s="97">
        <f t="shared" si="8"/>
        <v>0</v>
      </c>
      <c r="X13" s="102">
        <f t="shared" si="9"/>
        <v>0</v>
      </c>
      <c r="Y13" s="97">
        <f t="shared" si="10"/>
        <v>0</v>
      </c>
      <c r="Z13" s="97">
        <f t="shared" si="11"/>
        <v>0</v>
      </c>
      <c r="AA13" s="97">
        <f t="shared" si="5"/>
        <v>0</v>
      </c>
      <c r="AB13" s="97">
        <v>0</v>
      </c>
      <c r="AC13" s="103">
        <v>0</v>
      </c>
      <c r="AD13" s="98">
        <f t="shared" si="6"/>
        <v>0</v>
      </c>
      <c r="AE13" s="98">
        <f t="shared" si="12"/>
        <v>0</v>
      </c>
    </row>
    <row r="14" spans="1:31" x14ac:dyDescent="0.3">
      <c r="A14" s="16" t="s">
        <v>23</v>
      </c>
      <c r="B14" s="10">
        <v>0</v>
      </c>
      <c r="C14" s="11"/>
      <c r="D14" s="12"/>
      <c r="E14" s="12"/>
      <c r="F14" s="11"/>
      <c r="G14" s="12"/>
      <c r="H14" s="12"/>
      <c r="I14" s="12"/>
      <c r="J14" s="12">
        <f t="shared" si="0"/>
        <v>0</v>
      </c>
      <c r="K14" s="12"/>
      <c r="L14" s="12"/>
      <c r="M14" s="12"/>
      <c r="N14" s="13">
        <f t="shared" si="1"/>
        <v>0</v>
      </c>
      <c r="O14" s="14"/>
      <c r="P14" s="18">
        <f>+N14-O14</f>
        <v>0</v>
      </c>
      <c r="S14" s="92">
        <f>IFERROR(INDEX([1]Resumen!$K$3:$K$63,MATCH(R14,[1]Resumen!$C$3:$C$63,0)),0)*(1+T14*U14)/1000</f>
        <v>0</v>
      </c>
      <c r="U14" s="94">
        <v>0</v>
      </c>
      <c r="V14" s="96">
        <f t="shared" si="2"/>
        <v>0</v>
      </c>
      <c r="W14" s="97">
        <f t="shared" si="8"/>
        <v>0</v>
      </c>
      <c r="X14" s="102">
        <f t="shared" si="9"/>
        <v>0</v>
      </c>
      <c r="Y14" s="97">
        <f t="shared" si="10"/>
        <v>0</v>
      </c>
      <c r="Z14" s="97">
        <f t="shared" si="11"/>
        <v>0</v>
      </c>
      <c r="AA14" s="97">
        <f t="shared" si="5"/>
        <v>0</v>
      </c>
      <c r="AB14" s="97">
        <v>0</v>
      </c>
      <c r="AC14" s="103">
        <v>0</v>
      </c>
      <c r="AD14" s="98">
        <f t="shared" si="6"/>
        <v>0</v>
      </c>
      <c r="AE14" s="98">
        <f t="shared" si="12"/>
        <v>0</v>
      </c>
    </row>
    <row r="15" spans="1:31" x14ac:dyDescent="0.3">
      <c r="A15" s="16" t="s">
        <v>24</v>
      </c>
      <c r="B15" s="10">
        <v>0</v>
      </c>
      <c r="C15" s="11"/>
      <c r="D15" s="12"/>
      <c r="E15" s="12"/>
      <c r="F15" s="11"/>
      <c r="G15" s="12"/>
      <c r="H15" s="12"/>
      <c r="I15" s="12"/>
      <c r="J15" s="12">
        <f t="shared" si="0"/>
        <v>0</v>
      </c>
      <c r="K15" s="12"/>
      <c r="L15" s="12"/>
      <c r="M15" s="12"/>
      <c r="N15" s="13">
        <f t="shared" si="1"/>
        <v>0</v>
      </c>
      <c r="O15" s="14"/>
      <c r="P15" s="18">
        <f>+N15-O15</f>
        <v>0</v>
      </c>
      <c r="S15" s="92">
        <f>IFERROR(INDEX([1]Resumen!$K$3:$K$63,MATCH(R15,[1]Resumen!$C$3:$C$63,0)),0)*(1+T15*U15)/1000</f>
        <v>0</v>
      </c>
      <c r="U15" s="94">
        <v>0</v>
      </c>
      <c r="V15" s="96">
        <f t="shared" si="2"/>
        <v>0</v>
      </c>
      <c r="W15" s="97">
        <f t="shared" si="8"/>
        <v>0</v>
      </c>
      <c r="X15" s="102">
        <f t="shared" si="9"/>
        <v>0</v>
      </c>
      <c r="Y15" s="97">
        <f t="shared" si="10"/>
        <v>0</v>
      </c>
      <c r="Z15" s="97">
        <f t="shared" si="11"/>
        <v>0</v>
      </c>
      <c r="AA15" s="97">
        <f t="shared" si="5"/>
        <v>0</v>
      </c>
      <c r="AB15" s="97">
        <v>0</v>
      </c>
      <c r="AC15" s="103">
        <v>0</v>
      </c>
      <c r="AD15" s="98">
        <f t="shared" si="6"/>
        <v>0</v>
      </c>
      <c r="AE15" s="98">
        <f t="shared" si="12"/>
        <v>0</v>
      </c>
    </row>
    <row r="16" spans="1:31" x14ac:dyDescent="0.3">
      <c r="A16" s="21" t="s">
        <v>25</v>
      </c>
      <c r="B16" s="10">
        <v>1380</v>
      </c>
      <c r="C16" s="11"/>
      <c r="D16" s="12"/>
      <c r="E16" s="12"/>
      <c r="F16" s="11"/>
      <c r="G16" s="12"/>
      <c r="H16" s="12"/>
      <c r="I16" s="12"/>
      <c r="J16" s="12">
        <f t="shared" si="0"/>
        <v>0</v>
      </c>
      <c r="K16" s="12"/>
      <c r="L16" s="12"/>
      <c r="M16" s="12"/>
      <c r="N16" s="13">
        <f t="shared" si="1"/>
        <v>1380</v>
      </c>
      <c r="O16" s="14"/>
      <c r="P16" s="15">
        <f t="shared" si="7"/>
        <v>1380</v>
      </c>
      <c r="R16" s="86">
        <v>10005721</v>
      </c>
      <c r="S16" s="92">
        <f>IFERROR(INDEX([1]Resumen!$K$3:$K$63,MATCH(R16,[1]Resumen!$C$3:$C$63,0)),0)*(1+T16*U16)/1000</f>
        <v>2.136686783363865</v>
      </c>
      <c r="T16" s="93">
        <v>0.67</v>
      </c>
      <c r="U16" s="94">
        <v>0</v>
      </c>
      <c r="V16" s="96">
        <f t="shared" si="2"/>
        <v>1.38</v>
      </c>
      <c r="W16" s="97">
        <f t="shared" si="8"/>
        <v>2948.6277610421334</v>
      </c>
      <c r="X16" s="102">
        <f t="shared" si="9"/>
        <v>286.81919999999997</v>
      </c>
      <c r="Y16" s="97">
        <f t="shared" si="10"/>
        <v>54.822558139534891</v>
      </c>
      <c r="Z16" s="97">
        <f t="shared" si="11"/>
        <v>107.77186046511629</v>
      </c>
      <c r="AA16" s="97">
        <f t="shared" si="5"/>
        <v>86.151872093023258</v>
      </c>
      <c r="AB16" s="97">
        <v>0</v>
      </c>
      <c r="AC16" s="103">
        <v>0</v>
      </c>
      <c r="AD16" s="98">
        <f t="shared" si="6"/>
        <v>3398.0413796467847</v>
      </c>
      <c r="AE16" s="98">
        <f t="shared" si="12"/>
        <v>2462.3488258310035</v>
      </c>
    </row>
    <row r="17" spans="1:31" x14ac:dyDescent="0.3">
      <c r="A17" s="21" t="s">
        <v>26</v>
      </c>
      <c r="B17" s="10">
        <v>1920</v>
      </c>
      <c r="C17" s="11"/>
      <c r="D17" s="12"/>
      <c r="E17" s="12"/>
      <c r="F17" s="11"/>
      <c r="G17" s="12"/>
      <c r="H17" s="12"/>
      <c r="I17" s="12"/>
      <c r="J17" s="12">
        <f t="shared" si="0"/>
        <v>0</v>
      </c>
      <c r="K17" s="12"/>
      <c r="L17" s="12"/>
      <c r="M17" s="12"/>
      <c r="N17" s="13">
        <f t="shared" si="1"/>
        <v>1920</v>
      </c>
      <c r="O17" s="14"/>
      <c r="P17" s="15">
        <f t="shared" si="7"/>
        <v>1920</v>
      </c>
      <c r="R17" s="86">
        <v>10005721</v>
      </c>
      <c r="S17" s="92">
        <f>IFERROR(INDEX([1]Resumen!$K$3:$K$63,MATCH(R17,[1]Resumen!$C$3:$C$63,0)),0)*(1+T17*U17)/1000</f>
        <v>2.136686783363865</v>
      </c>
      <c r="T17" s="94">
        <v>0.67</v>
      </c>
      <c r="U17" s="94">
        <v>0</v>
      </c>
      <c r="V17" s="96">
        <f t="shared" si="2"/>
        <v>1.92</v>
      </c>
      <c r="W17" s="97">
        <f t="shared" si="8"/>
        <v>4102.4386240586209</v>
      </c>
      <c r="X17" s="102">
        <f t="shared" si="9"/>
        <v>399.05279999999999</v>
      </c>
      <c r="Y17" s="97">
        <f t="shared" si="10"/>
        <v>76.274863498483327</v>
      </c>
      <c r="Z17" s="97">
        <f t="shared" si="11"/>
        <v>149.94345803842268</v>
      </c>
      <c r="AA17" s="97">
        <f t="shared" si="5"/>
        <v>119.8634742163802</v>
      </c>
      <c r="AB17" s="97">
        <v>0</v>
      </c>
      <c r="AC17" s="103">
        <v>0</v>
      </c>
      <c r="AD17" s="98">
        <f t="shared" si="6"/>
        <v>4727.7097455955272</v>
      </c>
      <c r="AE17" s="98">
        <f t="shared" si="12"/>
        <v>2462.348825831004</v>
      </c>
    </row>
    <row r="18" spans="1:31" x14ac:dyDescent="0.3">
      <c r="A18" s="21" t="s">
        <v>27</v>
      </c>
      <c r="B18" s="10">
        <v>13100</v>
      </c>
      <c r="C18" s="11"/>
      <c r="D18" s="12"/>
      <c r="E18" s="12"/>
      <c r="F18" s="11"/>
      <c r="G18" s="12"/>
      <c r="H18" s="12"/>
      <c r="I18" s="12"/>
      <c r="J18" s="12">
        <f t="shared" si="0"/>
        <v>0</v>
      </c>
      <c r="K18" s="12"/>
      <c r="L18" s="12"/>
      <c r="M18" s="12"/>
      <c r="N18" s="13">
        <f t="shared" si="1"/>
        <v>13100</v>
      </c>
      <c r="O18" s="14"/>
      <c r="P18" s="15">
        <f t="shared" si="7"/>
        <v>13100</v>
      </c>
      <c r="R18" s="86">
        <v>10005721</v>
      </c>
      <c r="S18" s="92">
        <f>IFERROR(INDEX([1]Resumen!$K$3:$K$63,MATCH(R18,[1]Resumen!$C$3:$C$63,0)),0)*(1+T18*U18)/1000</f>
        <v>2.136686783363865</v>
      </c>
      <c r="T18" s="94">
        <v>0.67</v>
      </c>
      <c r="U18" s="94">
        <v>0</v>
      </c>
      <c r="V18" s="96">
        <f t="shared" si="2"/>
        <v>13.1</v>
      </c>
      <c r="W18" s="97">
        <f t="shared" si="8"/>
        <v>27990.596862066632</v>
      </c>
      <c r="X18" s="102">
        <f t="shared" si="9"/>
        <v>2722.7040000000002</v>
      </c>
      <c r="Y18" s="97">
        <f t="shared" si="10"/>
        <v>520.41703741152685</v>
      </c>
      <c r="Z18" s="97">
        <f t="shared" si="11"/>
        <v>1023.0517189079881</v>
      </c>
      <c r="AA18" s="97">
        <f t="shared" si="5"/>
        <v>817.81849595551068</v>
      </c>
      <c r="AB18" s="97">
        <v>0</v>
      </c>
      <c r="AC18" s="103">
        <v>0</v>
      </c>
      <c r="AD18" s="98">
        <f t="shared" si="6"/>
        <v>32256.769618386148</v>
      </c>
      <c r="AE18" s="98">
        <f t="shared" si="12"/>
        <v>2462.3488258310035</v>
      </c>
    </row>
    <row r="19" spans="1:31" x14ac:dyDescent="0.3">
      <c r="A19" s="16" t="s">
        <v>28</v>
      </c>
      <c r="B19" s="10">
        <v>1060</v>
      </c>
      <c r="C19" s="11"/>
      <c r="D19" s="12"/>
      <c r="E19" s="12"/>
      <c r="F19" s="11"/>
      <c r="G19" s="12"/>
      <c r="H19" s="12"/>
      <c r="I19" s="12"/>
      <c r="J19" s="12">
        <f t="shared" si="0"/>
        <v>0</v>
      </c>
      <c r="K19" s="12"/>
      <c r="L19" s="12"/>
      <c r="M19" s="12"/>
      <c r="N19" s="13">
        <f t="shared" si="1"/>
        <v>1060</v>
      </c>
      <c r="O19" s="14"/>
      <c r="P19" s="15">
        <f t="shared" si="7"/>
        <v>1060</v>
      </c>
      <c r="R19" s="86">
        <v>10005721</v>
      </c>
      <c r="S19" s="92">
        <f>IFERROR(INDEX([1]Resumen!$K$3:$K$63,MATCH(R19,[1]Resumen!$C$3:$C$63,0)),0)*(1+T19*U19)/1000</f>
        <v>2.136686783363865</v>
      </c>
      <c r="T19" s="94">
        <v>0.67</v>
      </c>
      <c r="U19" s="94">
        <v>0</v>
      </c>
      <c r="V19" s="96">
        <f t="shared" si="2"/>
        <v>1.06</v>
      </c>
      <c r="W19" s="97">
        <f t="shared" si="8"/>
        <v>2264.8879903656971</v>
      </c>
      <c r="X19" s="102">
        <f t="shared" si="9"/>
        <v>220.31040000000002</v>
      </c>
      <c r="Y19" s="97">
        <f t="shared" si="10"/>
        <v>42.110080889787675</v>
      </c>
      <c r="Z19" s="97">
        <f t="shared" si="11"/>
        <v>82.781284125379187</v>
      </c>
      <c r="AA19" s="97">
        <f t="shared" si="5"/>
        <v>66.174626390293241</v>
      </c>
      <c r="AB19" s="97">
        <v>0</v>
      </c>
      <c r="AC19" s="103">
        <v>0</v>
      </c>
      <c r="AD19" s="98">
        <f t="shared" si="6"/>
        <v>2610.0897553808636</v>
      </c>
      <c r="AE19" s="98">
        <f t="shared" si="12"/>
        <v>2462.3488258310031</v>
      </c>
    </row>
    <row r="20" spans="1:31" x14ac:dyDescent="0.3">
      <c r="A20" s="9" t="s">
        <v>29</v>
      </c>
      <c r="B20" s="10">
        <v>221640</v>
      </c>
      <c r="C20" s="11">
        <v>19580</v>
      </c>
      <c r="D20" s="11">
        <v>9360</v>
      </c>
      <c r="E20" s="11">
        <v>3380</v>
      </c>
      <c r="F20" s="11"/>
      <c r="G20" s="12"/>
      <c r="H20" s="12"/>
      <c r="I20" s="12"/>
      <c r="J20" s="12">
        <f t="shared" si="0"/>
        <v>32320</v>
      </c>
      <c r="K20" s="12"/>
      <c r="L20" s="12"/>
      <c r="M20" s="12"/>
      <c r="N20" s="13">
        <f t="shared" si="1"/>
        <v>253960</v>
      </c>
      <c r="O20" s="14"/>
      <c r="P20" s="17">
        <f t="shared" si="7"/>
        <v>253960</v>
      </c>
      <c r="R20" s="86">
        <v>10005721</v>
      </c>
      <c r="S20" s="92">
        <f>IFERROR(INDEX([1]Resumen!$K$3:$K$63,MATCH(R20,[1]Resumen!$C$3:$C$63,0)),0)*(1+T20*U20)/1000</f>
        <v>2.136686783363865</v>
      </c>
      <c r="T20" s="94">
        <v>0.67</v>
      </c>
      <c r="U20" s="94">
        <v>0</v>
      </c>
      <c r="V20" s="96">
        <f t="shared" si="2"/>
        <v>253.96</v>
      </c>
      <c r="W20" s="97">
        <f t="shared" si="8"/>
        <v>542632.97550308716</v>
      </c>
      <c r="X20" s="102">
        <f t="shared" si="9"/>
        <v>52783.046399999999</v>
      </c>
      <c r="Y20" s="97">
        <f t="shared" si="10"/>
        <v>10088.93975733064</v>
      </c>
      <c r="Z20" s="97">
        <f t="shared" si="11"/>
        <v>19833.146147623866</v>
      </c>
      <c r="AA20" s="97">
        <f t="shared" si="5"/>
        <v>15854.441620829124</v>
      </c>
      <c r="AB20" s="97">
        <v>0</v>
      </c>
      <c r="AC20" s="103">
        <v>0</v>
      </c>
      <c r="AD20" s="98">
        <f t="shared" si="6"/>
        <v>625338.10780804174</v>
      </c>
      <c r="AE20" s="98">
        <f t="shared" si="12"/>
        <v>2462.348825831004</v>
      </c>
    </row>
    <row r="21" spans="1:31" x14ac:dyDescent="0.3">
      <c r="A21" s="16" t="s">
        <v>30</v>
      </c>
      <c r="B21" s="10">
        <v>11320</v>
      </c>
      <c r="C21" s="11"/>
      <c r="D21" s="11"/>
      <c r="E21" s="11"/>
      <c r="F21" s="11"/>
      <c r="G21" s="12"/>
      <c r="H21" s="12"/>
      <c r="I21" s="12"/>
      <c r="J21" s="12">
        <f t="shared" si="0"/>
        <v>0</v>
      </c>
      <c r="K21" s="12"/>
      <c r="L21" s="12"/>
      <c r="M21" s="12"/>
      <c r="N21" s="13">
        <f t="shared" si="1"/>
        <v>11320</v>
      </c>
      <c r="O21" s="14"/>
      <c r="P21" s="15">
        <f t="shared" si="7"/>
        <v>11320</v>
      </c>
      <c r="R21" s="86">
        <v>10005721</v>
      </c>
      <c r="S21" s="92">
        <f>IFERROR(INDEX([1]Resumen!$K$3:$K$63,MATCH(R21,[1]Resumen!$C$3:$C$63,0)),0)*(1+T21*U21)/1000</f>
        <v>2.136686783363865</v>
      </c>
      <c r="T21" s="94">
        <v>0.67</v>
      </c>
      <c r="U21" s="94">
        <v>0</v>
      </c>
      <c r="V21" s="96">
        <f t="shared" si="2"/>
        <v>11.32</v>
      </c>
      <c r="W21" s="97">
        <f t="shared" si="8"/>
        <v>24187.294387678954</v>
      </c>
      <c r="X21" s="102">
        <f t="shared" si="9"/>
        <v>2352.7488000000003</v>
      </c>
      <c r="Y21" s="97">
        <f t="shared" si="10"/>
        <v>449.70388270980794</v>
      </c>
      <c r="Z21" s="97">
        <f t="shared" si="11"/>
        <v>884.04163801820039</v>
      </c>
      <c r="AA21" s="97">
        <f t="shared" si="5"/>
        <v>706.695066734075</v>
      </c>
      <c r="AB21" s="97">
        <v>0</v>
      </c>
      <c r="AC21" s="103">
        <v>0</v>
      </c>
      <c r="AD21" s="98">
        <f t="shared" si="6"/>
        <v>27873.788708406963</v>
      </c>
      <c r="AE21" s="98">
        <f t="shared" si="12"/>
        <v>2462.3488258310035</v>
      </c>
    </row>
    <row r="22" spans="1:31" x14ac:dyDescent="0.3">
      <c r="A22" s="16" t="s">
        <v>31</v>
      </c>
      <c r="B22" s="10">
        <v>316740</v>
      </c>
      <c r="C22" s="11">
        <v>280</v>
      </c>
      <c r="D22" s="11">
        <v>460</v>
      </c>
      <c r="E22" s="11">
        <v>200</v>
      </c>
      <c r="F22" s="11"/>
      <c r="G22" s="12"/>
      <c r="H22" s="12"/>
      <c r="I22" s="12"/>
      <c r="J22" s="12">
        <f t="shared" si="0"/>
        <v>940</v>
      </c>
      <c r="K22" s="12">
        <v>216000</v>
      </c>
      <c r="L22" s="12">
        <f>78000+27000</f>
        <v>105000</v>
      </c>
      <c r="M22" s="12"/>
      <c r="N22" s="13">
        <f>+J22+B22-K22-L22-M22+N24-O24</f>
        <v>22440</v>
      </c>
      <c r="O22" s="14">
        <f>24000+108000-27000</f>
        <v>105000</v>
      </c>
      <c r="P22" s="18">
        <f t="shared" si="7"/>
        <v>-82560</v>
      </c>
      <c r="Q22" s="22"/>
      <c r="R22" s="86">
        <v>10005721</v>
      </c>
      <c r="S22" s="92">
        <f>IFERROR(INDEX([1]Resumen!$K$3:$K$63,MATCH(R22,[1]Resumen!$C$3:$C$63,0)),0)*(1+T22*U22)/1000</f>
        <v>2.136686783363865</v>
      </c>
      <c r="T22" s="94">
        <v>0.67</v>
      </c>
      <c r="U22" s="94">
        <v>0</v>
      </c>
      <c r="V22" s="96">
        <f t="shared" si="2"/>
        <v>0</v>
      </c>
      <c r="W22" s="97">
        <f t="shared" si="8"/>
        <v>0</v>
      </c>
      <c r="X22" s="102">
        <f t="shared" si="9"/>
        <v>0</v>
      </c>
      <c r="Y22" s="97">
        <f t="shared" si="10"/>
        <v>0</v>
      </c>
      <c r="Z22" s="97">
        <f t="shared" si="11"/>
        <v>0</v>
      </c>
      <c r="AA22" s="97">
        <f t="shared" si="5"/>
        <v>0</v>
      </c>
      <c r="AB22" s="97">
        <v>0</v>
      </c>
      <c r="AC22" s="103">
        <v>0</v>
      </c>
      <c r="AD22" s="98">
        <f t="shared" si="6"/>
        <v>0</v>
      </c>
      <c r="AE22" s="98">
        <f t="shared" si="12"/>
        <v>0</v>
      </c>
    </row>
    <row r="23" spans="1:31" x14ac:dyDescent="0.3">
      <c r="A23" s="23" t="s">
        <v>32</v>
      </c>
      <c r="B23" s="10">
        <v>4340</v>
      </c>
      <c r="C23" s="11"/>
      <c r="D23" s="11"/>
      <c r="E23" s="11"/>
      <c r="F23" s="11"/>
      <c r="G23" s="12"/>
      <c r="H23" s="12"/>
      <c r="I23" s="12"/>
      <c r="J23" s="12">
        <f t="shared" si="0"/>
        <v>0</v>
      </c>
      <c r="K23" s="12">
        <v>4340</v>
      </c>
      <c r="L23" s="12"/>
      <c r="M23" s="12"/>
      <c r="N23" s="13">
        <f t="shared" ref="N23:N52" si="13">+J23+B23-K23-L23-M23</f>
        <v>0</v>
      </c>
      <c r="O23" s="14"/>
      <c r="P23" s="17">
        <f t="shared" si="7"/>
        <v>0</v>
      </c>
      <c r="R23" s="86">
        <v>10005721</v>
      </c>
      <c r="S23" s="92">
        <f>IFERROR(INDEX([1]Resumen!$K$3:$K$63,MATCH(R23,[1]Resumen!$C$3:$C$63,0)),0)*(1+T23*U23)/1000</f>
        <v>2.136686783363865</v>
      </c>
      <c r="T23" s="94">
        <v>0.67</v>
      </c>
      <c r="U23" s="94">
        <v>0</v>
      </c>
      <c r="V23" s="96">
        <f t="shared" si="2"/>
        <v>0</v>
      </c>
      <c r="W23" s="97">
        <f t="shared" si="8"/>
        <v>0</v>
      </c>
      <c r="X23" s="102">
        <f t="shared" si="9"/>
        <v>0</v>
      </c>
      <c r="Y23" s="97">
        <f t="shared" si="10"/>
        <v>0</v>
      </c>
      <c r="Z23" s="97">
        <f t="shared" si="11"/>
        <v>0</v>
      </c>
      <c r="AA23" s="97">
        <f t="shared" si="5"/>
        <v>0</v>
      </c>
      <c r="AB23" s="97">
        <v>0</v>
      </c>
      <c r="AC23" s="103">
        <v>0</v>
      </c>
      <c r="AD23" s="98">
        <f t="shared" si="6"/>
        <v>0</v>
      </c>
      <c r="AE23" s="98">
        <f t="shared" si="12"/>
        <v>0</v>
      </c>
    </row>
    <row r="24" spans="1:31" x14ac:dyDescent="0.3">
      <c r="A24" s="23" t="s">
        <v>33</v>
      </c>
      <c r="B24" s="10">
        <v>73380</v>
      </c>
      <c r="C24" s="24">
        <v>40</v>
      </c>
      <c r="D24" s="11"/>
      <c r="E24" s="11"/>
      <c r="F24" s="11"/>
      <c r="G24" s="12"/>
      <c r="H24" s="12"/>
      <c r="I24" s="12"/>
      <c r="J24" s="12">
        <f t="shared" si="0"/>
        <v>40</v>
      </c>
      <c r="K24" s="12">
        <v>47660</v>
      </c>
      <c r="L24" s="12"/>
      <c r="M24" s="12"/>
      <c r="N24" s="13">
        <f t="shared" si="13"/>
        <v>25760</v>
      </c>
      <c r="O24" s="14"/>
      <c r="P24" s="17">
        <v>0</v>
      </c>
      <c r="R24" s="86">
        <v>10005721</v>
      </c>
      <c r="S24" s="92">
        <f>IFERROR(INDEX([1]Resumen!$K$3:$K$63,MATCH(R24,[1]Resumen!$C$3:$C$63,0)),0)*(1+T24*U24)/1000</f>
        <v>2.136686783363865</v>
      </c>
      <c r="T24" s="94">
        <v>0.67</v>
      </c>
      <c r="U24" s="94">
        <v>0</v>
      </c>
      <c r="V24" s="96">
        <f t="shared" si="2"/>
        <v>0</v>
      </c>
      <c r="W24" s="97">
        <f t="shared" si="8"/>
        <v>0</v>
      </c>
      <c r="X24" s="102">
        <f t="shared" si="9"/>
        <v>0</v>
      </c>
      <c r="Y24" s="97">
        <f t="shared" si="10"/>
        <v>0</v>
      </c>
      <c r="Z24" s="97">
        <f t="shared" si="11"/>
        <v>0</v>
      </c>
      <c r="AA24" s="97">
        <f t="shared" si="5"/>
        <v>0</v>
      </c>
      <c r="AB24" s="97">
        <v>0</v>
      </c>
      <c r="AC24" s="103">
        <v>0</v>
      </c>
      <c r="AD24" s="98">
        <f t="shared" si="6"/>
        <v>0</v>
      </c>
      <c r="AE24" s="98">
        <f t="shared" si="12"/>
        <v>0</v>
      </c>
    </row>
    <row r="25" spans="1:31" x14ac:dyDescent="0.3">
      <c r="A25" s="23" t="s">
        <v>34</v>
      </c>
      <c r="B25" s="10">
        <v>0</v>
      </c>
      <c r="C25" s="11"/>
      <c r="D25" s="11"/>
      <c r="E25" s="11"/>
      <c r="F25" s="11"/>
      <c r="G25" s="12"/>
      <c r="H25" s="12"/>
      <c r="I25" s="12"/>
      <c r="J25" s="12">
        <f t="shared" si="0"/>
        <v>0</v>
      </c>
      <c r="K25" s="12"/>
      <c r="L25" s="12"/>
      <c r="M25" s="12"/>
      <c r="N25" s="13">
        <f t="shared" si="13"/>
        <v>0</v>
      </c>
      <c r="O25" s="14">
        <f>+N25</f>
        <v>0</v>
      </c>
      <c r="P25" s="17">
        <f>+N25-O25</f>
        <v>0</v>
      </c>
      <c r="R25" s="86">
        <v>10005721</v>
      </c>
      <c r="S25" s="92">
        <f>IFERROR(INDEX([1]Resumen!$K$3:$K$63,MATCH(R25,[1]Resumen!$C$3:$C$63,0)),0)*(1+T25*U25)/1000</f>
        <v>2.136686783363865</v>
      </c>
      <c r="T25" s="94">
        <v>0.67</v>
      </c>
      <c r="U25" s="94">
        <v>0</v>
      </c>
      <c r="V25" s="96">
        <f t="shared" si="2"/>
        <v>0</v>
      </c>
      <c r="W25" s="97">
        <f t="shared" si="8"/>
        <v>0</v>
      </c>
      <c r="X25" s="102">
        <f t="shared" si="9"/>
        <v>0</v>
      </c>
      <c r="Y25" s="97">
        <f t="shared" si="10"/>
        <v>0</v>
      </c>
      <c r="Z25" s="97">
        <f t="shared" si="11"/>
        <v>0</v>
      </c>
      <c r="AA25" s="97">
        <f t="shared" si="5"/>
        <v>0</v>
      </c>
      <c r="AB25" s="97">
        <v>0</v>
      </c>
      <c r="AC25" s="103">
        <v>0</v>
      </c>
      <c r="AD25" s="98">
        <f t="shared" si="6"/>
        <v>0</v>
      </c>
      <c r="AE25" s="98">
        <f t="shared" si="12"/>
        <v>0</v>
      </c>
    </row>
    <row r="26" spans="1:31" x14ac:dyDescent="0.3">
      <c r="A26" s="9" t="s">
        <v>35</v>
      </c>
      <c r="B26" s="10">
        <v>3200</v>
      </c>
      <c r="C26" s="11"/>
      <c r="D26" s="11"/>
      <c r="E26" s="11"/>
      <c r="F26" s="11"/>
      <c r="G26" s="12"/>
      <c r="H26" s="12"/>
      <c r="I26" s="12"/>
      <c r="J26" s="12">
        <f t="shared" si="0"/>
        <v>0</v>
      </c>
      <c r="K26" s="12"/>
      <c r="L26" s="12"/>
      <c r="M26" s="12"/>
      <c r="N26" s="13">
        <f t="shared" si="13"/>
        <v>3200</v>
      </c>
      <c r="O26" s="14"/>
      <c r="P26" s="17">
        <f>+N26-O26</f>
        <v>3200</v>
      </c>
      <c r="R26" s="86">
        <v>10005721</v>
      </c>
      <c r="S26" s="92">
        <f>IFERROR(INDEX([1]Resumen!$K$3:$K$63,MATCH(R26,[1]Resumen!$C$3:$C$63,0)),0)*(1+T26*U26)/1000</f>
        <v>2.136686783363865</v>
      </c>
      <c r="T26" s="94">
        <v>0.67</v>
      </c>
      <c r="U26" s="94">
        <v>0</v>
      </c>
      <c r="V26" s="96">
        <f t="shared" si="2"/>
        <v>3.2</v>
      </c>
      <c r="W26" s="97">
        <f t="shared" si="8"/>
        <v>6837.3977067643682</v>
      </c>
      <c r="X26" s="102">
        <f t="shared" si="9"/>
        <v>665.08800000000008</v>
      </c>
      <c r="Y26" s="97">
        <f t="shared" si="10"/>
        <v>127.12477249747222</v>
      </c>
      <c r="Z26" s="97">
        <f t="shared" si="11"/>
        <v>249.90576339737115</v>
      </c>
      <c r="AA26" s="97">
        <f t="shared" si="5"/>
        <v>199.77245702730033</v>
      </c>
      <c r="AB26" s="97">
        <v>0</v>
      </c>
      <c r="AC26" s="103">
        <v>0</v>
      </c>
      <c r="AD26" s="98">
        <f t="shared" si="6"/>
        <v>7879.5162426592105</v>
      </c>
      <c r="AE26" s="98">
        <f t="shared" si="12"/>
        <v>2462.3488258310031</v>
      </c>
    </row>
    <row r="27" spans="1:31" x14ac:dyDescent="0.3">
      <c r="A27" s="25" t="s">
        <v>36</v>
      </c>
      <c r="B27" s="10">
        <v>75800</v>
      </c>
      <c r="C27" s="11">
        <v>1720</v>
      </c>
      <c r="D27" s="12">
        <v>840</v>
      </c>
      <c r="E27" s="12">
        <v>340</v>
      </c>
      <c r="F27" s="11"/>
      <c r="G27" s="12"/>
      <c r="H27" s="12"/>
      <c r="I27" s="12"/>
      <c r="J27" s="12">
        <f t="shared" si="0"/>
        <v>2900</v>
      </c>
      <c r="K27" s="12"/>
      <c r="L27" s="12"/>
      <c r="M27" s="12"/>
      <c r="N27" s="13">
        <f t="shared" si="13"/>
        <v>78700</v>
      </c>
      <c r="O27" s="14"/>
      <c r="P27" s="15">
        <f t="shared" si="7"/>
        <v>78700</v>
      </c>
      <c r="R27" s="87">
        <v>10005779</v>
      </c>
      <c r="S27" s="92">
        <f>IFERROR(INDEX([1]Resumen!$K$3:$K$63,MATCH(R27,[1]Resumen!$C$3:$C$63,0)),0)*(1+T27*U27)/1000</f>
        <v>1.7536934474995789</v>
      </c>
      <c r="T27" s="93">
        <v>0.65</v>
      </c>
      <c r="U27" s="94">
        <v>0</v>
      </c>
      <c r="V27" s="96">
        <f t="shared" si="2"/>
        <v>78.7</v>
      </c>
      <c r="W27" s="97">
        <f t="shared" si="8"/>
        <v>138015.67431821686</v>
      </c>
      <c r="X27" s="102">
        <f t="shared" si="9"/>
        <v>16357.008000000002</v>
      </c>
      <c r="Y27" s="97">
        <f t="shared" si="10"/>
        <v>3126.4748736097072</v>
      </c>
      <c r="Z27" s="97">
        <f t="shared" si="11"/>
        <v>6146.1198685540967</v>
      </c>
      <c r="AA27" s="97">
        <f t="shared" si="5"/>
        <v>4913.1538650151679</v>
      </c>
      <c r="AB27" s="97">
        <v>0</v>
      </c>
      <c r="AC27" s="103">
        <v>0</v>
      </c>
      <c r="AD27" s="98">
        <f t="shared" si="6"/>
        <v>163645.27706038064</v>
      </c>
      <c r="AE27" s="98">
        <f t="shared" si="12"/>
        <v>2079.355489966717</v>
      </c>
    </row>
    <row r="28" spans="1:31" x14ac:dyDescent="0.3">
      <c r="A28" s="16" t="s">
        <v>37</v>
      </c>
      <c r="B28" s="10">
        <v>40100</v>
      </c>
      <c r="C28" s="11"/>
      <c r="D28" s="12"/>
      <c r="E28" s="12"/>
      <c r="F28" s="11"/>
      <c r="G28" s="12"/>
      <c r="H28" s="12"/>
      <c r="I28" s="12"/>
      <c r="J28" s="12">
        <f t="shared" si="0"/>
        <v>0</v>
      </c>
      <c r="K28" s="12"/>
      <c r="L28" s="12"/>
      <c r="M28" s="12"/>
      <c r="N28" s="13">
        <f t="shared" si="13"/>
        <v>40100</v>
      </c>
      <c r="O28" s="14"/>
      <c r="P28" s="15">
        <f t="shared" si="7"/>
        <v>40100</v>
      </c>
      <c r="R28" s="87">
        <v>10005779</v>
      </c>
      <c r="S28" s="92">
        <f>IFERROR(INDEX([1]Resumen!$K$3:$K$63,MATCH(R28,[1]Resumen!$C$3:$C$63,0)),0)*(1+T28*U28)/1000</f>
        <v>1.7536934474995789</v>
      </c>
      <c r="T28" s="94">
        <v>0.65</v>
      </c>
      <c r="U28" s="94">
        <v>0</v>
      </c>
      <c r="V28" s="96">
        <f t="shared" si="2"/>
        <v>40.1</v>
      </c>
      <c r="W28" s="97">
        <f t="shared" si="8"/>
        <v>70323.107244733124</v>
      </c>
      <c r="X28" s="102">
        <f t="shared" si="9"/>
        <v>8334.384</v>
      </c>
      <c r="Y28" s="97">
        <f t="shared" si="10"/>
        <v>1593.0323053589486</v>
      </c>
      <c r="Z28" s="97">
        <f t="shared" si="11"/>
        <v>3131.6315975733069</v>
      </c>
      <c r="AA28" s="97">
        <f t="shared" si="5"/>
        <v>2503.3986021233573</v>
      </c>
      <c r="AB28" s="97">
        <v>0</v>
      </c>
      <c r="AC28" s="103">
        <v>0</v>
      </c>
      <c r="AD28" s="98">
        <f t="shared" si="6"/>
        <v>83382.155147665384</v>
      </c>
      <c r="AE28" s="98">
        <f t="shared" si="12"/>
        <v>2079.3554899667179</v>
      </c>
    </row>
    <row r="29" spans="1:31" x14ac:dyDescent="0.3">
      <c r="A29" s="16" t="s">
        <v>38</v>
      </c>
      <c r="B29" s="10">
        <v>1000</v>
      </c>
      <c r="C29" s="11"/>
      <c r="D29" s="12"/>
      <c r="E29" s="12"/>
      <c r="F29" s="11"/>
      <c r="G29" s="12"/>
      <c r="H29" s="12"/>
      <c r="I29" s="12"/>
      <c r="J29" s="12">
        <f t="shared" si="0"/>
        <v>0</v>
      </c>
      <c r="K29" s="12"/>
      <c r="L29" s="12"/>
      <c r="M29" s="12"/>
      <c r="N29" s="13">
        <f t="shared" si="13"/>
        <v>1000</v>
      </c>
      <c r="O29" s="14"/>
      <c r="P29" s="15">
        <f t="shared" si="7"/>
        <v>1000</v>
      </c>
      <c r="R29" s="87">
        <v>10005779</v>
      </c>
      <c r="S29" s="92">
        <f>IFERROR(INDEX([1]Resumen!$K$3:$K$63,MATCH(R29,[1]Resumen!$C$3:$C$63,0)),0)*(1+T29*U29)/1000</f>
        <v>1.7536934474995789</v>
      </c>
      <c r="T29" s="94">
        <v>0.65</v>
      </c>
      <c r="U29" s="94">
        <v>0</v>
      </c>
      <c r="V29" s="96">
        <f t="shared" si="2"/>
        <v>1</v>
      </c>
      <c r="W29" s="97">
        <f t="shared" si="8"/>
        <v>1753.693447499579</v>
      </c>
      <c r="X29" s="102">
        <f t="shared" si="9"/>
        <v>207.84</v>
      </c>
      <c r="Y29" s="97">
        <f t="shared" si="10"/>
        <v>39.726491405460067</v>
      </c>
      <c r="Z29" s="97">
        <f t="shared" si="11"/>
        <v>78.095551061678478</v>
      </c>
      <c r="AA29" s="97">
        <f t="shared" si="5"/>
        <v>62.428892821031354</v>
      </c>
      <c r="AB29" s="97">
        <v>0</v>
      </c>
      <c r="AC29" s="103">
        <v>0</v>
      </c>
      <c r="AD29" s="98">
        <f t="shared" si="6"/>
        <v>2079.3554899667174</v>
      </c>
      <c r="AE29" s="98">
        <f t="shared" si="12"/>
        <v>2079.3554899667174</v>
      </c>
    </row>
    <row r="30" spans="1:31" x14ac:dyDescent="0.3">
      <c r="A30" s="25" t="s">
        <v>39</v>
      </c>
      <c r="B30" s="10">
        <v>9880</v>
      </c>
      <c r="C30" s="11">
        <v>900</v>
      </c>
      <c r="D30" s="12">
        <v>300</v>
      </c>
      <c r="E30" s="12">
        <v>160</v>
      </c>
      <c r="F30" s="11"/>
      <c r="G30" s="12"/>
      <c r="H30" s="12"/>
      <c r="I30" s="12"/>
      <c r="J30" s="12">
        <f t="shared" si="0"/>
        <v>1360</v>
      </c>
      <c r="K30" s="12"/>
      <c r="L30" s="12"/>
      <c r="M30" s="12"/>
      <c r="N30" s="13">
        <f t="shared" si="13"/>
        <v>11240</v>
      </c>
      <c r="O30" s="14"/>
      <c r="P30" s="17">
        <f t="shared" si="7"/>
        <v>11240</v>
      </c>
      <c r="R30" s="87">
        <v>10005781</v>
      </c>
      <c r="S30" s="92">
        <f>IFERROR(INDEX([1]Resumen!$K$3:$K$63,MATCH(R30,[1]Resumen!$C$3:$C$63,0)),0)*(1+T30*U30)/1000</f>
        <v>1.856345845872738</v>
      </c>
      <c r="T30" s="94">
        <v>0.65</v>
      </c>
      <c r="U30" s="94">
        <v>0</v>
      </c>
      <c r="V30" s="96">
        <f t="shared" si="2"/>
        <v>11.24</v>
      </c>
      <c r="W30" s="97">
        <f t="shared" si="8"/>
        <v>20865.327307609576</v>
      </c>
      <c r="X30" s="102">
        <f t="shared" si="9"/>
        <v>2336.1215999999999</v>
      </c>
      <c r="Y30" s="97">
        <f t="shared" si="10"/>
        <v>446.52576339737118</v>
      </c>
      <c r="Z30" s="97">
        <f t="shared" si="11"/>
        <v>877.79399393326605</v>
      </c>
      <c r="AA30" s="97">
        <f t="shared" si="5"/>
        <v>701.70075530839244</v>
      </c>
      <c r="AB30" s="97">
        <v>0</v>
      </c>
      <c r="AC30" s="103">
        <v>0</v>
      </c>
      <c r="AD30" s="98">
        <f t="shared" si="6"/>
        <v>24525.768664940209</v>
      </c>
      <c r="AE30" s="98">
        <f t="shared" si="12"/>
        <v>2182.0078883398764</v>
      </c>
    </row>
    <row r="31" spans="1:31" x14ac:dyDescent="0.3">
      <c r="A31" s="25" t="s">
        <v>40</v>
      </c>
      <c r="B31" s="10">
        <v>64780</v>
      </c>
      <c r="C31" s="11">
        <v>4960</v>
      </c>
      <c r="D31" s="12">
        <v>2000</v>
      </c>
      <c r="E31" s="12">
        <v>1040</v>
      </c>
      <c r="F31" s="11"/>
      <c r="G31" s="12"/>
      <c r="H31" s="12"/>
      <c r="I31" s="12"/>
      <c r="J31" s="12">
        <f t="shared" si="0"/>
        <v>8000</v>
      </c>
      <c r="K31" s="12"/>
      <c r="L31" s="12"/>
      <c r="M31" s="12"/>
      <c r="N31" s="13">
        <f t="shared" si="13"/>
        <v>72780</v>
      </c>
      <c r="O31" s="14"/>
      <c r="P31" s="15">
        <f t="shared" si="7"/>
        <v>72780</v>
      </c>
      <c r="R31" s="87">
        <v>10005781</v>
      </c>
      <c r="S31" s="92">
        <f>IFERROR(INDEX([1]Resumen!$K$3:$K$63,MATCH(R31,[1]Resumen!$C$3:$C$63,0)),0)*(1+T31*U31)/1000</f>
        <v>1.856345845872738</v>
      </c>
      <c r="T31" s="94">
        <v>0.65</v>
      </c>
      <c r="U31" s="94">
        <v>0</v>
      </c>
      <c r="V31" s="96">
        <f t="shared" si="2"/>
        <v>72.78</v>
      </c>
      <c r="W31" s="97">
        <f t="shared" si="8"/>
        <v>135104.85066261789</v>
      </c>
      <c r="X31" s="102">
        <f t="shared" si="9"/>
        <v>15126.5952</v>
      </c>
      <c r="Y31" s="97">
        <f t="shared" si="10"/>
        <v>2891.2940444893839</v>
      </c>
      <c r="Z31" s="97">
        <f t="shared" si="11"/>
        <v>5683.7942062689599</v>
      </c>
      <c r="AA31" s="97">
        <f t="shared" si="5"/>
        <v>4543.5748195146616</v>
      </c>
      <c r="AB31" s="97">
        <v>0</v>
      </c>
      <c r="AC31" s="103">
        <v>0</v>
      </c>
      <c r="AD31" s="98">
        <f t="shared" si="6"/>
        <v>158806.53411337626</v>
      </c>
      <c r="AE31" s="98">
        <f t="shared" si="12"/>
        <v>2182.0078883398769</v>
      </c>
    </row>
    <row r="32" spans="1:31" x14ac:dyDescent="0.3">
      <c r="A32" s="25" t="s">
        <v>41</v>
      </c>
      <c r="B32" s="10">
        <v>24060</v>
      </c>
      <c r="C32" s="11">
        <v>60</v>
      </c>
      <c r="D32" s="12">
        <v>20</v>
      </c>
      <c r="E32" s="12"/>
      <c r="F32" s="11"/>
      <c r="G32" s="12"/>
      <c r="H32" s="12"/>
      <c r="I32" s="12"/>
      <c r="J32" s="12">
        <f t="shared" si="0"/>
        <v>80</v>
      </c>
      <c r="K32" s="12"/>
      <c r="L32" s="12"/>
      <c r="M32" s="12"/>
      <c r="N32" s="13">
        <f t="shared" si="13"/>
        <v>24140</v>
      </c>
      <c r="O32" s="14"/>
      <c r="P32" s="15">
        <f t="shared" si="7"/>
        <v>24140</v>
      </c>
      <c r="R32" s="87">
        <v>10005781</v>
      </c>
      <c r="S32" s="92">
        <f>IFERROR(INDEX([1]Resumen!$K$3:$K$63,MATCH(R32,[1]Resumen!$C$3:$C$63,0)),0)*(1+T32*U32)/1000</f>
        <v>1.856345845872738</v>
      </c>
      <c r="T32" s="94">
        <v>0.65</v>
      </c>
      <c r="U32" s="94">
        <v>0</v>
      </c>
      <c r="V32" s="96">
        <f t="shared" si="2"/>
        <v>24.14</v>
      </c>
      <c r="W32" s="97">
        <f t="shared" si="8"/>
        <v>44812.188719367899</v>
      </c>
      <c r="X32" s="102">
        <f t="shared" si="9"/>
        <v>5017.2575999999999</v>
      </c>
      <c r="Y32" s="97">
        <f t="shared" si="10"/>
        <v>958.99750252780598</v>
      </c>
      <c r="Z32" s="97">
        <f t="shared" si="11"/>
        <v>1885.2266026289185</v>
      </c>
      <c r="AA32" s="97">
        <f t="shared" si="5"/>
        <v>1507.0334726996969</v>
      </c>
      <c r="AB32" s="97">
        <v>0</v>
      </c>
      <c r="AC32" s="103">
        <v>0</v>
      </c>
      <c r="AD32" s="98">
        <f t="shared" si="6"/>
        <v>52673.670424524622</v>
      </c>
      <c r="AE32" s="98">
        <f t="shared" si="12"/>
        <v>2182.0078883398764</v>
      </c>
    </row>
    <row r="33" spans="1:31" x14ac:dyDescent="0.3">
      <c r="A33" s="26" t="s">
        <v>42</v>
      </c>
      <c r="B33" s="27">
        <v>77380</v>
      </c>
      <c r="C33" s="11">
        <v>2840</v>
      </c>
      <c r="D33" s="11">
        <v>1260</v>
      </c>
      <c r="E33" s="11">
        <v>420</v>
      </c>
      <c r="F33" s="11"/>
      <c r="G33" s="11"/>
      <c r="H33" s="11"/>
      <c r="I33" s="11"/>
      <c r="J33" s="12">
        <f t="shared" si="0"/>
        <v>4520</v>
      </c>
      <c r="K33" s="12">
        <v>21180</v>
      </c>
      <c r="L33" s="11">
        <v>26000</v>
      </c>
      <c r="M33" s="11"/>
      <c r="N33" s="13">
        <f t="shared" si="13"/>
        <v>34720</v>
      </c>
      <c r="O33" s="28"/>
      <c r="P33" s="17">
        <f t="shared" si="7"/>
        <v>34720</v>
      </c>
      <c r="R33" s="88">
        <v>10007567</v>
      </c>
      <c r="S33" s="92">
        <f>IFERROR(INDEX([1]Resumen!$K$3:$K$63,MATCH(R33,[1]Resumen!$C$3:$C$63,0)),0)*(1+T33*U33)/1000</f>
        <v>1.8212402425897036</v>
      </c>
      <c r="T33" s="93">
        <v>0.68</v>
      </c>
      <c r="U33" s="94">
        <v>0</v>
      </c>
      <c r="V33" s="96">
        <f t="shared" si="2"/>
        <v>34.72</v>
      </c>
      <c r="W33" s="97">
        <f t="shared" si="8"/>
        <v>63233.461222714512</v>
      </c>
      <c r="X33" s="102">
        <f t="shared" si="9"/>
        <v>7216.2047999999995</v>
      </c>
      <c r="Y33" s="97">
        <f t="shared" si="10"/>
        <v>1379.3037815975736</v>
      </c>
      <c r="Z33" s="97">
        <f t="shared" si="11"/>
        <v>2711.4775328614764</v>
      </c>
      <c r="AA33" s="97">
        <f t="shared" si="5"/>
        <v>2167.5311587462083</v>
      </c>
      <c r="AB33" s="97">
        <v>0</v>
      </c>
      <c r="AC33" s="103">
        <v>0</v>
      </c>
      <c r="AD33" s="98">
        <f t="shared" si="6"/>
        <v>74540.447337173566</v>
      </c>
      <c r="AE33" s="98">
        <f t="shared" si="12"/>
        <v>2146.9022850568426</v>
      </c>
    </row>
    <row r="34" spans="1:31" x14ac:dyDescent="0.3">
      <c r="A34" s="26" t="s">
        <v>43</v>
      </c>
      <c r="B34" s="27">
        <v>35140</v>
      </c>
      <c r="C34" s="11">
        <v>340</v>
      </c>
      <c r="D34" s="11">
        <v>100</v>
      </c>
      <c r="E34" s="11">
        <v>200</v>
      </c>
      <c r="F34" s="11"/>
      <c r="G34" s="11"/>
      <c r="H34" s="11"/>
      <c r="I34" s="11"/>
      <c r="J34" s="12">
        <f t="shared" ref="J34:J59" si="14">+C34+D34+E34+F34+G34+H34+I34</f>
        <v>640</v>
      </c>
      <c r="K34" s="12">
        <v>4820</v>
      </c>
      <c r="L34" s="11"/>
      <c r="M34" s="11"/>
      <c r="N34" s="13">
        <f t="shared" si="13"/>
        <v>30960</v>
      </c>
      <c r="O34" s="28"/>
      <c r="P34" s="15">
        <f t="shared" si="7"/>
        <v>30960</v>
      </c>
      <c r="R34" s="88">
        <v>10007567</v>
      </c>
      <c r="S34" s="92">
        <f>IFERROR(INDEX([1]Resumen!$K$3:$K$63,MATCH(R34,[1]Resumen!$C$3:$C$63,0)),0)*(1+T34*U34)/1000</f>
        <v>1.8212402425897036</v>
      </c>
      <c r="T34" s="94">
        <v>0.68</v>
      </c>
      <c r="U34" s="94">
        <v>0</v>
      </c>
      <c r="V34" s="96">
        <f t="shared" ref="V34:V58" si="15">IF(P34&lt;0,0,P34)/1000</f>
        <v>30.96</v>
      </c>
      <c r="W34" s="97">
        <f t="shared" si="8"/>
        <v>56385.597910577228</v>
      </c>
      <c r="X34" s="102">
        <f t="shared" si="9"/>
        <v>6434.7264000000005</v>
      </c>
      <c r="Y34" s="97">
        <f t="shared" ref="Y34:Y58" si="16">$Y$61/1978*V34</f>
        <v>1229.9321739130437</v>
      </c>
      <c r="Z34" s="97">
        <f t="shared" ref="Z34:Z58" si="17">$Z$61/1978*V34</f>
        <v>2417.8382608695656</v>
      </c>
      <c r="AA34" s="97">
        <f t="shared" ref="AA34:AA58" si="18">$AA$61/1978*V34</f>
        <v>1932.7985217391308</v>
      </c>
      <c r="AB34" s="97">
        <v>0</v>
      </c>
      <c r="AC34" s="103">
        <v>0</v>
      </c>
      <c r="AD34" s="98">
        <f t="shared" ref="AD34:AD58" si="19">W34+X34+Y34+Z34</f>
        <v>66468.094745359835</v>
      </c>
      <c r="AE34" s="98">
        <f t="shared" si="12"/>
        <v>2146.9022850568422</v>
      </c>
    </row>
    <row r="35" spans="1:31" x14ac:dyDescent="0.3">
      <c r="A35" s="16" t="s">
        <v>44</v>
      </c>
      <c r="B35" s="27">
        <v>0</v>
      </c>
      <c r="C35" s="11"/>
      <c r="D35" s="11"/>
      <c r="E35" s="11"/>
      <c r="F35" s="11"/>
      <c r="G35" s="11"/>
      <c r="H35" s="11"/>
      <c r="I35" s="11"/>
      <c r="J35" s="12">
        <f t="shared" si="14"/>
        <v>0</v>
      </c>
      <c r="K35" s="12"/>
      <c r="L35" s="11"/>
      <c r="M35" s="11"/>
      <c r="N35" s="13">
        <f t="shared" si="13"/>
        <v>0</v>
      </c>
      <c r="O35" s="28"/>
      <c r="P35" s="15">
        <f t="shared" si="7"/>
        <v>0</v>
      </c>
      <c r="R35" s="88">
        <v>10007162</v>
      </c>
      <c r="S35" s="92">
        <f>IFERROR(INDEX([1]Resumen!$K$3:$K$63,MATCH(R35,[1]Resumen!$C$3:$C$63,0)),0)*(1+T35*U35)/1000</f>
        <v>1.8821795185638512</v>
      </c>
      <c r="T35" s="94">
        <v>0.68</v>
      </c>
      <c r="U35" s="94">
        <v>0</v>
      </c>
      <c r="V35" s="96">
        <f t="shared" si="15"/>
        <v>0</v>
      </c>
      <c r="W35" s="97">
        <f t="shared" si="8"/>
        <v>0</v>
      </c>
      <c r="X35" s="102">
        <f t="shared" si="9"/>
        <v>0</v>
      </c>
      <c r="Y35" s="97">
        <f t="shared" si="16"/>
        <v>0</v>
      </c>
      <c r="Z35" s="97">
        <f t="shared" si="17"/>
        <v>0</v>
      </c>
      <c r="AA35" s="97">
        <f t="shared" si="18"/>
        <v>0</v>
      </c>
      <c r="AB35" s="97">
        <v>0</v>
      </c>
      <c r="AC35" s="103">
        <v>0</v>
      </c>
      <c r="AD35" s="98">
        <f t="shared" si="19"/>
        <v>0</v>
      </c>
      <c r="AE35" s="98">
        <f t="shared" si="12"/>
        <v>0</v>
      </c>
    </row>
    <row r="36" spans="1:31" x14ac:dyDescent="0.3">
      <c r="A36" s="16" t="s">
        <v>45</v>
      </c>
      <c r="B36" s="27">
        <v>5700</v>
      </c>
      <c r="C36" s="11"/>
      <c r="D36" s="11"/>
      <c r="E36" s="11"/>
      <c r="F36" s="11"/>
      <c r="G36" s="11"/>
      <c r="H36" s="11"/>
      <c r="I36" s="11"/>
      <c r="J36" s="12">
        <f t="shared" si="14"/>
        <v>0</v>
      </c>
      <c r="K36" s="12"/>
      <c r="L36" s="11"/>
      <c r="M36" s="11"/>
      <c r="N36" s="13">
        <f t="shared" si="13"/>
        <v>5700</v>
      </c>
      <c r="O36" s="28"/>
      <c r="P36" s="15">
        <f t="shared" si="7"/>
        <v>5700</v>
      </c>
      <c r="R36" s="88">
        <v>10007162</v>
      </c>
      <c r="S36" s="92">
        <f>IFERROR(INDEX([1]Resumen!$K$3:$K$63,MATCH(R36,[1]Resumen!$C$3:$C$63,0)),0)*(1+T36*U36)/1000</f>
        <v>1.8821795185638512</v>
      </c>
      <c r="T36" s="94">
        <v>0.68</v>
      </c>
      <c r="U36" s="94">
        <v>0</v>
      </c>
      <c r="V36" s="96">
        <f t="shared" si="15"/>
        <v>5.7</v>
      </c>
      <c r="W36" s="97">
        <f t="shared" si="8"/>
        <v>10728.423255813952</v>
      </c>
      <c r="X36" s="102">
        <f t="shared" si="9"/>
        <v>1184.6880000000001</v>
      </c>
      <c r="Y36" s="97">
        <f t="shared" si="16"/>
        <v>226.44100101112238</v>
      </c>
      <c r="Z36" s="97">
        <f t="shared" si="17"/>
        <v>445.14464105156736</v>
      </c>
      <c r="AA36" s="97">
        <f t="shared" si="18"/>
        <v>355.84468907987872</v>
      </c>
      <c r="AB36" s="97">
        <v>0</v>
      </c>
      <c r="AC36" s="103">
        <v>0</v>
      </c>
      <c r="AD36" s="98">
        <f t="shared" si="19"/>
        <v>12584.696897876642</v>
      </c>
      <c r="AE36" s="98">
        <f t="shared" si="12"/>
        <v>2207.8415610309899</v>
      </c>
    </row>
    <row r="37" spans="1:31" x14ac:dyDescent="0.3">
      <c r="A37" s="16" t="s">
        <v>46</v>
      </c>
      <c r="B37" s="27">
        <v>80960</v>
      </c>
      <c r="C37" s="11">
        <v>760</v>
      </c>
      <c r="D37" s="11"/>
      <c r="E37" s="11">
        <v>140</v>
      </c>
      <c r="F37" s="11"/>
      <c r="G37" s="11"/>
      <c r="H37" s="11"/>
      <c r="I37" s="11"/>
      <c r="J37" s="12">
        <f t="shared" si="14"/>
        <v>900</v>
      </c>
      <c r="K37" s="12"/>
      <c r="L37" s="11">
        <f>54000+27000</f>
        <v>81000</v>
      </c>
      <c r="M37" s="11"/>
      <c r="N37" s="13">
        <f t="shared" si="13"/>
        <v>860</v>
      </c>
      <c r="O37" s="28">
        <f>81000+27000-27000</f>
        <v>81000</v>
      </c>
      <c r="P37" s="18">
        <f>+N37-O37</f>
        <v>-80140</v>
      </c>
      <c r="R37" s="88">
        <v>10007162</v>
      </c>
      <c r="S37" s="92">
        <f>IFERROR(INDEX([1]Resumen!$K$3:$K$63,MATCH(R37,[1]Resumen!$C$3:$C$63,0)),0)*(1+T37*U37)/1000</f>
        <v>1.8821795185638512</v>
      </c>
      <c r="T37" s="94">
        <v>0.68</v>
      </c>
      <c r="U37" s="94">
        <v>0</v>
      </c>
      <c r="V37" s="96">
        <f t="shared" si="15"/>
        <v>0</v>
      </c>
      <c r="W37" s="97">
        <f t="shared" si="8"/>
        <v>0</v>
      </c>
      <c r="X37" s="102">
        <f t="shared" si="9"/>
        <v>0</v>
      </c>
      <c r="Y37" s="97">
        <f t="shared" si="16"/>
        <v>0</v>
      </c>
      <c r="Z37" s="97">
        <f t="shared" si="17"/>
        <v>0</v>
      </c>
      <c r="AA37" s="97">
        <f t="shared" si="18"/>
        <v>0</v>
      </c>
      <c r="AB37" s="97">
        <v>0</v>
      </c>
      <c r="AC37" s="103">
        <v>0</v>
      </c>
      <c r="AD37" s="98">
        <f t="shared" si="19"/>
        <v>0</v>
      </c>
      <c r="AE37" s="98">
        <f t="shared" si="12"/>
        <v>0</v>
      </c>
    </row>
    <row r="38" spans="1:31" x14ac:dyDescent="0.3">
      <c r="A38" s="16" t="s">
        <v>47</v>
      </c>
      <c r="B38" s="27">
        <v>118600</v>
      </c>
      <c r="C38" s="11">
        <v>14120</v>
      </c>
      <c r="D38" s="11">
        <v>180</v>
      </c>
      <c r="E38" s="11">
        <v>20</v>
      </c>
      <c r="F38" s="11"/>
      <c r="G38" s="11"/>
      <c r="H38" s="11"/>
      <c r="I38" s="11"/>
      <c r="J38" s="12">
        <f t="shared" si="14"/>
        <v>14320</v>
      </c>
      <c r="K38" s="12"/>
      <c r="L38" s="11">
        <v>54000</v>
      </c>
      <c r="M38" s="11"/>
      <c r="N38" s="13">
        <f t="shared" si="13"/>
        <v>78920</v>
      </c>
      <c r="O38" s="28">
        <v>81000</v>
      </c>
      <c r="P38" s="18">
        <f t="shared" si="7"/>
        <v>-2080</v>
      </c>
      <c r="R38" s="88">
        <v>10007162</v>
      </c>
      <c r="S38" s="92">
        <f>IFERROR(INDEX([1]Resumen!$K$3:$K$63,MATCH(R38,[1]Resumen!$C$3:$C$63,0)),0)*(1+T38*U38)/1000</f>
        <v>1.8821795185638512</v>
      </c>
      <c r="T38" s="94">
        <v>0.68</v>
      </c>
      <c r="U38" s="94">
        <v>0</v>
      </c>
      <c r="V38" s="96">
        <f t="shared" si="15"/>
        <v>0</v>
      </c>
      <c r="W38" s="97">
        <f t="shared" si="8"/>
        <v>0</v>
      </c>
      <c r="X38" s="102">
        <f t="shared" si="9"/>
        <v>0</v>
      </c>
      <c r="Y38" s="97">
        <f t="shared" si="16"/>
        <v>0</v>
      </c>
      <c r="Z38" s="97">
        <f t="shared" si="17"/>
        <v>0</v>
      </c>
      <c r="AA38" s="97">
        <f t="shared" si="18"/>
        <v>0</v>
      </c>
      <c r="AB38" s="97">
        <v>0</v>
      </c>
      <c r="AC38" s="103">
        <v>0</v>
      </c>
      <c r="AD38" s="98">
        <f t="shared" si="19"/>
        <v>0</v>
      </c>
      <c r="AE38" s="98">
        <f t="shared" si="12"/>
        <v>0</v>
      </c>
    </row>
    <row r="39" spans="1:31" x14ac:dyDescent="0.3">
      <c r="A39" s="29" t="s">
        <v>48</v>
      </c>
      <c r="B39" s="27">
        <v>120</v>
      </c>
      <c r="C39" s="11"/>
      <c r="D39" s="11">
        <v>220</v>
      </c>
      <c r="E39" s="11"/>
      <c r="F39" s="11"/>
      <c r="G39" s="11"/>
      <c r="H39" s="11"/>
      <c r="I39" s="11"/>
      <c r="J39" s="12">
        <f t="shared" si="14"/>
        <v>220</v>
      </c>
      <c r="K39" s="12"/>
      <c r="L39" s="11"/>
      <c r="M39" s="11"/>
      <c r="N39" s="13">
        <f t="shared" si="13"/>
        <v>340</v>
      </c>
      <c r="O39" s="28"/>
      <c r="P39" s="15">
        <f>+N39-O39-120</f>
        <v>220</v>
      </c>
      <c r="R39" s="88">
        <v>10007162</v>
      </c>
      <c r="S39" s="92">
        <f>IFERROR(INDEX([1]Resumen!$K$3:$K$63,MATCH(R39,[1]Resumen!$C$3:$C$63,0)),0)*(1+T39*U39)/1000</f>
        <v>1.8821795185638512</v>
      </c>
      <c r="T39" s="94">
        <v>0.68</v>
      </c>
      <c r="U39" s="94">
        <v>0</v>
      </c>
      <c r="V39" s="96">
        <f t="shared" si="15"/>
        <v>0.22</v>
      </c>
      <c r="W39" s="97">
        <f t="shared" si="8"/>
        <v>414.07949408404727</v>
      </c>
      <c r="X39" s="102">
        <f t="shared" si="9"/>
        <v>45.724800000000002</v>
      </c>
      <c r="Y39" s="97">
        <f t="shared" si="16"/>
        <v>8.7398281092012144</v>
      </c>
      <c r="Z39" s="97">
        <f t="shared" si="17"/>
        <v>17.181021233569265</v>
      </c>
      <c r="AA39" s="97">
        <f t="shared" si="18"/>
        <v>13.734356420626899</v>
      </c>
      <c r="AB39" s="97">
        <v>0</v>
      </c>
      <c r="AC39" s="103">
        <v>0</v>
      </c>
      <c r="AD39" s="98">
        <f t="shared" si="19"/>
        <v>485.72514342681774</v>
      </c>
      <c r="AE39" s="98">
        <f t="shared" si="12"/>
        <v>2207.8415610309899</v>
      </c>
    </row>
    <row r="40" spans="1:31" x14ac:dyDescent="0.3">
      <c r="A40" s="29" t="s">
        <v>49</v>
      </c>
      <c r="B40" s="10">
        <v>4800</v>
      </c>
      <c r="C40" s="11">
        <v>280</v>
      </c>
      <c r="D40" s="12">
        <v>5880</v>
      </c>
      <c r="E40" s="12">
        <v>2820</v>
      </c>
      <c r="F40" s="11"/>
      <c r="G40" s="12"/>
      <c r="H40" s="12"/>
      <c r="I40" s="12"/>
      <c r="J40" s="12">
        <f t="shared" si="14"/>
        <v>8980</v>
      </c>
      <c r="K40" s="12"/>
      <c r="L40" s="12"/>
      <c r="M40" s="12"/>
      <c r="N40" s="13">
        <f t="shared" si="13"/>
        <v>13780</v>
      </c>
      <c r="O40" s="14"/>
      <c r="P40" s="17">
        <f>+N40-O40-1740-360</f>
        <v>11680</v>
      </c>
      <c r="R40" s="88">
        <v>10007162</v>
      </c>
      <c r="S40" s="92">
        <f>IFERROR(INDEX([1]Resumen!$K$3:$K$63,MATCH(R40,[1]Resumen!$C$3:$C$63,0)),0)*(1+T40*U40)/1000</f>
        <v>1.8821795185638512</v>
      </c>
      <c r="T40" s="94">
        <v>0.68</v>
      </c>
      <c r="U40" s="94">
        <v>0</v>
      </c>
      <c r="V40" s="96">
        <f t="shared" si="15"/>
        <v>11.68</v>
      </c>
      <c r="W40" s="97">
        <f t="shared" si="8"/>
        <v>21983.856776825782</v>
      </c>
      <c r="X40" s="102">
        <f t="shared" si="9"/>
        <v>2427.5711999999999</v>
      </c>
      <c r="Y40" s="97">
        <f t="shared" si="16"/>
        <v>464.00541961577358</v>
      </c>
      <c r="Z40" s="97">
        <f t="shared" si="17"/>
        <v>912.15603640040456</v>
      </c>
      <c r="AA40" s="97">
        <f t="shared" si="18"/>
        <v>729.16946814964615</v>
      </c>
      <c r="AB40" s="97">
        <v>0</v>
      </c>
      <c r="AC40" s="103">
        <v>0</v>
      </c>
      <c r="AD40" s="98">
        <f t="shared" si="19"/>
        <v>25787.589432841956</v>
      </c>
      <c r="AE40" s="98">
        <f t="shared" si="12"/>
        <v>2207.8415610309894</v>
      </c>
    </row>
    <row r="41" spans="1:31" x14ac:dyDescent="0.3">
      <c r="A41" s="29" t="s">
        <v>50</v>
      </c>
      <c r="B41" s="10">
        <v>2680</v>
      </c>
      <c r="C41" s="11"/>
      <c r="D41" s="12"/>
      <c r="E41" s="12"/>
      <c r="F41" s="11"/>
      <c r="G41" s="12"/>
      <c r="H41" s="12"/>
      <c r="I41" s="12"/>
      <c r="J41" s="12">
        <f t="shared" si="14"/>
        <v>0</v>
      </c>
      <c r="K41" s="12"/>
      <c r="L41" s="12"/>
      <c r="M41" s="12"/>
      <c r="N41" s="13">
        <f t="shared" si="13"/>
        <v>2680</v>
      </c>
      <c r="O41" s="14"/>
      <c r="P41" s="15">
        <f>+N41-O41-1960-720</f>
        <v>0</v>
      </c>
      <c r="R41" s="88">
        <v>10007162</v>
      </c>
      <c r="S41" s="92">
        <f>IFERROR(INDEX([1]Resumen!$K$3:$K$63,MATCH(R41,[1]Resumen!$C$3:$C$63,0)),0)*(1+T41*U41)/1000</f>
        <v>1.8821795185638512</v>
      </c>
      <c r="T41" s="94">
        <v>0.68</v>
      </c>
      <c r="U41" s="94">
        <v>0</v>
      </c>
      <c r="V41" s="96">
        <f t="shared" si="15"/>
        <v>0</v>
      </c>
      <c r="W41" s="97">
        <f t="shared" si="8"/>
        <v>0</v>
      </c>
      <c r="X41" s="102">
        <f t="shared" si="9"/>
        <v>0</v>
      </c>
      <c r="Y41" s="97">
        <f t="shared" si="16"/>
        <v>0</v>
      </c>
      <c r="Z41" s="97">
        <f t="shared" si="17"/>
        <v>0</v>
      </c>
      <c r="AA41" s="97">
        <f t="shared" si="18"/>
        <v>0</v>
      </c>
      <c r="AB41" s="97">
        <v>0</v>
      </c>
      <c r="AC41" s="103">
        <v>0</v>
      </c>
      <c r="AD41" s="98">
        <f t="shared" si="19"/>
        <v>0</v>
      </c>
      <c r="AE41" s="98">
        <f t="shared" si="12"/>
        <v>0</v>
      </c>
    </row>
    <row r="42" spans="1:31" x14ac:dyDescent="0.3">
      <c r="A42" s="29" t="s">
        <v>51</v>
      </c>
      <c r="B42" s="10">
        <v>9620</v>
      </c>
      <c r="C42" s="11"/>
      <c r="D42" s="12">
        <v>40</v>
      </c>
      <c r="E42" s="12">
        <v>20</v>
      </c>
      <c r="F42" s="11"/>
      <c r="G42" s="12"/>
      <c r="H42" s="12"/>
      <c r="I42" s="12"/>
      <c r="J42" s="12">
        <f t="shared" si="14"/>
        <v>60</v>
      </c>
      <c r="K42" s="12"/>
      <c r="L42" s="12"/>
      <c r="M42" s="12"/>
      <c r="N42" s="13">
        <f t="shared" si="13"/>
        <v>9680</v>
      </c>
      <c r="O42" s="14"/>
      <c r="P42" s="17">
        <f>+N42-O42</f>
        <v>9680</v>
      </c>
      <c r="R42" s="88">
        <v>10007162</v>
      </c>
      <c r="S42" s="92">
        <f>IFERROR(INDEX([1]Resumen!$K$3:$K$63,MATCH(R42,[1]Resumen!$C$3:$C$63,0)),0)*(1+T42*U42)/1000</f>
        <v>1.8821795185638512</v>
      </c>
      <c r="T42" s="94">
        <v>0.68</v>
      </c>
      <c r="U42" s="94">
        <v>0</v>
      </c>
      <c r="V42" s="96">
        <f t="shared" si="15"/>
        <v>9.68</v>
      </c>
      <c r="W42" s="97">
        <f t="shared" si="8"/>
        <v>18219.497739698079</v>
      </c>
      <c r="X42" s="102">
        <f t="shared" si="9"/>
        <v>2011.8912</v>
      </c>
      <c r="Y42" s="97">
        <f t="shared" si="16"/>
        <v>384.55243680485341</v>
      </c>
      <c r="Z42" s="97">
        <f t="shared" si="17"/>
        <v>755.96493427704763</v>
      </c>
      <c r="AA42" s="97">
        <f t="shared" si="18"/>
        <v>604.31168250758344</v>
      </c>
      <c r="AB42" s="97">
        <v>0</v>
      </c>
      <c r="AC42" s="103">
        <v>0</v>
      </c>
      <c r="AD42" s="98">
        <f t="shared" si="19"/>
        <v>21371.906310779981</v>
      </c>
      <c r="AE42" s="98">
        <f t="shared" si="12"/>
        <v>2207.8415610309899</v>
      </c>
    </row>
    <row r="43" spans="1:31" x14ac:dyDescent="0.3">
      <c r="A43" s="29" t="s">
        <v>52</v>
      </c>
      <c r="B43" s="10">
        <v>16300</v>
      </c>
      <c r="C43" s="11">
        <v>820</v>
      </c>
      <c r="D43" s="12">
        <v>560</v>
      </c>
      <c r="E43" s="12">
        <v>260</v>
      </c>
      <c r="F43" s="11"/>
      <c r="G43" s="12"/>
      <c r="H43" s="12"/>
      <c r="I43" s="12"/>
      <c r="J43" s="12">
        <f t="shared" si="14"/>
        <v>1640</v>
      </c>
      <c r="K43" s="12"/>
      <c r="L43" s="12"/>
      <c r="M43" s="12"/>
      <c r="N43" s="13">
        <f t="shared" si="13"/>
        <v>17940</v>
      </c>
      <c r="O43" s="14">
        <v>78000</v>
      </c>
      <c r="P43" s="18">
        <f>+N43-O43</f>
        <v>-60060</v>
      </c>
      <c r="R43" s="88">
        <v>10007162</v>
      </c>
      <c r="S43" s="92">
        <f>IFERROR(INDEX([1]Resumen!$K$3:$K$63,MATCH(R43,[1]Resumen!$C$3:$C$63,0)),0)*(1+T43*U43)/1000</f>
        <v>1.8821795185638512</v>
      </c>
      <c r="T43" s="94">
        <v>0.68</v>
      </c>
      <c r="U43" s="94">
        <v>0</v>
      </c>
      <c r="V43" s="96">
        <f t="shared" si="15"/>
        <v>0</v>
      </c>
      <c r="W43" s="97">
        <f t="shared" si="8"/>
        <v>0</v>
      </c>
      <c r="X43" s="102">
        <f t="shared" si="9"/>
        <v>0</v>
      </c>
      <c r="Y43" s="97">
        <f t="shared" si="16"/>
        <v>0</v>
      </c>
      <c r="Z43" s="97">
        <f t="shared" si="17"/>
        <v>0</v>
      </c>
      <c r="AA43" s="97">
        <f t="shared" si="18"/>
        <v>0</v>
      </c>
      <c r="AB43" s="97">
        <v>0</v>
      </c>
      <c r="AC43" s="103">
        <v>0</v>
      </c>
      <c r="AD43" s="98">
        <f t="shared" si="19"/>
        <v>0</v>
      </c>
      <c r="AE43" s="98">
        <f t="shared" si="12"/>
        <v>0</v>
      </c>
    </row>
    <row r="44" spans="1:31" x14ac:dyDescent="0.3">
      <c r="A44" s="29" t="s">
        <v>53</v>
      </c>
      <c r="B44" s="10">
        <v>14420</v>
      </c>
      <c r="C44" s="11">
        <v>80</v>
      </c>
      <c r="D44" s="12"/>
      <c r="E44" s="12">
        <v>20</v>
      </c>
      <c r="F44" s="11"/>
      <c r="G44" s="12"/>
      <c r="H44" s="12"/>
      <c r="I44" s="12"/>
      <c r="J44" s="12">
        <f t="shared" si="14"/>
        <v>100</v>
      </c>
      <c r="K44" s="12"/>
      <c r="L44" s="12"/>
      <c r="M44" s="12"/>
      <c r="N44" s="13">
        <f t="shared" si="13"/>
        <v>14520</v>
      </c>
      <c r="O44" s="14"/>
      <c r="P44" s="15">
        <f t="shared" si="7"/>
        <v>14520</v>
      </c>
      <c r="R44" s="89">
        <v>10009386</v>
      </c>
      <c r="S44" s="92">
        <f>IFERROR(INDEX([1]Resumen!$K$3:$K$63,MATCH(R44,[1]Resumen!$C$3:$C$63,0)),0)*(1+T44*U44)/1000</f>
        <v>1.8837262986780907</v>
      </c>
      <c r="T44" s="94">
        <v>0.68</v>
      </c>
      <c r="U44" s="94">
        <v>0</v>
      </c>
      <c r="V44" s="96">
        <f t="shared" si="15"/>
        <v>14.52</v>
      </c>
      <c r="W44" s="97">
        <f t="shared" si="8"/>
        <v>27351.705856805875</v>
      </c>
      <c r="X44" s="102">
        <f t="shared" si="9"/>
        <v>3017.8368</v>
      </c>
      <c r="Y44" s="97">
        <f t="shared" si="16"/>
        <v>576.82865520728012</v>
      </c>
      <c r="Z44" s="97">
        <f t="shared" si="17"/>
        <v>1133.9474014155714</v>
      </c>
      <c r="AA44" s="97">
        <f t="shared" si="18"/>
        <v>906.46752376137522</v>
      </c>
      <c r="AB44" s="97">
        <v>0</v>
      </c>
      <c r="AC44" s="103">
        <v>0</v>
      </c>
      <c r="AD44" s="98">
        <f t="shared" si="19"/>
        <v>32080.318713428725</v>
      </c>
      <c r="AE44" s="98">
        <f t="shared" si="12"/>
        <v>2209.3883411452289</v>
      </c>
    </row>
    <row r="45" spans="1:31" x14ac:dyDescent="0.3">
      <c r="A45" s="30" t="s">
        <v>54</v>
      </c>
      <c r="B45" s="10">
        <v>160520</v>
      </c>
      <c r="C45" s="11">
        <v>12740</v>
      </c>
      <c r="D45" s="11">
        <v>7440</v>
      </c>
      <c r="E45" s="11">
        <v>3860</v>
      </c>
      <c r="F45" s="11"/>
      <c r="G45" s="12"/>
      <c r="H45" s="12"/>
      <c r="I45" s="12"/>
      <c r="J45" s="12">
        <f t="shared" si="14"/>
        <v>24040</v>
      </c>
      <c r="K45" s="12">
        <v>108000</v>
      </c>
      <c r="L45" s="12"/>
      <c r="M45" s="12"/>
      <c r="N45" s="13">
        <f t="shared" si="13"/>
        <v>76560</v>
      </c>
      <c r="O45" s="14">
        <f>27000</f>
        <v>27000</v>
      </c>
      <c r="P45" s="15">
        <f t="shared" si="7"/>
        <v>49560</v>
      </c>
      <c r="Q45" s="19"/>
      <c r="R45" s="90">
        <v>10009239</v>
      </c>
      <c r="S45" s="92">
        <f>IFERROR(INDEX([1]Resumen!$K$3:$K$63,MATCH(R45,[1]Resumen!$C$3:$C$63,0)),0)*(1+T45*U45)/1000</f>
        <v>3.441681665997347</v>
      </c>
      <c r="T45" s="93">
        <v>0.56000000000000005</v>
      </c>
      <c r="U45" s="94">
        <v>0</v>
      </c>
      <c r="V45" s="96">
        <f t="shared" si="15"/>
        <v>49.56</v>
      </c>
      <c r="W45" s="97">
        <f t="shared" si="8"/>
        <v>170569.74336682854</v>
      </c>
      <c r="X45" s="102">
        <f t="shared" si="9"/>
        <v>10300.5504</v>
      </c>
      <c r="Y45" s="97">
        <f t="shared" si="16"/>
        <v>1968.8449140546011</v>
      </c>
      <c r="Z45" s="97">
        <f t="shared" si="17"/>
        <v>3870.4155106167855</v>
      </c>
      <c r="AA45" s="97">
        <f t="shared" si="18"/>
        <v>3093.9759282103141</v>
      </c>
      <c r="AB45" s="97">
        <v>0</v>
      </c>
      <c r="AC45" s="103">
        <v>0</v>
      </c>
      <c r="AD45" s="98">
        <f t="shared" si="19"/>
        <v>186709.55419149995</v>
      </c>
      <c r="AE45" s="98">
        <f t="shared" si="12"/>
        <v>3767.3437084644861</v>
      </c>
    </row>
    <row r="46" spans="1:31" x14ac:dyDescent="0.3">
      <c r="A46" s="30" t="s">
        <v>55</v>
      </c>
      <c r="B46" s="10">
        <v>700</v>
      </c>
      <c r="C46" s="11"/>
      <c r="D46" s="12"/>
      <c r="E46" s="12"/>
      <c r="F46" s="11"/>
      <c r="G46" s="12"/>
      <c r="H46" s="12"/>
      <c r="I46" s="12"/>
      <c r="J46" s="12">
        <f t="shared" si="14"/>
        <v>0</v>
      </c>
      <c r="K46" s="12"/>
      <c r="L46" s="12"/>
      <c r="M46" s="12"/>
      <c r="N46" s="13">
        <f t="shared" si="13"/>
        <v>700</v>
      </c>
      <c r="O46" s="14"/>
      <c r="P46" s="15">
        <f t="shared" si="7"/>
        <v>700</v>
      </c>
      <c r="R46" s="90">
        <v>10009239</v>
      </c>
      <c r="S46" s="92">
        <f>IFERROR(INDEX([1]Resumen!$K$3:$K$63,MATCH(R46,[1]Resumen!$C$3:$C$63,0)),0)*(1+T46*U46)/1000</f>
        <v>3.441681665997347</v>
      </c>
      <c r="T46" s="93">
        <v>0.56000000000000005</v>
      </c>
      <c r="U46" s="94">
        <v>0</v>
      </c>
      <c r="V46" s="96">
        <f t="shared" si="15"/>
        <v>0.7</v>
      </c>
      <c r="W46" s="97">
        <f t="shared" si="8"/>
        <v>2409.1771661981429</v>
      </c>
      <c r="X46" s="102">
        <f t="shared" si="9"/>
        <v>145.488</v>
      </c>
      <c r="Y46" s="97">
        <f t="shared" si="16"/>
        <v>27.808543983822045</v>
      </c>
      <c r="Z46" s="97">
        <f t="shared" si="17"/>
        <v>54.66688574317493</v>
      </c>
      <c r="AA46" s="97">
        <f t="shared" si="18"/>
        <v>43.700224974721948</v>
      </c>
      <c r="AB46" s="97">
        <v>0</v>
      </c>
      <c r="AC46" s="103">
        <v>0</v>
      </c>
      <c r="AD46" s="98">
        <f t="shared" si="19"/>
        <v>2637.1405959251397</v>
      </c>
      <c r="AE46" s="98">
        <f t="shared" si="12"/>
        <v>3767.3437084644856</v>
      </c>
    </row>
    <row r="47" spans="1:31" x14ac:dyDescent="0.3">
      <c r="A47" s="20" t="s">
        <v>56</v>
      </c>
      <c r="B47" s="10">
        <v>260</v>
      </c>
      <c r="C47" s="11"/>
      <c r="D47" s="12"/>
      <c r="E47" s="12"/>
      <c r="F47" s="11"/>
      <c r="G47" s="12"/>
      <c r="H47" s="12"/>
      <c r="I47" s="12"/>
      <c r="J47" s="12">
        <f t="shared" si="14"/>
        <v>0</v>
      </c>
      <c r="K47" s="12"/>
      <c r="L47" s="12"/>
      <c r="M47" s="12"/>
      <c r="N47" s="13">
        <f t="shared" si="13"/>
        <v>260</v>
      </c>
      <c r="O47" s="14"/>
      <c r="P47" s="15">
        <f>+N47-O47-260</f>
        <v>0</v>
      </c>
      <c r="R47" s="91">
        <v>10009334</v>
      </c>
      <c r="S47" s="92">
        <f>IFERROR(INDEX([1]Resumen!$K$3:$K$63,MATCH(R47,[1]Resumen!$C$3:$C$63,0)),0)*(1+T47*U47)/1000</f>
        <v>3.0200740355810347</v>
      </c>
      <c r="T47" s="93">
        <v>0.68</v>
      </c>
      <c r="U47" s="94">
        <v>0</v>
      </c>
      <c r="V47" s="96">
        <f t="shared" si="15"/>
        <v>0</v>
      </c>
      <c r="W47" s="97">
        <f t="shared" si="8"/>
        <v>0</v>
      </c>
      <c r="X47" s="102">
        <f t="shared" si="9"/>
        <v>0</v>
      </c>
      <c r="Y47" s="97">
        <f t="shared" si="16"/>
        <v>0</v>
      </c>
      <c r="Z47" s="97">
        <f t="shared" si="17"/>
        <v>0</v>
      </c>
      <c r="AA47" s="97">
        <f t="shared" si="18"/>
        <v>0</v>
      </c>
      <c r="AB47" s="97">
        <v>0</v>
      </c>
      <c r="AC47" s="103">
        <v>0</v>
      </c>
      <c r="AD47" s="98">
        <f t="shared" si="19"/>
        <v>0</v>
      </c>
      <c r="AE47" s="98">
        <f t="shared" si="12"/>
        <v>0</v>
      </c>
    </row>
    <row r="48" spans="1:31" x14ac:dyDescent="0.3">
      <c r="A48" s="20" t="s">
        <v>57</v>
      </c>
      <c r="B48" s="10">
        <v>59472</v>
      </c>
      <c r="C48" s="11">
        <v>8406</v>
      </c>
      <c r="D48" s="12">
        <v>5580</v>
      </c>
      <c r="E48" s="12"/>
      <c r="F48" s="11"/>
      <c r="G48" s="12"/>
      <c r="H48" s="12"/>
      <c r="I48" s="12"/>
      <c r="J48" s="12">
        <f t="shared" si="14"/>
        <v>13986</v>
      </c>
      <c r="K48" s="12">
        <v>24552</v>
      </c>
      <c r="L48" s="12"/>
      <c r="M48" s="12"/>
      <c r="N48" s="13">
        <f t="shared" si="13"/>
        <v>48906</v>
      </c>
      <c r="O48" s="14">
        <f>25000*3+108000-3276</f>
        <v>179724</v>
      </c>
      <c r="P48" s="18">
        <f t="shared" si="7"/>
        <v>-130818</v>
      </c>
      <c r="R48" s="91">
        <v>10009334</v>
      </c>
      <c r="S48" s="92">
        <f>IFERROR(INDEX([1]Resumen!$K$3:$K$63,MATCH(R48,[1]Resumen!$C$3:$C$63,0)),0)*(1+T48*U48)/1000</f>
        <v>3.0200740355810347</v>
      </c>
      <c r="T48" s="93">
        <v>0.68</v>
      </c>
      <c r="U48" s="94">
        <v>0</v>
      </c>
      <c r="V48" s="96">
        <f t="shared" si="15"/>
        <v>0</v>
      </c>
      <c r="W48" s="97">
        <f t="shared" si="8"/>
        <v>0</v>
      </c>
      <c r="X48" s="102">
        <f t="shared" si="9"/>
        <v>0</v>
      </c>
      <c r="Y48" s="97">
        <f t="shared" si="16"/>
        <v>0</v>
      </c>
      <c r="Z48" s="97">
        <f t="shared" si="17"/>
        <v>0</v>
      </c>
      <c r="AA48" s="97">
        <f t="shared" si="18"/>
        <v>0</v>
      </c>
      <c r="AB48" s="97">
        <v>0</v>
      </c>
      <c r="AC48" s="103">
        <v>0</v>
      </c>
      <c r="AD48" s="98">
        <f t="shared" si="19"/>
        <v>0</v>
      </c>
      <c r="AE48" s="98">
        <f t="shared" si="12"/>
        <v>0</v>
      </c>
    </row>
    <row r="49" spans="1:31" x14ac:dyDescent="0.3">
      <c r="A49" s="20" t="s">
        <v>58</v>
      </c>
      <c r="B49" s="10">
        <v>12068</v>
      </c>
      <c r="C49" s="11">
        <v>360</v>
      </c>
      <c r="D49" s="12">
        <v>198</v>
      </c>
      <c r="E49" s="12"/>
      <c r="F49" s="11"/>
      <c r="G49" s="12"/>
      <c r="H49" s="12"/>
      <c r="I49" s="12"/>
      <c r="J49" s="12">
        <f t="shared" si="14"/>
        <v>558</v>
      </c>
      <c r="K49" s="12">
        <v>1998</v>
      </c>
      <c r="L49" s="12"/>
      <c r="M49" s="12"/>
      <c r="N49" s="13">
        <f t="shared" si="13"/>
        <v>10628</v>
      </c>
      <c r="O49" s="14">
        <f>6000+3276</f>
        <v>9276</v>
      </c>
      <c r="P49" s="15">
        <f t="shared" si="7"/>
        <v>1352</v>
      </c>
      <c r="R49" s="91">
        <v>10009334</v>
      </c>
      <c r="S49" s="92">
        <f>IFERROR(INDEX([1]Resumen!$K$3:$K$63,MATCH(R49,[1]Resumen!$C$3:$C$63,0)),0)*(1+T49*U49)/1000</f>
        <v>3.0200740355810347</v>
      </c>
      <c r="T49" s="93">
        <v>0.68</v>
      </c>
      <c r="U49" s="94">
        <v>0</v>
      </c>
      <c r="V49" s="96">
        <f t="shared" si="15"/>
        <v>1.3520000000000001</v>
      </c>
      <c r="W49" s="97">
        <f t="shared" si="8"/>
        <v>4083.1400961055592</v>
      </c>
      <c r="X49" s="102">
        <f t="shared" si="9"/>
        <v>280.99968000000001</v>
      </c>
      <c r="Y49" s="97">
        <f t="shared" si="16"/>
        <v>53.710216380182011</v>
      </c>
      <c r="Z49" s="97">
        <f t="shared" si="17"/>
        <v>105.58518503538932</v>
      </c>
      <c r="AA49" s="97">
        <f t="shared" si="18"/>
        <v>84.403863094034392</v>
      </c>
      <c r="AB49" s="97">
        <v>0</v>
      </c>
      <c r="AC49" s="103">
        <v>0</v>
      </c>
      <c r="AD49" s="98">
        <f t="shared" si="19"/>
        <v>4523.4351775211308</v>
      </c>
      <c r="AE49" s="98">
        <f t="shared" si="12"/>
        <v>3345.7360780481736</v>
      </c>
    </row>
    <row r="50" spans="1:31" x14ac:dyDescent="0.3">
      <c r="A50" s="16" t="s">
        <v>59</v>
      </c>
      <c r="B50" s="10">
        <v>54300</v>
      </c>
      <c r="C50" s="11">
        <v>1180</v>
      </c>
      <c r="D50" s="31">
        <v>620</v>
      </c>
      <c r="E50" s="31">
        <v>200</v>
      </c>
      <c r="F50" s="11"/>
      <c r="G50" s="12"/>
      <c r="H50" s="12"/>
      <c r="I50" s="12"/>
      <c r="J50" s="12">
        <f t="shared" si="14"/>
        <v>2000</v>
      </c>
      <c r="K50" s="12">
        <v>25760</v>
      </c>
      <c r="L50" s="12">
        <f>26500</f>
        <v>26500</v>
      </c>
      <c r="M50" s="12"/>
      <c r="N50" s="13">
        <f t="shared" si="13"/>
        <v>4040</v>
      </c>
      <c r="O50" s="14">
        <f>26500-26500</f>
        <v>0</v>
      </c>
      <c r="P50" s="17">
        <f>+N50-O50</f>
        <v>4040</v>
      </c>
      <c r="R50" s="90">
        <v>10007050</v>
      </c>
      <c r="S50" s="92">
        <f>IFERROR(INDEX([1]Resumen!$K$3:$K$63,MATCH(R50,[1]Resumen!$C$3:$C$63,0)),0)*(1+T50*U50)/1000</f>
        <v>1.5705963362842754</v>
      </c>
      <c r="T50" s="93">
        <v>0.68</v>
      </c>
      <c r="U50" s="94">
        <v>0</v>
      </c>
      <c r="V50" s="96">
        <f t="shared" si="15"/>
        <v>4.04</v>
      </c>
      <c r="W50" s="97">
        <f t="shared" si="8"/>
        <v>6345.2091985884726</v>
      </c>
      <c r="X50" s="102">
        <f t="shared" si="9"/>
        <v>839.67359999999996</v>
      </c>
      <c r="Y50" s="97">
        <f t="shared" si="16"/>
        <v>160.49502527805868</v>
      </c>
      <c r="Z50" s="97">
        <f t="shared" si="17"/>
        <v>315.50602628918108</v>
      </c>
      <c r="AA50" s="97">
        <f t="shared" si="18"/>
        <v>252.21272699696667</v>
      </c>
      <c r="AB50" s="97">
        <v>0</v>
      </c>
      <c r="AC50" s="103">
        <v>0</v>
      </c>
      <c r="AD50" s="98">
        <f t="shared" si="19"/>
        <v>7660.8838501557129</v>
      </c>
      <c r="AE50" s="98">
        <f t="shared" si="12"/>
        <v>1896.2583787514141</v>
      </c>
    </row>
    <row r="51" spans="1:31" x14ac:dyDescent="0.3">
      <c r="A51" s="16" t="s">
        <v>60</v>
      </c>
      <c r="B51" s="10">
        <v>41855</v>
      </c>
      <c r="C51" s="11">
        <v>1440</v>
      </c>
      <c r="D51" s="31">
        <v>825</v>
      </c>
      <c r="E51" s="31">
        <v>345</v>
      </c>
      <c r="F51" s="11"/>
      <c r="G51" s="12"/>
      <c r="H51" s="12"/>
      <c r="I51" s="12"/>
      <c r="J51" s="12">
        <f t="shared" si="14"/>
        <v>2610</v>
      </c>
      <c r="K51" s="12"/>
      <c r="L51" s="12"/>
      <c r="M51" s="12"/>
      <c r="N51" s="13">
        <f t="shared" si="13"/>
        <v>44465</v>
      </c>
      <c r="O51" s="14"/>
      <c r="P51" s="15">
        <f>+N51-O51</f>
        <v>44465</v>
      </c>
      <c r="R51" s="90">
        <v>10007050</v>
      </c>
      <c r="S51" s="92">
        <f>IFERROR(INDEX([1]Resumen!$K$3:$K$63,MATCH(R51,[1]Resumen!$C$3:$C$63,0)),0)*(1+T51*U51)/1000</f>
        <v>1.5705963362842754</v>
      </c>
      <c r="T51" s="93">
        <v>0.68</v>
      </c>
      <c r="U51" s="94">
        <v>0</v>
      </c>
      <c r="V51" s="96">
        <f t="shared" si="15"/>
        <v>44.465000000000003</v>
      </c>
      <c r="W51" s="97">
        <f t="shared" si="8"/>
        <v>69836.566092880312</v>
      </c>
      <c r="X51" s="102">
        <f t="shared" si="9"/>
        <v>9241.6056000000008</v>
      </c>
      <c r="Y51" s="97">
        <f t="shared" si="16"/>
        <v>1766.4384403437821</v>
      </c>
      <c r="Z51" s="97">
        <f t="shared" si="17"/>
        <v>3472.5186779575338</v>
      </c>
      <c r="AA51" s="97">
        <f t="shared" si="18"/>
        <v>2775.9007192871595</v>
      </c>
      <c r="AB51" s="97">
        <v>0</v>
      </c>
      <c r="AC51" s="103">
        <v>0</v>
      </c>
      <c r="AD51" s="98">
        <f t="shared" si="19"/>
        <v>84317.128811181625</v>
      </c>
      <c r="AE51" s="98">
        <f t="shared" si="12"/>
        <v>1896.2583787514138</v>
      </c>
    </row>
    <row r="52" spans="1:31" x14ac:dyDescent="0.3">
      <c r="A52" s="16" t="s">
        <v>61</v>
      </c>
      <c r="B52" s="10">
        <v>30090</v>
      </c>
      <c r="C52" s="11">
        <v>1155</v>
      </c>
      <c r="D52" s="12">
        <v>825</v>
      </c>
      <c r="E52" s="12">
        <v>330</v>
      </c>
      <c r="F52" s="11"/>
      <c r="G52" s="12"/>
      <c r="H52" s="12"/>
      <c r="I52" s="12"/>
      <c r="J52" s="12">
        <f t="shared" si="14"/>
        <v>2310</v>
      </c>
      <c r="K52" s="12"/>
      <c r="L52" s="12"/>
      <c r="M52" s="12"/>
      <c r="N52" s="13">
        <f t="shared" si="13"/>
        <v>32400</v>
      </c>
      <c r="O52" s="14"/>
      <c r="P52" s="17">
        <f t="shared" si="7"/>
        <v>32400</v>
      </c>
      <c r="R52" s="90">
        <v>10007050</v>
      </c>
      <c r="S52" s="92">
        <f>IFERROR(INDEX([1]Resumen!$K$3:$K$63,MATCH(R52,[1]Resumen!$C$3:$C$63,0)),0)*(1+T52*U52)/1000</f>
        <v>1.5705963362842754</v>
      </c>
      <c r="T52" s="93">
        <v>0.68</v>
      </c>
      <c r="U52" s="94">
        <v>0</v>
      </c>
      <c r="V52" s="96">
        <f t="shared" si="15"/>
        <v>32.4</v>
      </c>
      <c r="W52" s="97">
        <f t="shared" si="8"/>
        <v>50887.32129561052</v>
      </c>
      <c r="X52" s="102">
        <f t="shared" si="9"/>
        <v>6734.0159999999996</v>
      </c>
      <c r="Y52" s="97">
        <f t="shared" si="16"/>
        <v>1287.138321536906</v>
      </c>
      <c r="Z52" s="97">
        <f t="shared" si="17"/>
        <v>2530.2958543983827</v>
      </c>
      <c r="AA52" s="97">
        <f t="shared" si="18"/>
        <v>2022.6961274014159</v>
      </c>
      <c r="AB52" s="97">
        <v>0</v>
      </c>
      <c r="AC52" s="103">
        <v>0</v>
      </c>
      <c r="AD52" s="98">
        <f t="shared" si="19"/>
        <v>61438.771471545806</v>
      </c>
      <c r="AE52" s="98">
        <f t="shared" si="12"/>
        <v>1896.2583787514138</v>
      </c>
    </row>
    <row r="53" spans="1:31" x14ac:dyDescent="0.3">
      <c r="A53" s="10" t="s">
        <v>62</v>
      </c>
      <c r="B53" s="10">
        <v>0</v>
      </c>
      <c r="C53" s="11"/>
      <c r="D53" s="12"/>
      <c r="E53" s="12"/>
      <c r="F53" s="11"/>
      <c r="G53" s="12"/>
      <c r="H53" s="12"/>
      <c r="I53" s="12"/>
      <c r="J53" s="12">
        <f t="shared" si="14"/>
        <v>0</v>
      </c>
      <c r="K53" s="12"/>
      <c r="L53" s="12"/>
      <c r="M53" s="12"/>
      <c r="N53" s="13">
        <f t="shared" ref="N53:N58" si="20">+J53+B53-K53-L53</f>
        <v>0</v>
      </c>
      <c r="O53" s="14"/>
      <c r="P53" s="15">
        <f t="shared" si="7"/>
        <v>0</v>
      </c>
      <c r="V53" s="96">
        <f t="shared" si="15"/>
        <v>0</v>
      </c>
      <c r="W53" s="97">
        <f t="shared" si="8"/>
        <v>0</v>
      </c>
      <c r="X53" s="102">
        <f t="shared" si="9"/>
        <v>0</v>
      </c>
      <c r="Y53" s="97">
        <f t="shared" si="16"/>
        <v>0</v>
      </c>
      <c r="Z53" s="97">
        <f t="shared" si="17"/>
        <v>0</v>
      </c>
      <c r="AA53" s="97">
        <f t="shared" si="18"/>
        <v>0</v>
      </c>
      <c r="AB53" s="97">
        <v>0</v>
      </c>
      <c r="AC53" s="103">
        <v>0</v>
      </c>
      <c r="AD53" s="98">
        <f t="shared" si="19"/>
        <v>0</v>
      </c>
      <c r="AE53" s="98">
        <f t="shared" si="12"/>
        <v>0</v>
      </c>
    </row>
    <row r="54" spans="1:31" x14ac:dyDescent="0.3">
      <c r="A54" s="10" t="s">
        <v>63</v>
      </c>
      <c r="B54" s="10">
        <v>0</v>
      </c>
      <c r="C54" s="11"/>
      <c r="D54" s="12"/>
      <c r="E54" s="12"/>
      <c r="F54" s="11"/>
      <c r="G54" s="12"/>
      <c r="H54" s="12"/>
      <c r="I54" s="12"/>
      <c r="J54" s="12">
        <f t="shared" si="14"/>
        <v>0</v>
      </c>
      <c r="K54" s="12"/>
      <c r="L54" s="12"/>
      <c r="M54" s="12"/>
      <c r="N54" s="13">
        <f t="shared" si="20"/>
        <v>0</v>
      </c>
      <c r="O54" s="14"/>
      <c r="P54" s="15">
        <f t="shared" si="7"/>
        <v>0</v>
      </c>
      <c r="V54" s="96">
        <f t="shared" si="15"/>
        <v>0</v>
      </c>
      <c r="W54" s="97">
        <f t="shared" si="8"/>
        <v>0</v>
      </c>
      <c r="X54" s="102">
        <f t="shared" si="9"/>
        <v>0</v>
      </c>
      <c r="Y54" s="97">
        <f t="shared" si="16"/>
        <v>0</v>
      </c>
      <c r="Z54" s="97">
        <f t="shared" si="17"/>
        <v>0</v>
      </c>
      <c r="AA54" s="97">
        <f t="shared" si="18"/>
        <v>0</v>
      </c>
      <c r="AB54" s="97">
        <v>0</v>
      </c>
      <c r="AC54" s="103">
        <v>0</v>
      </c>
      <c r="AD54" s="98">
        <f t="shared" si="19"/>
        <v>0</v>
      </c>
      <c r="AE54" s="98">
        <f t="shared" si="12"/>
        <v>0</v>
      </c>
    </row>
    <row r="55" spans="1:31" x14ac:dyDescent="0.3">
      <c r="A55" s="10" t="s">
        <v>64</v>
      </c>
      <c r="B55" s="10">
        <v>0</v>
      </c>
      <c r="C55" s="11"/>
      <c r="D55" s="12"/>
      <c r="E55" s="12"/>
      <c r="F55" s="11"/>
      <c r="G55" s="12"/>
      <c r="H55" s="12"/>
      <c r="I55" s="12"/>
      <c r="J55" s="12">
        <f t="shared" si="14"/>
        <v>0</v>
      </c>
      <c r="K55" s="12"/>
      <c r="L55" s="12"/>
      <c r="M55" s="12"/>
      <c r="N55" s="13">
        <f t="shared" si="20"/>
        <v>0</v>
      </c>
      <c r="O55" s="14"/>
      <c r="P55" s="15">
        <f t="shared" si="7"/>
        <v>0</v>
      </c>
      <c r="V55" s="96">
        <f t="shared" si="15"/>
        <v>0</v>
      </c>
      <c r="W55" s="97">
        <f t="shared" si="8"/>
        <v>0</v>
      </c>
      <c r="X55" s="102">
        <f t="shared" si="9"/>
        <v>0</v>
      </c>
      <c r="Y55" s="97">
        <f t="shared" si="16"/>
        <v>0</v>
      </c>
      <c r="Z55" s="97">
        <f t="shared" si="17"/>
        <v>0</v>
      </c>
      <c r="AA55" s="97">
        <f t="shared" si="18"/>
        <v>0</v>
      </c>
      <c r="AB55" s="97">
        <v>0</v>
      </c>
      <c r="AC55" s="103">
        <v>0</v>
      </c>
      <c r="AD55" s="98">
        <f t="shared" si="19"/>
        <v>0</v>
      </c>
      <c r="AE55" s="98">
        <f t="shared" si="12"/>
        <v>0</v>
      </c>
    </row>
    <row r="56" spans="1:31" x14ac:dyDescent="0.3">
      <c r="A56" s="10" t="s">
        <v>65</v>
      </c>
      <c r="B56" s="10">
        <v>0</v>
      </c>
      <c r="C56" s="11"/>
      <c r="D56" s="12"/>
      <c r="E56" s="10"/>
      <c r="F56" s="27"/>
      <c r="G56" s="10"/>
      <c r="H56" s="10"/>
      <c r="I56" s="10"/>
      <c r="J56" s="12">
        <f t="shared" si="14"/>
        <v>0</v>
      </c>
      <c r="K56" s="10"/>
      <c r="L56" s="10"/>
      <c r="M56" s="10"/>
      <c r="N56" s="13">
        <f t="shared" si="20"/>
        <v>0</v>
      </c>
      <c r="O56" s="14"/>
      <c r="P56" s="15">
        <f t="shared" si="7"/>
        <v>0</v>
      </c>
      <c r="V56" s="96">
        <f t="shared" si="15"/>
        <v>0</v>
      </c>
      <c r="W56" s="97">
        <f t="shared" si="8"/>
        <v>0</v>
      </c>
      <c r="X56" s="102">
        <f t="shared" si="9"/>
        <v>0</v>
      </c>
      <c r="Y56" s="97">
        <f t="shared" si="16"/>
        <v>0</v>
      </c>
      <c r="Z56" s="97">
        <f t="shared" si="17"/>
        <v>0</v>
      </c>
      <c r="AA56" s="97">
        <f t="shared" si="18"/>
        <v>0</v>
      </c>
      <c r="AB56" s="97">
        <v>0</v>
      </c>
      <c r="AC56" s="103">
        <v>0</v>
      </c>
      <c r="AD56" s="98">
        <f t="shared" si="19"/>
        <v>0</v>
      </c>
      <c r="AE56" s="98">
        <f t="shared" si="12"/>
        <v>0</v>
      </c>
    </row>
    <row r="57" spans="1:31" x14ac:dyDescent="0.3">
      <c r="A57" s="10" t="s">
        <v>66</v>
      </c>
      <c r="B57" s="10">
        <v>0</v>
      </c>
      <c r="C57" s="27"/>
      <c r="D57" s="10"/>
      <c r="E57" s="10"/>
      <c r="F57" s="27"/>
      <c r="G57" s="10"/>
      <c r="H57" s="10"/>
      <c r="I57" s="10"/>
      <c r="J57" s="12">
        <f t="shared" si="14"/>
        <v>0</v>
      </c>
      <c r="K57" s="10"/>
      <c r="L57" s="10"/>
      <c r="M57" s="10"/>
      <c r="N57" s="13">
        <f t="shared" si="20"/>
        <v>0</v>
      </c>
      <c r="O57" s="14"/>
      <c r="P57" s="15">
        <f t="shared" si="7"/>
        <v>0</v>
      </c>
      <c r="V57" s="96">
        <f t="shared" si="15"/>
        <v>0</v>
      </c>
      <c r="W57" s="97">
        <f t="shared" si="8"/>
        <v>0</v>
      </c>
      <c r="X57" s="102">
        <f t="shared" si="9"/>
        <v>0</v>
      </c>
      <c r="Y57" s="97">
        <f t="shared" si="16"/>
        <v>0</v>
      </c>
      <c r="Z57" s="97">
        <f t="shared" si="17"/>
        <v>0</v>
      </c>
      <c r="AA57" s="97">
        <f t="shared" si="18"/>
        <v>0</v>
      </c>
      <c r="AB57" s="97">
        <v>0</v>
      </c>
      <c r="AC57" s="103">
        <v>0</v>
      </c>
      <c r="AD57" s="98">
        <f t="shared" si="19"/>
        <v>0</v>
      </c>
      <c r="AE57" s="98">
        <f t="shared" si="12"/>
        <v>0</v>
      </c>
    </row>
    <row r="58" spans="1:31" ht="16.2" thickBot="1" x14ac:dyDescent="0.35">
      <c r="A58" s="32" t="s">
        <v>67</v>
      </c>
      <c r="B58" s="10">
        <v>0</v>
      </c>
      <c r="C58" s="27"/>
      <c r="D58" s="12"/>
      <c r="E58" s="10"/>
      <c r="F58" s="27"/>
      <c r="G58" s="10"/>
      <c r="H58" s="10"/>
      <c r="I58" s="10"/>
      <c r="J58" s="12">
        <f t="shared" si="14"/>
        <v>0</v>
      </c>
      <c r="K58" s="10"/>
      <c r="L58" s="10"/>
      <c r="M58" s="10"/>
      <c r="N58" s="13">
        <f t="shared" si="20"/>
        <v>0</v>
      </c>
      <c r="O58" s="14"/>
      <c r="P58" s="15">
        <f t="shared" si="7"/>
        <v>0</v>
      </c>
      <c r="V58" s="96">
        <f t="shared" si="15"/>
        <v>0</v>
      </c>
      <c r="W58" s="97">
        <f t="shared" si="8"/>
        <v>0</v>
      </c>
      <c r="X58" s="102">
        <f t="shared" si="9"/>
        <v>0</v>
      </c>
      <c r="Y58" s="97">
        <f t="shared" si="16"/>
        <v>0</v>
      </c>
      <c r="Z58" s="97">
        <f t="shared" si="17"/>
        <v>0</v>
      </c>
      <c r="AA58" s="97">
        <f t="shared" si="18"/>
        <v>0</v>
      </c>
      <c r="AB58" s="97">
        <v>0</v>
      </c>
      <c r="AC58" s="103">
        <v>0</v>
      </c>
      <c r="AD58" s="98">
        <f t="shared" si="19"/>
        <v>0</v>
      </c>
      <c r="AE58" s="98">
        <f t="shared" si="12"/>
        <v>0</v>
      </c>
    </row>
    <row r="59" spans="1:31" ht="16.2" thickBot="1" x14ac:dyDescent="0.35">
      <c r="A59" s="33" t="s">
        <v>68</v>
      </c>
      <c r="B59" s="34">
        <v>2055245</v>
      </c>
      <c r="C59" s="34">
        <f>SUM(C2:C58)</f>
        <v>78561</v>
      </c>
      <c r="D59" s="34">
        <f t="shared" ref="D59:I59" si="21">SUM(D2:D58)</f>
        <v>38208</v>
      </c>
      <c r="E59" s="34">
        <f t="shared" si="21"/>
        <v>18955</v>
      </c>
      <c r="F59" s="35">
        <f t="shared" si="21"/>
        <v>0</v>
      </c>
      <c r="G59" s="34">
        <f t="shared" si="21"/>
        <v>0</v>
      </c>
      <c r="H59" s="34">
        <f t="shared" si="21"/>
        <v>0</v>
      </c>
      <c r="I59" s="34">
        <f t="shared" si="21"/>
        <v>0</v>
      </c>
      <c r="J59" s="34">
        <f t="shared" si="14"/>
        <v>135724</v>
      </c>
      <c r="K59" s="34">
        <f>SUM(K2:K58)</f>
        <v>480590</v>
      </c>
      <c r="L59" s="34">
        <f>SUM(L2:L58)</f>
        <v>373500</v>
      </c>
      <c r="M59" s="34"/>
      <c r="N59" s="34">
        <f>SUM(N2:N58)</f>
        <v>1362639</v>
      </c>
      <c r="O59" s="34">
        <f>SUM(O2:O58)</f>
        <v>977500</v>
      </c>
      <c r="P59" s="15">
        <f>+P52+P51+P49+P50+P46+P45+P44+P42+P40+P36+P34+P33+P32+P31+P30+P29+P28+P27+P26+P21+P20+P19+P18+P17+P16+P10+P2</f>
        <v>777257</v>
      </c>
      <c r="V59" s="99">
        <f>SUM(V2:V58)</f>
        <v>777.93700000000001</v>
      </c>
      <c r="W59" s="100">
        <f t="shared" ref="W59:AB59" si="22">SUM(W2:W58)</f>
        <v>1564620.8522822545</v>
      </c>
      <c r="X59" s="100">
        <f t="shared" si="22"/>
        <v>161686.42608000003</v>
      </c>
      <c r="Y59" s="100">
        <f t="shared" si="22"/>
        <v>30904.707544489393</v>
      </c>
      <c r="Z59" s="100">
        <f t="shared" si="22"/>
        <v>60753.418706268974</v>
      </c>
      <c r="AA59" s="100">
        <f t="shared" si="22"/>
        <v>48565.745594514665</v>
      </c>
      <c r="AB59" s="100">
        <f t="shared" si="22"/>
        <v>0</v>
      </c>
      <c r="AC59" s="104">
        <v>0</v>
      </c>
      <c r="AD59" s="101">
        <f>SUM(AD2:AD58)</f>
        <v>1817965.4046130127</v>
      </c>
      <c r="AE59" s="101">
        <f>IFERROR(AD59/V59,0)</f>
        <v>2336.9056936654415</v>
      </c>
    </row>
    <row r="60" spans="1:31" ht="16.2" thickBot="1" x14ac:dyDescent="0.35">
      <c r="A60" s="16" t="s">
        <v>69</v>
      </c>
      <c r="B60" s="10"/>
      <c r="C60" s="36">
        <f>64090+64885</f>
        <v>128975</v>
      </c>
      <c r="D60" s="36">
        <v>60224</v>
      </c>
      <c r="E60" s="36">
        <v>29797</v>
      </c>
      <c r="F60" s="37"/>
      <c r="G60" s="36"/>
      <c r="H60" s="36"/>
      <c r="I60" s="36"/>
      <c r="J60" s="36"/>
      <c r="K60" s="38" t="s">
        <v>70</v>
      </c>
      <c r="L60" s="38"/>
      <c r="M60" s="38"/>
      <c r="N60" s="39">
        <v>1772421</v>
      </c>
      <c r="O60" s="40">
        <v>1091000</v>
      </c>
      <c r="P60" s="41"/>
      <c r="V60"/>
      <c r="W60"/>
      <c r="X60"/>
      <c r="Y60"/>
      <c r="Z60"/>
      <c r="AA60"/>
      <c r="AB60"/>
      <c r="AC60"/>
      <c r="AD60"/>
      <c r="AE60"/>
    </row>
    <row r="61" spans="1:31" ht="16.2" thickBot="1" x14ac:dyDescent="0.35">
      <c r="A61" s="16" t="s">
        <v>71</v>
      </c>
      <c r="B61" s="10"/>
      <c r="C61" s="36"/>
      <c r="D61" s="36"/>
      <c r="E61" s="36"/>
      <c r="F61" s="37"/>
      <c r="G61" s="36"/>
      <c r="H61" s="36"/>
      <c r="I61" s="36"/>
      <c r="J61" s="36"/>
      <c r="K61" s="38">
        <f>+J61/0.8</f>
        <v>0</v>
      </c>
      <c r="L61" s="38"/>
      <c r="M61" s="38"/>
      <c r="N61" s="39">
        <f>+N59-N60</f>
        <v>-409782</v>
      </c>
      <c r="O61" s="42">
        <f>+O60-O59</f>
        <v>113500</v>
      </c>
      <c r="P61" s="41"/>
      <c r="V61"/>
      <c r="W61"/>
      <c r="X61" t="s">
        <v>177</v>
      </c>
      <c r="Y61" s="100">
        <v>78579.000000000015</v>
      </c>
      <c r="Z61" s="100">
        <v>154473.00000000003</v>
      </c>
      <c r="AA61" s="100">
        <v>123484.35000000002</v>
      </c>
      <c r="AB61"/>
      <c r="AC61"/>
      <c r="AD61"/>
      <c r="AE61"/>
    </row>
    <row r="62" spans="1:31" x14ac:dyDescent="0.3">
      <c r="A62" s="16" t="s">
        <v>72</v>
      </c>
      <c r="B62" s="43"/>
      <c r="C62" s="44">
        <f t="shared" ref="C62:H62" si="23">+C61+C60</f>
        <v>128975</v>
      </c>
      <c r="D62" s="44">
        <f t="shared" si="23"/>
        <v>60224</v>
      </c>
      <c r="E62" s="44">
        <f t="shared" si="23"/>
        <v>29797</v>
      </c>
      <c r="F62" s="45">
        <f t="shared" si="23"/>
        <v>0</v>
      </c>
      <c r="G62" s="44">
        <f t="shared" si="23"/>
        <v>0</v>
      </c>
      <c r="H62" s="44">
        <f t="shared" si="23"/>
        <v>0</v>
      </c>
      <c r="I62" s="44">
        <f>+I60+I61</f>
        <v>0</v>
      </c>
      <c r="J62" s="44">
        <f>+J61+J60</f>
        <v>0</v>
      </c>
      <c r="K62" s="46">
        <f>+J60+K61</f>
        <v>0</v>
      </c>
      <c r="L62" s="38"/>
      <c r="M62" s="38"/>
      <c r="N62" s="38"/>
      <c r="O62" s="40"/>
      <c r="P62" s="41"/>
    </row>
    <row r="63" spans="1:31" x14ac:dyDescent="0.3">
      <c r="A63" s="47" t="s">
        <v>73</v>
      </c>
      <c r="B63" s="48"/>
      <c r="C63" s="49">
        <f>+C59/C60</f>
        <v>0.60911804613297149</v>
      </c>
      <c r="D63" s="49">
        <f t="shared" ref="D63:H63" si="24">+D59/D60</f>
        <v>0.63443145589798089</v>
      </c>
      <c r="E63" s="49">
        <f t="shared" si="24"/>
        <v>0.63613786622814372</v>
      </c>
      <c r="F63" s="50" t="e">
        <f t="shared" si="24"/>
        <v>#DIV/0!</v>
      </c>
      <c r="G63" s="49" t="e">
        <f t="shared" si="24"/>
        <v>#DIV/0!</v>
      </c>
      <c r="H63" s="49" t="e">
        <f t="shared" si="24"/>
        <v>#DIV/0!</v>
      </c>
      <c r="I63" s="49" t="e">
        <f>+I59/I60</f>
        <v>#DIV/0!</v>
      </c>
      <c r="J63" s="49" t="e">
        <f>+J59/J60</f>
        <v>#DIV/0!</v>
      </c>
      <c r="K63" s="8">
        <v>1000000</v>
      </c>
    </row>
    <row r="64" spans="1:31" x14ac:dyDescent="0.3">
      <c r="A64" s="53" t="s">
        <v>74</v>
      </c>
      <c r="B64" s="54"/>
      <c r="C64" s="55">
        <f t="shared" ref="C64:G64" si="25">+C59/C62</f>
        <v>0.60911804613297149</v>
      </c>
      <c r="D64" s="55">
        <f t="shared" si="25"/>
        <v>0.63443145589798089</v>
      </c>
      <c r="E64" s="55">
        <f t="shared" si="25"/>
        <v>0.63613786622814372</v>
      </c>
      <c r="F64" s="56" t="e">
        <f t="shared" si="25"/>
        <v>#DIV/0!</v>
      </c>
      <c r="G64" s="55" t="e">
        <f t="shared" si="25"/>
        <v>#DIV/0!</v>
      </c>
      <c r="H64" s="57">
        <v>0</v>
      </c>
      <c r="I64" s="57" t="e">
        <f>+I59/I62</f>
        <v>#DIV/0!</v>
      </c>
      <c r="J64" s="54" t="e">
        <f>+J59/K62</f>
        <v>#DIV/0!</v>
      </c>
      <c r="K64" s="58">
        <f>+K63-K62</f>
        <v>1000000</v>
      </c>
    </row>
    <row r="65" spans="1:8" ht="40.049999999999997" customHeight="1" x14ac:dyDescent="0.3"/>
    <row r="66" spans="1:8" ht="40.049999999999997" customHeight="1" x14ac:dyDescent="0.3">
      <c r="B66" s="60">
        <f>+C59+D59+E59</f>
        <v>135724</v>
      </c>
    </row>
    <row r="67" spans="1:8" ht="40.049999999999997" customHeight="1" x14ac:dyDescent="0.3">
      <c r="B67" s="61">
        <v>107995</v>
      </c>
    </row>
    <row r="68" spans="1:8" ht="40.049999999999997" customHeight="1" x14ac:dyDescent="0.3">
      <c r="B68" s="61">
        <v>97466</v>
      </c>
      <c r="E68" s="8">
        <f>119830-118418</f>
        <v>1412</v>
      </c>
    </row>
    <row r="69" spans="1:8" ht="40.049999999999997" customHeight="1" x14ac:dyDescent="0.3">
      <c r="B69" s="60">
        <f>+B66+B67+B68</f>
        <v>341185</v>
      </c>
    </row>
    <row r="73" spans="1:8" ht="40.049999999999997" customHeight="1" x14ac:dyDescent="0.3"/>
    <row r="74" spans="1:8" ht="40.049999999999997" customHeight="1" x14ac:dyDescent="0.3">
      <c r="A74" s="188" t="s">
        <v>75</v>
      </c>
      <c r="B74" s="188"/>
      <c r="C74" s="188"/>
      <c r="D74" s="188"/>
      <c r="E74" s="188"/>
      <c r="F74" s="188"/>
      <c r="G74" s="188"/>
    </row>
    <row r="75" spans="1:8" ht="40.049999999999997" customHeight="1" x14ac:dyDescent="0.3">
      <c r="A75" s="188"/>
      <c r="B75" s="188"/>
      <c r="C75" s="188"/>
      <c r="D75" s="188"/>
      <c r="E75" s="188"/>
      <c r="F75" s="188"/>
      <c r="G75" s="188"/>
    </row>
    <row r="76" spans="1:8" ht="40.049999999999997" customHeight="1" x14ac:dyDescent="0.3">
      <c r="A76" s="62" t="s">
        <v>76</v>
      </c>
      <c r="B76" s="10" t="s">
        <v>77</v>
      </c>
      <c r="C76" s="10" t="s">
        <v>78</v>
      </c>
      <c r="D76" s="10" t="s">
        <v>0</v>
      </c>
      <c r="E76" s="10" t="s">
        <v>79</v>
      </c>
      <c r="F76" s="27" t="s">
        <v>80</v>
      </c>
      <c r="G76" s="10" t="s">
        <v>81</v>
      </c>
      <c r="H76" s="63" t="s">
        <v>7</v>
      </c>
    </row>
    <row r="77" spans="1:8" ht="40.049999999999997" customHeight="1" x14ac:dyDescent="0.3">
      <c r="A77" s="43" t="s">
        <v>82</v>
      </c>
      <c r="B77" s="43" t="s">
        <v>83</v>
      </c>
      <c r="C77" s="43">
        <v>27000</v>
      </c>
      <c r="D77" s="43" t="s">
        <v>84</v>
      </c>
      <c r="E77" s="64" t="s">
        <v>85</v>
      </c>
      <c r="F77" s="65" t="s">
        <v>86</v>
      </c>
      <c r="G77" s="43" t="s">
        <v>87</v>
      </c>
      <c r="H77" s="66"/>
    </row>
    <row r="78" spans="1:8" x14ac:dyDescent="0.3">
      <c r="A78" s="53" t="s">
        <v>82</v>
      </c>
      <c r="B78" s="53" t="s">
        <v>88</v>
      </c>
      <c r="C78" s="53">
        <v>26000</v>
      </c>
      <c r="D78" s="53" t="s">
        <v>89</v>
      </c>
      <c r="E78" s="53" t="s">
        <v>90</v>
      </c>
      <c r="F78" s="67" t="s">
        <v>86</v>
      </c>
      <c r="G78" s="53" t="s">
        <v>91</v>
      </c>
      <c r="H78" s="68"/>
    </row>
    <row r="79" spans="1:8" x14ac:dyDescent="0.3">
      <c r="A79" s="53" t="s">
        <v>82</v>
      </c>
      <c r="B79" s="53" t="s">
        <v>92</v>
      </c>
      <c r="C79" s="53">
        <v>48000</v>
      </c>
      <c r="D79" s="53" t="s">
        <v>93</v>
      </c>
      <c r="E79" s="53" t="s">
        <v>94</v>
      </c>
      <c r="F79" s="67" t="s">
        <v>95</v>
      </c>
      <c r="G79" s="53" t="s">
        <v>96</v>
      </c>
      <c r="H79" s="66"/>
    </row>
    <row r="80" spans="1:8" x14ac:dyDescent="0.3">
      <c r="A80" s="53" t="s">
        <v>82</v>
      </c>
      <c r="B80" s="53" t="s">
        <v>97</v>
      </c>
      <c r="C80" s="53">
        <v>125000</v>
      </c>
      <c r="D80" s="53" t="s">
        <v>98</v>
      </c>
      <c r="E80" s="53" t="s">
        <v>99</v>
      </c>
      <c r="F80" s="67" t="s">
        <v>100</v>
      </c>
      <c r="G80" s="53" t="s">
        <v>101</v>
      </c>
      <c r="H80" s="66" t="s">
        <v>102</v>
      </c>
    </row>
    <row r="81" spans="1:8" x14ac:dyDescent="0.3">
      <c r="A81" s="53" t="s">
        <v>82</v>
      </c>
      <c r="B81" s="53" t="s">
        <v>103</v>
      </c>
      <c r="C81" s="53">
        <v>120000</v>
      </c>
      <c r="D81" s="53" t="s">
        <v>104</v>
      </c>
      <c r="E81" s="53" t="s">
        <v>105</v>
      </c>
      <c r="F81" s="67" t="s">
        <v>106</v>
      </c>
      <c r="G81" s="53" t="s">
        <v>96</v>
      </c>
      <c r="H81" s="63" t="s">
        <v>107</v>
      </c>
    </row>
    <row r="82" spans="1:8" x14ac:dyDescent="0.3">
      <c r="A82" s="53" t="s">
        <v>82</v>
      </c>
      <c r="B82" s="53" t="s">
        <v>108</v>
      </c>
      <c r="C82" s="53">
        <v>72000</v>
      </c>
      <c r="D82" s="53" t="s">
        <v>109</v>
      </c>
      <c r="E82" s="69" t="s">
        <v>110</v>
      </c>
      <c r="F82" s="67" t="s">
        <v>111</v>
      </c>
      <c r="G82" s="53" t="s">
        <v>96</v>
      </c>
      <c r="H82" s="66"/>
    </row>
    <row r="83" spans="1:8" x14ac:dyDescent="0.3">
      <c r="A83" s="53" t="s">
        <v>82</v>
      </c>
      <c r="B83" s="53" t="s">
        <v>112</v>
      </c>
      <c r="C83" s="53">
        <v>78000</v>
      </c>
      <c r="D83" s="53" t="s">
        <v>98</v>
      </c>
      <c r="E83" s="69" t="s">
        <v>99</v>
      </c>
      <c r="F83" s="67" t="s">
        <v>86</v>
      </c>
      <c r="G83" s="53" t="s">
        <v>113</v>
      </c>
      <c r="H83" s="68" t="s">
        <v>114</v>
      </c>
    </row>
    <row r="84" spans="1:8" x14ac:dyDescent="0.3">
      <c r="A84" s="53" t="s">
        <v>82</v>
      </c>
      <c r="B84" s="53" t="s">
        <v>115</v>
      </c>
      <c r="C84" s="53">
        <v>24000</v>
      </c>
      <c r="D84" s="53" t="s">
        <v>116</v>
      </c>
      <c r="E84" s="53" t="s">
        <v>90</v>
      </c>
      <c r="F84" s="67" t="s">
        <v>117</v>
      </c>
      <c r="G84" s="53" t="s">
        <v>96</v>
      </c>
      <c r="H84" s="63"/>
    </row>
    <row r="85" spans="1:8" x14ac:dyDescent="0.3">
      <c r="A85" s="53" t="s">
        <v>82</v>
      </c>
      <c r="B85" s="53" t="s">
        <v>118</v>
      </c>
      <c r="C85" s="53">
        <v>26000</v>
      </c>
      <c r="D85" s="43" t="s">
        <v>89</v>
      </c>
      <c r="E85" s="53" t="s">
        <v>90</v>
      </c>
      <c r="F85" s="67" t="s">
        <v>86</v>
      </c>
      <c r="G85" s="53" t="s">
        <v>113</v>
      </c>
      <c r="H85" s="70">
        <v>46120</v>
      </c>
    </row>
    <row r="86" spans="1:8" x14ac:dyDescent="0.3">
      <c r="A86" s="53" t="s">
        <v>82</v>
      </c>
      <c r="B86" s="53" t="s">
        <v>119</v>
      </c>
      <c r="C86" s="53">
        <v>120000</v>
      </c>
      <c r="D86" s="53" t="s">
        <v>120</v>
      </c>
      <c r="E86" s="53" t="s">
        <v>121</v>
      </c>
      <c r="F86" s="67" t="s">
        <v>122</v>
      </c>
      <c r="G86" s="53" t="s">
        <v>96</v>
      </c>
      <c r="H86" s="66"/>
    </row>
    <row r="87" spans="1:8" x14ac:dyDescent="0.3">
      <c r="A87" s="71" t="s">
        <v>123</v>
      </c>
      <c r="B87" s="71" t="s">
        <v>124</v>
      </c>
      <c r="C87" s="71">
        <v>48000</v>
      </c>
      <c r="D87" s="71" t="s">
        <v>125</v>
      </c>
      <c r="E87" s="71" t="s">
        <v>126</v>
      </c>
      <c r="F87" s="72" t="s">
        <v>122</v>
      </c>
      <c r="G87" s="71" t="s">
        <v>96</v>
      </c>
      <c r="H87" s="73" t="s">
        <v>127</v>
      </c>
    </row>
    <row r="88" spans="1:8" x14ac:dyDescent="0.3">
      <c r="A88" s="53" t="s">
        <v>82</v>
      </c>
      <c r="B88" s="53" t="s">
        <v>128</v>
      </c>
      <c r="C88" s="53">
        <v>24000</v>
      </c>
      <c r="D88" s="53" t="s">
        <v>125</v>
      </c>
      <c r="E88" s="53" t="s">
        <v>126</v>
      </c>
      <c r="F88" s="67" t="s">
        <v>122</v>
      </c>
      <c r="G88" s="53" t="s">
        <v>96</v>
      </c>
      <c r="H88" s="54"/>
    </row>
    <row r="89" spans="1:8" x14ac:dyDescent="0.3">
      <c r="A89" s="74" t="s">
        <v>129</v>
      </c>
      <c r="B89" s="74" t="s">
        <v>130</v>
      </c>
      <c r="C89" s="74">
        <v>27000</v>
      </c>
      <c r="D89" s="74" t="s">
        <v>131</v>
      </c>
      <c r="E89" s="74" t="s">
        <v>132</v>
      </c>
      <c r="F89" s="75" t="s">
        <v>133</v>
      </c>
      <c r="G89" s="74" t="s">
        <v>134</v>
      </c>
      <c r="H89" s="54"/>
    </row>
    <row r="90" spans="1:8" x14ac:dyDescent="0.3">
      <c r="A90" s="53" t="s">
        <v>82</v>
      </c>
      <c r="B90" s="53" t="s">
        <v>135</v>
      </c>
      <c r="C90" s="53">
        <v>27000</v>
      </c>
      <c r="D90" s="53" t="s">
        <v>120</v>
      </c>
      <c r="E90" s="69" t="s">
        <v>110</v>
      </c>
      <c r="F90" s="67" t="s">
        <v>133</v>
      </c>
      <c r="G90" s="53" t="s">
        <v>134</v>
      </c>
      <c r="H90" s="76">
        <v>46119</v>
      </c>
    </row>
    <row r="91" spans="1:8" x14ac:dyDescent="0.3">
      <c r="A91" s="53" t="s">
        <v>82</v>
      </c>
      <c r="B91" s="53" t="s">
        <v>136</v>
      </c>
      <c r="C91" s="53">
        <v>27000</v>
      </c>
      <c r="D91" s="53" t="s">
        <v>93</v>
      </c>
      <c r="E91" s="53" t="s">
        <v>137</v>
      </c>
      <c r="F91" s="67" t="s">
        <v>133</v>
      </c>
      <c r="G91" s="53" t="s">
        <v>134</v>
      </c>
      <c r="H91" s="76">
        <v>46119</v>
      </c>
    </row>
    <row r="92" spans="1:8" x14ac:dyDescent="0.3">
      <c r="A92" s="53" t="s">
        <v>82</v>
      </c>
      <c r="B92" s="53" t="s">
        <v>138</v>
      </c>
      <c r="C92" s="53">
        <v>27000</v>
      </c>
      <c r="D92" s="53" t="s">
        <v>139</v>
      </c>
      <c r="E92" s="53" t="s">
        <v>140</v>
      </c>
      <c r="F92" s="67" t="s">
        <v>133</v>
      </c>
      <c r="G92" s="53" t="s">
        <v>134</v>
      </c>
      <c r="H92" s="76">
        <v>46119</v>
      </c>
    </row>
    <row r="93" spans="1:8" x14ac:dyDescent="0.3">
      <c r="A93" s="53" t="s">
        <v>82</v>
      </c>
      <c r="B93" s="53" t="s">
        <v>141</v>
      </c>
      <c r="C93" s="53">
        <v>27000</v>
      </c>
      <c r="D93" s="53" t="s">
        <v>142</v>
      </c>
      <c r="E93" s="53" t="s">
        <v>143</v>
      </c>
      <c r="F93" s="67" t="s">
        <v>133</v>
      </c>
      <c r="G93" s="53" t="s">
        <v>144</v>
      </c>
      <c r="H93" s="54"/>
    </row>
    <row r="94" spans="1:8" x14ac:dyDescent="0.3">
      <c r="A94" s="53" t="s">
        <v>82</v>
      </c>
      <c r="B94" s="53" t="s">
        <v>145</v>
      </c>
      <c r="C94" s="53">
        <v>81000</v>
      </c>
      <c r="D94" s="53" t="s">
        <v>98</v>
      </c>
      <c r="E94" s="53" t="s">
        <v>99</v>
      </c>
      <c r="F94" s="67" t="s">
        <v>133</v>
      </c>
      <c r="G94" s="53" t="s">
        <v>146</v>
      </c>
      <c r="H94" s="54"/>
    </row>
    <row r="95" spans="1:8" x14ac:dyDescent="0.3">
      <c r="A95" s="77" t="s">
        <v>147</v>
      </c>
      <c r="B95" s="77" t="s">
        <v>148</v>
      </c>
      <c r="C95" s="77">
        <v>270000</v>
      </c>
      <c r="D95" s="77" t="s">
        <v>139</v>
      </c>
      <c r="E95" s="77" t="s">
        <v>149</v>
      </c>
      <c r="F95" s="78" t="s">
        <v>133</v>
      </c>
      <c r="G95" s="77" t="s">
        <v>150</v>
      </c>
    </row>
    <row r="96" spans="1:8" x14ac:dyDescent="0.3">
      <c r="A96" s="77" t="s">
        <v>129</v>
      </c>
      <c r="B96" s="77" t="s">
        <v>148</v>
      </c>
      <c r="C96" s="77">
        <v>162000</v>
      </c>
      <c r="D96" s="77" t="s">
        <v>151</v>
      </c>
      <c r="E96" s="77" t="s">
        <v>152</v>
      </c>
      <c r="F96" s="78" t="s">
        <v>133</v>
      </c>
      <c r="G96" s="77" t="s">
        <v>150</v>
      </c>
    </row>
    <row r="97" spans="1:7" x14ac:dyDescent="0.3">
      <c r="A97" s="77" t="s">
        <v>129</v>
      </c>
      <c r="B97" s="77" t="s">
        <v>153</v>
      </c>
      <c r="C97" s="77">
        <v>27000</v>
      </c>
      <c r="D97" s="77" t="s">
        <v>151</v>
      </c>
      <c r="E97" s="77" t="s">
        <v>152</v>
      </c>
      <c r="F97" s="78" t="s">
        <v>133</v>
      </c>
      <c r="G97" s="77" t="s">
        <v>150</v>
      </c>
    </row>
    <row r="98" spans="1:7" x14ac:dyDescent="0.3">
      <c r="A98" s="77" t="s">
        <v>129</v>
      </c>
      <c r="B98" s="77" t="s">
        <v>154</v>
      </c>
      <c r="C98" s="77">
        <v>54000</v>
      </c>
      <c r="D98" s="77" t="s">
        <v>155</v>
      </c>
      <c r="E98" s="77" t="s">
        <v>156</v>
      </c>
      <c r="F98" s="78" t="s">
        <v>157</v>
      </c>
      <c r="G98" s="77" t="s">
        <v>158</v>
      </c>
    </row>
    <row r="99" spans="1:7" x14ac:dyDescent="0.3">
      <c r="A99" s="77" t="s">
        <v>129</v>
      </c>
      <c r="B99" s="77" t="s">
        <v>159</v>
      </c>
      <c r="C99" s="77">
        <v>270000</v>
      </c>
      <c r="D99" s="77" t="s">
        <v>104</v>
      </c>
      <c r="E99" s="77" t="s">
        <v>105</v>
      </c>
      <c r="F99" s="78" t="s">
        <v>133</v>
      </c>
      <c r="G99" s="77" t="s">
        <v>150</v>
      </c>
    </row>
    <row r="100" spans="1:7" x14ac:dyDescent="0.3">
      <c r="A100" s="77" t="s">
        <v>129</v>
      </c>
      <c r="B100" s="77" t="s">
        <v>159</v>
      </c>
      <c r="C100" s="77">
        <v>81000</v>
      </c>
      <c r="D100" s="77" t="s">
        <v>160</v>
      </c>
      <c r="E100" s="77" t="s">
        <v>161</v>
      </c>
      <c r="F100" s="78" t="s">
        <v>133</v>
      </c>
      <c r="G100" s="77" t="s">
        <v>162</v>
      </c>
    </row>
  </sheetData>
  <mergeCells count="1">
    <mergeCell ref="A74:G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25-5-2026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Produccion (PFRO)</dc:creator>
  <cp:lastModifiedBy>Rodrigo Sebastian Martinez Montalvo (PFRO)</cp:lastModifiedBy>
  <dcterms:created xsi:type="dcterms:W3CDTF">2026-05-25T16:12:32Z</dcterms:created>
  <dcterms:modified xsi:type="dcterms:W3CDTF">2026-05-26T02:36:10Z</dcterms:modified>
</cp:coreProperties>
</file>