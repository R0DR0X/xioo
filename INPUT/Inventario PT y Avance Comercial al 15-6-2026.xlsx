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drigom\Documents\"/>
    </mc:Choice>
  </mc:AlternateContent>
  <xr:revisionPtr revIDLastSave="0" documentId="8_{893223F7-54E9-46E0-9AA7-D60A30ECEC75}" xr6:coauthVersionLast="47" xr6:coauthVersionMax="47" xr10:uidLastSave="{00000000-0000-0000-0000-000000000000}"/>
  <bookViews>
    <workbookView xWindow="-108" yWindow="-108" windowWidth="23256" windowHeight="13896" xr2:uid="{FEAA0CDD-8568-4B8F-A65C-C6AFB9E24C69}"/>
  </bookViews>
  <sheets>
    <sheet name="RESUMEN AL 15-6-2026" sheetId="3" r:id="rId1"/>
    <sheet name="TD" sheetId="2" r:id="rId2"/>
    <sheet name="Stock Libre" sheetId="1" r:id="rId3"/>
  </sheets>
  <externalReferences>
    <externalReference r:id="rId4"/>
    <externalReference r:id="rId5"/>
  </externalReferences>
  <calcPr calcId="191029"/>
  <pivotCaches>
    <pivotCache cacheId="5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AZ18" i="3"/>
  <c r="AY18" i="3"/>
  <c r="AX18" i="3"/>
  <c r="AQ17" i="3" a="1"/>
  <c r="AQ17" i="3" s="1"/>
  <c r="AP17" i="3" a="1"/>
  <c r="AP17" i="3" s="1"/>
  <c r="AQ16" i="3" a="1"/>
  <c r="AQ16" i="3" s="1"/>
  <c r="AP16" i="3" a="1"/>
  <c r="AP16" i="3" s="1"/>
  <c r="AQ15" i="3" a="1"/>
  <c r="AQ15" i="3" s="1"/>
  <c r="AP15" i="3" a="1"/>
  <c r="AP15" i="3" s="1"/>
  <c r="AQ14" i="3" a="1"/>
  <c r="AQ14" i="3" s="1"/>
  <c r="AP14" i="3" a="1"/>
  <c r="AP14" i="3" s="1"/>
  <c r="AQ13" i="3" a="1"/>
  <c r="AQ13" i="3" s="1"/>
  <c r="AP13" i="3" a="1"/>
  <c r="AP13" i="3" s="1"/>
  <c r="AQ12" i="3" a="1"/>
  <c r="AQ12" i="3" s="1"/>
  <c r="AP12" i="3" a="1"/>
  <c r="AP12" i="3" s="1"/>
  <c r="AQ11" i="3" a="1"/>
  <c r="AQ11" i="3" s="1"/>
  <c r="AP11" i="3" a="1"/>
  <c r="AP11" i="3" s="1"/>
  <c r="AQ10" i="3" a="1"/>
  <c r="AQ10" i="3" s="1"/>
  <c r="AP10" i="3" a="1"/>
  <c r="AP10" i="3" s="1"/>
  <c r="AQ9" i="3" a="1"/>
  <c r="AQ9" i="3" s="1"/>
  <c r="AP9" i="3" a="1"/>
  <c r="AP9" i="3" s="1"/>
  <c r="AQ8" i="3" a="1"/>
  <c r="AQ8" i="3" s="1"/>
  <c r="AP8" i="3" a="1"/>
  <c r="AP8" i="3" s="1"/>
  <c r="AQ7" i="3" a="1"/>
  <c r="AQ7" i="3" s="1"/>
  <c r="AP7" i="3" a="1"/>
  <c r="AP7" i="3" s="1"/>
  <c r="AN17" i="3" a="1"/>
  <c r="AN17" i="3" s="1"/>
  <c r="AM17" i="3" a="1"/>
  <c r="AM17" i="3" s="1"/>
  <c r="AN16" i="3" a="1"/>
  <c r="AN16" i="3" s="1"/>
  <c r="AM16" i="3" a="1"/>
  <c r="AM16" i="3" s="1"/>
  <c r="AN15" i="3" a="1"/>
  <c r="AN15" i="3" s="1"/>
  <c r="AM15" i="3" a="1"/>
  <c r="AM15" i="3" s="1"/>
  <c r="AN14" i="3" a="1"/>
  <c r="AN14" i="3" s="1"/>
  <c r="AM14" i="3" a="1"/>
  <c r="AM14" i="3" s="1"/>
  <c r="AN13" i="3" a="1"/>
  <c r="AN13" i="3" s="1"/>
  <c r="AM13" i="3" a="1"/>
  <c r="AM13" i="3" s="1"/>
  <c r="AN12" i="3" a="1"/>
  <c r="AN12" i="3" s="1"/>
  <c r="AM12" i="3" a="1"/>
  <c r="AM12" i="3" s="1"/>
  <c r="AN11" i="3" a="1"/>
  <c r="AN11" i="3" s="1"/>
  <c r="AM11" i="3" a="1"/>
  <c r="AM11" i="3" s="1"/>
  <c r="AN10" i="3" a="1"/>
  <c r="AN10" i="3" s="1"/>
  <c r="AM10" i="3" a="1"/>
  <c r="AM10" i="3" s="1"/>
  <c r="AN9" i="3" a="1"/>
  <c r="AN9" i="3" s="1"/>
  <c r="AM9" i="3" a="1"/>
  <c r="AM9" i="3" s="1"/>
  <c r="AN8" i="3" a="1"/>
  <c r="AN8" i="3" s="1"/>
  <c r="AM8" i="3" a="1"/>
  <c r="AM8" i="3" s="1"/>
  <c r="AN7" i="3" a="1"/>
  <c r="AN7" i="3" s="1"/>
  <c r="AM7" i="3" a="1"/>
  <c r="AM7" i="3" s="1"/>
  <c r="AK17" i="3" a="1"/>
  <c r="AK17" i="3" s="1"/>
  <c r="AJ17" i="3" a="1"/>
  <c r="AJ17" i="3" s="1"/>
  <c r="AK16" i="3" a="1"/>
  <c r="AK16" i="3" s="1"/>
  <c r="AJ16" i="3" a="1"/>
  <c r="AJ16" i="3" s="1"/>
  <c r="AK15" i="3" a="1"/>
  <c r="AK15" i="3" s="1"/>
  <c r="AJ15" i="3" a="1"/>
  <c r="AJ15" i="3" s="1"/>
  <c r="AK14" i="3" a="1"/>
  <c r="AK14" i="3" s="1"/>
  <c r="AJ14" i="3" a="1"/>
  <c r="AJ14" i="3" s="1"/>
  <c r="AK13" i="3" a="1"/>
  <c r="AK13" i="3" s="1"/>
  <c r="AJ13" i="3" a="1"/>
  <c r="AJ13" i="3" s="1"/>
  <c r="AK12" i="3" a="1"/>
  <c r="AK12" i="3" s="1"/>
  <c r="AJ12" i="3" a="1"/>
  <c r="AJ12" i="3" s="1"/>
  <c r="AK11" i="3" a="1"/>
  <c r="AK11" i="3" s="1"/>
  <c r="AJ11" i="3" a="1"/>
  <c r="AJ11" i="3" s="1"/>
  <c r="AK10" i="3" a="1"/>
  <c r="AK10" i="3" s="1"/>
  <c r="AJ10" i="3" a="1"/>
  <c r="AJ10" i="3" s="1"/>
  <c r="AK9" i="3" a="1"/>
  <c r="AK9" i="3" s="1"/>
  <c r="AJ9" i="3" a="1"/>
  <c r="AJ9" i="3" s="1"/>
  <c r="AK8" i="3" a="1"/>
  <c r="AK8" i="3" s="1"/>
  <c r="AJ8" i="3" a="1"/>
  <c r="AJ8" i="3" s="1"/>
  <c r="AK7" i="3" a="1"/>
  <c r="AK7" i="3" s="1"/>
  <c r="AJ7" i="3" a="1"/>
  <c r="AJ7" i="3" s="1"/>
  <c r="AH17" i="3" a="1"/>
  <c r="AH17" i="3" s="1"/>
  <c r="AG17" i="3" a="1"/>
  <c r="AG17" i="3" s="1"/>
  <c r="AH16" i="3" a="1"/>
  <c r="AH16" i="3" s="1"/>
  <c r="AG16" i="3" a="1"/>
  <c r="AG16" i="3" s="1"/>
  <c r="AH15" i="3" a="1"/>
  <c r="AH15" i="3" s="1"/>
  <c r="AG15" i="3" a="1"/>
  <c r="AG15" i="3" s="1"/>
  <c r="AH14" i="3" a="1"/>
  <c r="AH14" i="3" s="1"/>
  <c r="AG14" i="3" a="1"/>
  <c r="AG14" i="3" s="1"/>
  <c r="AH13" i="3" a="1"/>
  <c r="AH13" i="3" s="1"/>
  <c r="AG13" i="3" a="1"/>
  <c r="AG13" i="3" s="1"/>
  <c r="AH12" i="3" a="1"/>
  <c r="AH12" i="3" s="1"/>
  <c r="AG12" i="3" a="1"/>
  <c r="AG12" i="3" s="1"/>
  <c r="AH11" i="3" a="1"/>
  <c r="AH11" i="3" s="1"/>
  <c r="AG11" i="3" a="1"/>
  <c r="AG11" i="3" s="1"/>
  <c r="AH10" i="3" a="1"/>
  <c r="AH10" i="3" s="1"/>
  <c r="AG10" i="3" a="1"/>
  <c r="AG10" i="3" s="1"/>
  <c r="AH9" i="3" a="1"/>
  <c r="AH9" i="3" s="1"/>
  <c r="AG9" i="3" a="1"/>
  <c r="AG9" i="3" s="1"/>
  <c r="AH8" i="3" a="1"/>
  <c r="AH8" i="3" s="1"/>
  <c r="AG8" i="3" a="1"/>
  <c r="AG8" i="3" s="1"/>
  <c r="AH7" i="3" a="1"/>
  <c r="AH7" i="3" s="1"/>
  <c r="AG7" i="3" a="1"/>
  <c r="AG7" i="3" s="1"/>
  <c r="AE17" i="3" a="1"/>
  <c r="AE17" i="3" s="1"/>
  <c r="AD17" i="3" a="1"/>
  <c r="AD17" i="3" s="1"/>
  <c r="AE16" i="3" a="1"/>
  <c r="AE16" i="3" s="1"/>
  <c r="AD16" i="3" a="1"/>
  <c r="AD16" i="3" s="1"/>
  <c r="AE15" i="3" a="1"/>
  <c r="AE15" i="3" s="1"/>
  <c r="AD15" i="3" a="1"/>
  <c r="AD15" i="3" s="1"/>
  <c r="AE14" i="3" a="1"/>
  <c r="AE14" i="3" s="1"/>
  <c r="AD14" i="3" a="1"/>
  <c r="AD14" i="3" s="1"/>
  <c r="AE13" i="3" a="1"/>
  <c r="AE13" i="3" s="1"/>
  <c r="AD13" i="3" a="1"/>
  <c r="AD13" i="3" s="1"/>
  <c r="AE12" i="3" a="1"/>
  <c r="AE12" i="3" s="1"/>
  <c r="AD12" i="3" a="1"/>
  <c r="AD12" i="3" s="1"/>
  <c r="AE11" i="3" a="1"/>
  <c r="AE11" i="3" s="1"/>
  <c r="AD11" i="3" a="1"/>
  <c r="AD11" i="3" s="1"/>
  <c r="AE10" i="3" a="1"/>
  <c r="AE10" i="3" s="1"/>
  <c r="AD10" i="3" a="1"/>
  <c r="AD10" i="3" s="1"/>
  <c r="AE9" i="3" a="1"/>
  <c r="AE9" i="3" s="1"/>
  <c r="AD9" i="3" a="1"/>
  <c r="AD9" i="3" s="1"/>
  <c r="AE8" i="3" a="1"/>
  <c r="AE8" i="3" s="1"/>
  <c r="AD8" i="3" a="1"/>
  <c r="AD8" i="3" s="1"/>
  <c r="AE7" i="3" a="1"/>
  <c r="AE7" i="3" s="1"/>
  <c r="AD7" i="3" a="1"/>
  <c r="AD7" i="3" s="1"/>
  <c r="AB17" i="3" a="1"/>
  <c r="AB17" i="3" s="1"/>
  <c r="AA17" i="3" a="1"/>
  <c r="AA17" i="3" s="1"/>
  <c r="AB16" i="3" a="1"/>
  <c r="AB16" i="3" s="1"/>
  <c r="AA16" i="3" a="1"/>
  <c r="AA16" i="3" s="1"/>
  <c r="AB15" i="3" a="1"/>
  <c r="AB15" i="3" s="1"/>
  <c r="AA15" i="3" a="1"/>
  <c r="AA15" i="3" s="1"/>
  <c r="AB14" i="3" a="1"/>
  <c r="AB14" i="3" s="1"/>
  <c r="AA14" i="3" a="1"/>
  <c r="AA14" i="3" s="1"/>
  <c r="AB13" i="3" a="1"/>
  <c r="AB13" i="3" s="1"/>
  <c r="AA13" i="3" a="1"/>
  <c r="AA13" i="3" s="1"/>
  <c r="AB12" i="3" a="1"/>
  <c r="AB12" i="3" s="1"/>
  <c r="AA12" i="3" a="1"/>
  <c r="AA12" i="3" s="1"/>
  <c r="AB11" i="3" a="1"/>
  <c r="AB11" i="3" s="1"/>
  <c r="AA11" i="3" a="1"/>
  <c r="AA11" i="3" s="1"/>
  <c r="AB10" i="3" a="1"/>
  <c r="AB10" i="3" s="1"/>
  <c r="AA10" i="3" a="1"/>
  <c r="AA10" i="3" s="1"/>
  <c r="AB9" i="3" a="1"/>
  <c r="AB9" i="3" s="1"/>
  <c r="AA9" i="3" a="1"/>
  <c r="AA9" i="3" s="1"/>
  <c r="AB8" i="3" a="1"/>
  <c r="AB8" i="3" s="1"/>
  <c r="AA8" i="3" a="1"/>
  <c r="AA8" i="3" s="1"/>
  <c r="AB7" i="3" a="1"/>
  <c r="AB7" i="3" s="1"/>
  <c r="AA7" i="3" a="1"/>
  <c r="AA7" i="3" s="1"/>
  <c r="Y7" i="3" a="1"/>
  <c r="Y7" i="3" s="1"/>
  <c r="Y8" i="3" a="1"/>
  <c r="Y8" i="3" s="1"/>
  <c r="Y9" i="3" a="1"/>
  <c r="Y9" i="3" s="1"/>
  <c r="AT9" i="3" s="1"/>
  <c r="Y10" i="3" a="1"/>
  <c r="Y10" i="3" s="1"/>
  <c r="AT10" i="3" s="1"/>
  <c r="Y11" i="3" a="1"/>
  <c r="Y11" i="3" s="1"/>
  <c r="Y12" i="3" a="1"/>
  <c r="Y12" i="3" s="1"/>
  <c r="Y13" i="3" a="1"/>
  <c r="Y13" i="3" s="1"/>
  <c r="Y14" i="3" a="1"/>
  <c r="Y14" i="3" s="1"/>
  <c r="Y15" i="3" a="1"/>
  <c r="Y15" i="3" s="1"/>
  <c r="Y16" i="3" a="1"/>
  <c r="Y16" i="3"/>
  <c r="AT16" i="3" s="1"/>
  <c r="Y17" i="3" a="1"/>
  <c r="Y17" i="3" s="1"/>
  <c r="X7" i="3" a="1"/>
  <c r="X7" i="3" s="1"/>
  <c r="X8" i="3" a="1"/>
  <c r="X8" i="3" s="1"/>
  <c r="X9" i="3" a="1"/>
  <c r="X9" i="3" s="1"/>
  <c r="X10" i="3" a="1"/>
  <c r="X10" i="3" s="1"/>
  <c r="X11" i="3" a="1"/>
  <c r="X11" i="3" s="1"/>
  <c r="X12" i="3" a="1"/>
  <c r="X12" i="3" s="1"/>
  <c r="X13" i="3" a="1"/>
  <c r="X13" i="3" s="1"/>
  <c r="X14" i="3" a="1"/>
  <c r="X14" i="3" s="1"/>
  <c r="X15" i="3" a="1"/>
  <c r="X15" i="3" s="1"/>
  <c r="AS15" i="3" s="1"/>
  <c r="X16" i="3" a="1"/>
  <c r="X16" i="3" s="1"/>
  <c r="X17" i="3" a="1"/>
  <c r="X17" i="3" s="1"/>
  <c r="AS8" i="3" l="1"/>
  <c r="AT7" i="3"/>
  <c r="AT15" i="3"/>
  <c r="BA15" i="3" s="1"/>
  <c r="AT8" i="3"/>
  <c r="AS7" i="3"/>
  <c r="AT13" i="3"/>
  <c r="AS17" i="3"/>
  <c r="AS9" i="3"/>
  <c r="AS13" i="3"/>
  <c r="AS12" i="3"/>
  <c r="AT12" i="3"/>
  <c r="AS16" i="3"/>
  <c r="AS10" i="3"/>
  <c r="AT14" i="3"/>
  <c r="AS14" i="3"/>
  <c r="AT17" i="3"/>
  <c r="AS11" i="3"/>
  <c r="AT11" i="3"/>
  <c r="AL16" i="3"/>
  <c r="AL11" i="3"/>
  <c r="AP18" i="3"/>
  <c r="AR16" i="3"/>
  <c r="AO13" i="3"/>
  <c r="AO8" i="3"/>
  <c r="AO11" i="3"/>
  <c r="AO16" i="3"/>
  <c r="AL12" i="3"/>
  <c r="AL17" i="3"/>
  <c r="AL13" i="3"/>
  <c r="AQ18" i="3"/>
  <c r="AR7" i="3"/>
  <c r="AR13" i="3"/>
  <c r="AR8" i="3"/>
  <c r="AR14" i="3"/>
  <c r="AR9" i="3"/>
  <c r="AR15" i="3"/>
  <c r="AR10" i="3"/>
  <c r="AR11" i="3"/>
  <c r="AR17" i="3"/>
  <c r="AR12" i="3"/>
  <c r="AO9" i="3"/>
  <c r="AO10" i="3"/>
  <c r="AO14" i="3"/>
  <c r="AO15" i="3"/>
  <c r="AM18" i="3"/>
  <c r="AO7" i="3"/>
  <c r="AN18" i="3"/>
  <c r="AO12" i="3"/>
  <c r="AO17" i="3"/>
  <c r="AK18" i="3"/>
  <c r="AL7" i="3"/>
  <c r="AL8" i="3"/>
  <c r="AL9" i="3"/>
  <c r="AL14" i="3"/>
  <c r="AL10" i="3"/>
  <c r="AL15" i="3"/>
  <c r="AJ18" i="3"/>
  <c r="AI13" i="3"/>
  <c r="AI16" i="3"/>
  <c r="AG18" i="3"/>
  <c r="AH18" i="3"/>
  <c r="AI18" i="3" s="1"/>
  <c r="AI7" i="3"/>
  <c r="AI8" i="3"/>
  <c r="AI14" i="3"/>
  <c r="AI9" i="3"/>
  <c r="AI15" i="3"/>
  <c r="AI10" i="3"/>
  <c r="AI11" i="3"/>
  <c r="AI12" i="3"/>
  <c r="AI17" i="3"/>
  <c r="AR18" i="3" l="1"/>
  <c r="AO18" i="3"/>
  <c r="AL18" i="3"/>
  <c r="J7" i="3" l="1"/>
  <c r="J8" i="3"/>
  <c r="J9" i="3"/>
  <c r="J10" i="3"/>
  <c r="J11" i="3"/>
  <c r="J12" i="3"/>
  <c r="J13" i="3"/>
  <c r="J14" i="3"/>
  <c r="J15" i="3"/>
  <c r="J16" i="3"/>
  <c r="J17" i="3"/>
  <c r="I7" i="3"/>
  <c r="I8" i="3"/>
  <c r="I9" i="3"/>
  <c r="I10" i="3"/>
  <c r="I11" i="3"/>
  <c r="I12" i="3"/>
  <c r="I13" i="3"/>
  <c r="I14" i="3"/>
  <c r="I15" i="3"/>
  <c r="I16" i="3"/>
  <c r="I17" i="3"/>
  <c r="H7" i="3"/>
  <c r="H8" i="3"/>
  <c r="H9" i="3"/>
  <c r="H10" i="3"/>
  <c r="H11" i="3"/>
  <c r="H12" i="3"/>
  <c r="H13" i="3"/>
  <c r="H14" i="3"/>
  <c r="H15" i="3"/>
  <c r="H16" i="3"/>
  <c r="H17" i="3"/>
  <c r="G7" i="3"/>
  <c r="G8" i="3"/>
  <c r="G9" i="3"/>
  <c r="G10" i="3"/>
  <c r="G11" i="3"/>
  <c r="G12" i="3"/>
  <c r="G13" i="3"/>
  <c r="G14" i="3"/>
  <c r="G15" i="3"/>
  <c r="G16" i="3"/>
  <c r="G17" i="3"/>
  <c r="F7" i="3"/>
  <c r="F8" i="3"/>
  <c r="F9" i="3"/>
  <c r="F10" i="3"/>
  <c r="F11" i="3"/>
  <c r="F12" i="3"/>
  <c r="F13" i="3"/>
  <c r="F14" i="3"/>
  <c r="F15" i="3"/>
  <c r="F16" i="3"/>
  <c r="F17" i="3"/>
  <c r="D7" i="3"/>
  <c r="R7" i="3" s="1"/>
  <c r="D8" i="3"/>
  <c r="R8" i="3" s="1"/>
  <c r="D9" i="3"/>
  <c r="R9" i="3" s="1"/>
  <c r="D10" i="3"/>
  <c r="R10" i="3" s="1"/>
  <c r="D11" i="3"/>
  <c r="D12" i="3"/>
  <c r="D13" i="3"/>
  <c r="R13" i="3" s="1"/>
  <c r="D14" i="3"/>
  <c r="R14" i="3" s="1"/>
  <c r="D15" i="3"/>
  <c r="R15" i="3" s="1"/>
  <c r="D16" i="3"/>
  <c r="R16" i="3" s="1"/>
  <c r="D17" i="3"/>
  <c r="R17" i="3" s="1"/>
  <c r="K18" i="3"/>
  <c r="B14" i="2"/>
  <c r="B13" i="2"/>
  <c r="B12" i="2"/>
  <c r="B11" i="2"/>
  <c r="B10" i="2"/>
  <c r="B9" i="2"/>
  <c r="B8" i="2"/>
  <c r="B7" i="2"/>
  <c r="B6" i="2"/>
  <c r="B5" i="2"/>
  <c r="B4" i="2"/>
  <c r="M51" i="1"/>
  <c r="M52" i="1"/>
  <c r="K28" i="1"/>
  <c r="K27" i="1"/>
  <c r="K26" i="1"/>
  <c r="K2" i="1"/>
  <c r="Q59" i="1"/>
  <c r="S58" i="1"/>
  <c r="T58" i="1" s="1"/>
  <c r="T57" i="1"/>
  <c r="S57" i="1"/>
  <c r="S56" i="1"/>
  <c r="T56" i="1" s="1"/>
  <c r="S55" i="1"/>
  <c r="T55" i="1" s="1"/>
  <c r="S54" i="1"/>
  <c r="T54" i="1" s="1"/>
  <c r="S53" i="1"/>
  <c r="T53" i="1" s="1"/>
  <c r="K52" i="1"/>
  <c r="H52" i="1"/>
  <c r="L52" i="1" s="1"/>
  <c r="K51" i="1"/>
  <c r="H51" i="1"/>
  <c r="L51" i="1" s="1"/>
  <c r="S51" i="1" s="1"/>
  <c r="T51" i="1" s="1"/>
  <c r="K50" i="1"/>
  <c r="H50" i="1"/>
  <c r="L50" i="1" s="1"/>
  <c r="K49" i="1"/>
  <c r="H49" i="1"/>
  <c r="L49" i="1" s="1"/>
  <c r="M48" i="1"/>
  <c r="K48" i="1"/>
  <c r="H48" i="1"/>
  <c r="L48" i="1" s="1"/>
  <c r="M47" i="1"/>
  <c r="K47" i="1"/>
  <c r="H47" i="1"/>
  <c r="K46" i="1"/>
  <c r="H46" i="1"/>
  <c r="L46" i="1" s="1"/>
  <c r="M45" i="1"/>
  <c r="K45" i="1"/>
  <c r="H45" i="1"/>
  <c r="M44" i="1"/>
  <c r="K44" i="1"/>
  <c r="H44" i="1"/>
  <c r="L44" i="1" s="1"/>
  <c r="M43" i="1"/>
  <c r="K43" i="1"/>
  <c r="H43" i="1"/>
  <c r="L43" i="1" s="1"/>
  <c r="S43" i="1" s="1"/>
  <c r="T43" i="1" s="1"/>
  <c r="M42" i="1"/>
  <c r="K42" i="1"/>
  <c r="H42" i="1"/>
  <c r="L42" i="1" s="1"/>
  <c r="M41" i="1"/>
  <c r="K41" i="1"/>
  <c r="H41" i="1"/>
  <c r="L41" i="1" s="1"/>
  <c r="M40" i="1"/>
  <c r="K40" i="1"/>
  <c r="H40" i="1"/>
  <c r="L40" i="1" s="1"/>
  <c r="M39" i="1"/>
  <c r="K39" i="1"/>
  <c r="H39" i="1"/>
  <c r="L39" i="1" s="1"/>
  <c r="S39" i="1" s="1"/>
  <c r="T39" i="1" s="1"/>
  <c r="M38" i="1"/>
  <c r="K38" i="1"/>
  <c r="H38" i="1"/>
  <c r="L38" i="1" s="1"/>
  <c r="M37" i="1"/>
  <c r="K37" i="1"/>
  <c r="H37" i="1"/>
  <c r="L37" i="1" s="1"/>
  <c r="M36" i="1"/>
  <c r="K36" i="1"/>
  <c r="H36" i="1"/>
  <c r="L36" i="1" s="1"/>
  <c r="M35" i="1"/>
  <c r="K35" i="1"/>
  <c r="H35" i="1"/>
  <c r="L35" i="1" s="1"/>
  <c r="S35" i="1" s="1"/>
  <c r="T35" i="1" s="1"/>
  <c r="M34" i="1"/>
  <c r="K34" i="1"/>
  <c r="H34" i="1"/>
  <c r="L34" i="1" s="1"/>
  <c r="M33" i="1"/>
  <c r="K33" i="1"/>
  <c r="H33" i="1"/>
  <c r="L33" i="1" s="1"/>
  <c r="M32" i="1"/>
  <c r="K32" i="1"/>
  <c r="H32" i="1"/>
  <c r="L32" i="1" s="1"/>
  <c r="M31" i="1"/>
  <c r="K31" i="1"/>
  <c r="H31" i="1"/>
  <c r="L31" i="1" s="1"/>
  <c r="S31" i="1" s="1"/>
  <c r="T31" i="1" s="1"/>
  <c r="M30" i="1"/>
  <c r="K30" i="1"/>
  <c r="H30" i="1"/>
  <c r="L30" i="1" s="1"/>
  <c r="M29" i="1"/>
  <c r="K29" i="1"/>
  <c r="H29" i="1"/>
  <c r="L29" i="1" s="1"/>
  <c r="M28" i="1"/>
  <c r="H28" i="1"/>
  <c r="L28" i="1" s="1"/>
  <c r="M27" i="1"/>
  <c r="H27" i="1"/>
  <c r="L27" i="1" s="1"/>
  <c r="S27" i="1" s="1"/>
  <c r="T27" i="1" s="1"/>
  <c r="M26" i="1"/>
  <c r="H26" i="1"/>
  <c r="L26" i="1" s="1"/>
  <c r="M25" i="1"/>
  <c r="K25" i="1"/>
  <c r="H25" i="1"/>
  <c r="L25" i="1" s="1"/>
  <c r="M24" i="1"/>
  <c r="K24" i="1"/>
  <c r="H24" i="1"/>
  <c r="L24" i="1" s="1"/>
  <c r="M23" i="1"/>
  <c r="K23" i="1"/>
  <c r="H23" i="1"/>
  <c r="L23" i="1" s="1"/>
  <c r="S23" i="1" s="1"/>
  <c r="T23" i="1" s="1"/>
  <c r="M22" i="1"/>
  <c r="K22" i="1"/>
  <c r="H22" i="1"/>
  <c r="L22" i="1" s="1"/>
  <c r="M21" i="1"/>
  <c r="K21" i="1"/>
  <c r="H21" i="1"/>
  <c r="L21" i="1" s="1"/>
  <c r="M20" i="1"/>
  <c r="K20" i="1"/>
  <c r="H20" i="1"/>
  <c r="L20" i="1" s="1"/>
  <c r="M19" i="1"/>
  <c r="K19" i="1"/>
  <c r="H19" i="1"/>
  <c r="L19" i="1" s="1"/>
  <c r="S19" i="1" s="1"/>
  <c r="T19" i="1" s="1"/>
  <c r="M18" i="1"/>
  <c r="K18" i="1"/>
  <c r="H18" i="1"/>
  <c r="L18" i="1" s="1"/>
  <c r="M17" i="1"/>
  <c r="K17" i="1"/>
  <c r="H17" i="1"/>
  <c r="L17" i="1" s="1"/>
  <c r="M16" i="1"/>
  <c r="K16" i="1"/>
  <c r="H16" i="1"/>
  <c r="L16" i="1" s="1"/>
  <c r="M15" i="1"/>
  <c r="K15" i="1"/>
  <c r="L15" i="1" s="1"/>
  <c r="S15" i="1" s="1"/>
  <c r="T15" i="1" s="1"/>
  <c r="L14" i="1"/>
  <c r="K14" i="1"/>
  <c r="K13" i="1"/>
  <c r="M12" i="1"/>
  <c r="K12" i="1"/>
  <c r="L12" i="1" s="1"/>
  <c r="S12" i="1" s="1"/>
  <c r="T12" i="1" s="1"/>
  <c r="L11" i="1"/>
  <c r="K11" i="1"/>
  <c r="K10" i="1"/>
  <c r="H10" i="1"/>
  <c r="L10" i="1" s="1"/>
  <c r="K9" i="1"/>
  <c r="M9" i="1" s="1"/>
  <c r="H9" i="1"/>
  <c r="L9" i="1" s="1"/>
  <c r="K8" i="1"/>
  <c r="H8" i="1"/>
  <c r="L8" i="1" s="1"/>
  <c r="K7" i="1"/>
  <c r="H7" i="1"/>
  <c r="L7" i="1" s="1"/>
  <c r="K6" i="1"/>
  <c r="H6" i="1"/>
  <c r="L6" i="1" s="1"/>
  <c r="K5" i="1"/>
  <c r="H5" i="1"/>
  <c r="L5" i="1" s="1"/>
  <c r="M4" i="1"/>
  <c r="K4" i="1"/>
  <c r="H4" i="1"/>
  <c r="L4" i="1" s="1"/>
  <c r="S4" i="1" s="1"/>
  <c r="T4" i="1" s="1"/>
  <c r="K3" i="1"/>
  <c r="H3" i="1"/>
  <c r="L3" i="1" s="1"/>
  <c r="H2" i="1"/>
  <c r="AV16" i="3" l="1"/>
  <c r="O16" i="3"/>
  <c r="P16" i="3" s="1"/>
  <c r="AV11" i="3"/>
  <c r="O11" i="3"/>
  <c r="P11" i="3" s="1"/>
  <c r="AV10" i="3"/>
  <c r="O10" i="3"/>
  <c r="P10" i="3" s="1"/>
  <c r="AV9" i="3"/>
  <c r="O9" i="3"/>
  <c r="P9" i="3" s="1"/>
  <c r="AV7" i="3"/>
  <c r="BH7" i="3" s="1"/>
  <c r="O7" i="3"/>
  <c r="O15" i="3"/>
  <c r="P15" i="3" s="1"/>
  <c r="AV13" i="3"/>
  <c r="O13" i="3"/>
  <c r="P13" i="3" s="1"/>
  <c r="O14" i="3"/>
  <c r="P14" i="3" s="1"/>
  <c r="AV12" i="3"/>
  <c r="O12" i="3"/>
  <c r="P12" i="3" s="1"/>
  <c r="O8" i="3"/>
  <c r="P8" i="3" s="1"/>
  <c r="O17" i="3"/>
  <c r="P17" i="3" s="1"/>
  <c r="AV17" i="3"/>
  <c r="AV8" i="3"/>
  <c r="L47" i="1"/>
  <c r="S47" i="1" s="1"/>
  <c r="T47" i="1" s="1"/>
  <c r="AV15" i="3"/>
  <c r="BH15" i="3" s="1"/>
  <c r="L45" i="1"/>
  <c r="AV14" i="3"/>
  <c r="Z14" i="3"/>
  <c r="AF7" i="3"/>
  <c r="AW17" i="3"/>
  <c r="BI17" i="3" s="1"/>
  <c r="E11" i="3"/>
  <c r="AC13" i="3"/>
  <c r="E12" i="3"/>
  <c r="Z13" i="3"/>
  <c r="M7" i="3"/>
  <c r="S7" i="3" s="1"/>
  <c r="R11" i="3"/>
  <c r="Z9" i="3"/>
  <c r="M9" i="3"/>
  <c r="N9" i="3" s="1"/>
  <c r="M11" i="3"/>
  <c r="N11" i="3" s="1"/>
  <c r="AC12" i="3"/>
  <c r="AF14" i="3"/>
  <c r="M12" i="3"/>
  <c r="N12" i="3" s="1"/>
  <c r="AF16" i="3"/>
  <c r="AF11" i="3"/>
  <c r="M13" i="3"/>
  <c r="N13" i="3" s="1"/>
  <c r="Z8" i="3"/>
  <c r="Z15" i="3"/>
  <c r="AF8" i="3"/>
  <c r="AW9" i="3"/>
  <c r="BI9" i="3" s="1"/>
  <c r="X18" i="3"/>
  <c r="Y18" i="3"/>
  <c r="Z7" i="3"/>
  <c r="AC14" i="3"/>
  <c r="AC10" i="3"/>
  <c r="Z12" i="3"/>
  <c r="AW8" i="3"/>
  <c r="BI8" i="3" s="1"/>
  <c r="Z17" i="3"/>
  <c r="D18" i="3"/>
  <c r="E7" i="3"/>
  <c r="E8" i="3"/>
  <c r="M8" i="3"/>
  <c r="N8" i="3" s="1"/>
  <c r="AA18" i="3"/>
  <c r="AW12" i="3"/>
  <c r="BI12" i="3" s="1"/>
  <c r="Z16" i="3"/>
  <c r="M10" i="3"/>
  <c r="N10" i="3" s="1"/>
  <c r="E10" i="3"/>
  <c r="AC16" i="3"/>
  <c r="AD18" i="3"/>
  <c r="E15" i="3"/>
  <c r="M15" i="3"/>
  <c r="U15" i="3" s="1"/>
  <c r="V15" i="3" s="1"/>
  <c r="E16" i="3"/>
  <c r="M16" i="3"/>
  <c r="J18" i="3"/>
  <c r="E9" i="3"/>
  <c r="AF10" i="3"/>
  <c r="R12" i="3"/>
  <c r="AF12" i="3"/>
  <c r="AW14" i="3"/>
  <c r="BI14" i="3" s="1"/>
  <c r="AF15" i="3"/>
  <c r="AF13" i="3"/>
  <c r="Z11" i="3"/>
  <c r="E14" i="3"/>
  <c r="M14" i="3"/>
  <c r="S14" i="3" s="1"/>
  <c r="AW13" i="3"/>
  <c r="BI13" i="3" s="1"/>
  <c r="AC17" i="3"/>
  <c r="AC8" i="3"/>
  <c r="AC11" i="3"/>
  <c r="AC7" i="3"/>
  <c r="AC15" i="3"/>
  <c r="AE18" i="3"/>
  <c r="AC9" i="3"/>
  <c r="E13" i="3"/>
  <c r="AF17" i="3"/>
  <c r="F18" i="3"/>
  <c r="M17" i="3"/>
  <c r="S17" i="3" s="1"/>
  <c r="E17" i="3"/>
  <c r="H18" i="3"/>
  <c r="G18" i="3"/>
  <c r="I18" i="3"/>
  <c r="AB18" i="3"/>
  <c r="AF9" i="3"/>
  <c r="Z10" i="3"/>
  <c r="L2" i="1"/>
  <c r="L59" i="1" s="1"/>
  <c r="S49" i="1"/>
  <c r="T49" i="1" s="1"/>
  <c r="S41" i="1"/>
  <c r="T41" i="1" s="1"/>
  <c r="S14" i="1"/>
  <c r="T14" i="1" s="1"/>
  <c r="S20" i="1"/>
  <c r="T20" i="1" s="1"/>
  <c r="S7" i="1"/>
  <c r="T7" i="1" s="1"/>
  <c r="S29" i="1"/>
  <c r="T29" i="1" s="1"/>
  <c r="S37" i="1"/>
  <c r="T37" i="1" s="1"/>
  <c r="S45" i="1"/>
  <c r="T45" i="1" s="1"/>
  <c r="S48" i="1"/>
  <c r="T48" i="1" s="1"/>
  <c r="S33" i="1"/>
  <c r="T33" i="1" s="1"/>
  <c r="S50" i="1"/>
  <c r="T50" i="1" s="1"/>
  <c r="S44" i="1"/>
  <c r="T44" i="1" s="1"/>
  <c r="S11" i="1"/>
  <c r="T11" i="1" s="1"/>
  <c r="M5" i="1"/>
  <c r="S5" i="1" s="1"/>
  <c r="T5" i="1" s="1"/>
  <c r="S9" i="1"/>
  <c r="T9" i="1" s="1"/>
  <c r="M8" i="1"/>
  <c r="S8" i="1" s="1"/>
  <c r="T8" i="1" s="1"/>
  <c r="P59" i="1"/>
  <c r="M50" i="1"/>
  <c r="K59" i="1"/>
  <c r="M46" i="1"/>
  <c r="S46" i="1" s="1"/>
  <c r="T46" i="1" s="1"/>
  <c r="M11" i="1"/>
  <c r="M14" i="1"/>
  <c r="S18" i="1"/>
  <c r="T18" i="1" s="1"/>
  <c r="S22" i="1"/>
  <c r="T22" i="1" s="1"/>
  <c r="S26" i="1"/>
  <c r="T26" i="1" s="1"/>
  <c r="S30" i="1"/>
  <c r="T30" i="1" s="1"/>
  <c r="S34" i="1"/>
  <c r="T34" i="1" s="1"/>
  <c r="S38" i="1"/>
  <c r="T38" i="1" s="1"/>
  <c r="S42" i="1"/>
  <c r="T42" i="1" s="1"/>
  <c r="M49" i="1"/>
  <c r="O59" i="1"/>
  <c r="L13" i="1"/>
  <c r="S13" i="1" s="1"/>
  <c r="T13" i="1" s="1"/>
  <c r="S17" i="1"/>
  <c r="T17" i="1" s="1"/>
  <c r="S21" i="1"/>
  <c r="T21" i="1" s="1"/>
  <c r="S25" i="1"/>
  <c r="T25" i="1" s="1"/>
  <c r="M3" i="1"/>
  <c r="M7" i="1"/>
  <c r="M2" i="1"/>
  <c r="M6" i="1"/>
  <c r="S6" i="1" s="1"/>
  <c r="T6" i="1" s="1"/>
  <c r="M10" i="1"/>
  <c r="S10" i="1" s="1"/>
  <c r="T10" i="1" s="1"/>
  <c r="M13" i="1"/>
  <c r="S16" i="1"/>
  <c r="T16" i="1" s="1"/>
  <c r="S24" i="1"/>
  <c r="T24" i="1" s="1"/>
  <c r="S28" i="1"/>
  <c r="T28" i="1" s="1"/>
  <c r="S32" i="1"/>
  <c r="T32" i="1" s="1"/>
  <c r="S36" i="1"/>
  <c r="T36" i="1" s="1"/>
  <c r="S40" i="1"/>
  <c r="T40" i="1" s="1"/>
  <c r="S52" i="1"/>
  <c r="T52" i="1" s="1"/>
  <c r="P7" i="3" l="1"/>
  <c r="O18" i="3"/>
  <c r="P18" i="3" s="1"/>
  <c r="AF18" i="3"/>
  <c r="S2" i="1"/>
  <c r="T2" i="1" s="1"/>
  <c r="AW15" i="3"/>
  <c r="BI15" i="3" s="1"/>
  <c r="U13" i="3"/>
  <c r="V13" i="3" s="1"/>
  <c r="S9" i="3"/>
  <c r="T9" i="3" s="1"/>
  <c r="S8" i="3"/>
  <c r="T8" i="3" s="1"/>
  <c r="S13" i="3"/>
  <c r="T13" i="3" s="1"/>
  <c r="N16" i="3"/>
  <c r="U16" i="3"/>
  <c r="V16" i="3" s="1"/>
  <c r="S15" i="3"/>
  <c r="T15" i="3" s="1"/>
  <c r="S16" i="3"/>
  <c r="T16" i="3" s="1"/>
  <c r="U7" i="3"/>
  <c r="U12" i="3"/>
  <c r="V12" i="3" s="1"/>
  <c r="S12" i="3"/>
  <c r="T12" i="3" s="1"/>
  <c r="U8" i="3"/>
  <c r="V8" i="3" s="1"/>
  <c r="N17" i="3"/>
  <c r="U17" i="3"/>
  <c r="V17" i="3" s="1"/>
  <c r="U9" i="3"/>
  <c r="V9" i="3" s="1"/>
  <c r="N14" i="3"/>
  <c r="U14" i="3"/>
  <c r="V14" i="3" s="1"/>
  <c r="U11" i="3"/>
  <c r="V11" i="3" s="1"/>
  <c r="S11" i="3"/>
  <c r="T11" i="3" s="1"/>
  <c r="S10" i="3"/>
  <c r="T10" i="3" s="1"/>
  <c r="U10" i="3"/>
  <c r="V10" i="3" s="1"/>
  <c r="BH17" i="3"/>
  <c r="BH14" i="3"/>
  <c r="BA16" i="3"/>
  <c r="BM16" i="3" s="1"/>
  <c r="N7" i="3"/>
  <c r="E18" i="3"/>
  <c r="N15" i="3"/>
  <c r="BH10" i="3"/>
  <c r="AW10" i="3"/>
  <c r="BI10" i="3" s="1"/>
  <c r="T7" i="3"/>
  <c r="BA11" i="3"/>
  <c r="BM11" i="3" s="1"/>
  <c r="AU11" i="3"/>
  <c r="BG11" i="3" s="1"/>
  <c r="BH8" i="3"/>
  <c r="BH12" i="3"/>
  <c r="AU12" i="3"/>
  <c r="BG12" i="3" s="1"/>
  <c r="BA12" i="3"/>
  <c r="BM12" i="3" s="1"/>
  <c r="AW16" i="3"/>
  <c r="BI16" i="3" s="1"/>
  <c r="AU14" i="3"/>
  <c r="BG14" i="3" s="1"/>
  <c r="BA14" i="3"/>
  <c r="BM14" i="3" s="1"/>
  <c r="AU9" i="3"/>
  <c r="BG9" i="3" s="1"/>
  <c r="BA9" i="3"/>
  <c r="BM9" i="3" s="1"/>
  <c r="R18" i="3"/>
  <c r="Q18" i="3" s="1"/>
  <c r="AU13" i="3"/>
  <c r="BG13" i="3" s="1"/>
  <c r="BA13" i="3"/>
  <c r="BM13" i="3" s="1"/>
  <c r="T17" i="3"/>
  <c r="BA10" i="3"/>
  <c r="BM10" i="3" s="1"/>
  <c r="AU10" i="3"/>
  <c r="BG10" i="3" s="1"/>
  <c r="AT18" i="3"/>
  <c r="AU7" i="3"/>
  <c r="BG7" i="3" s="1"/>
  <c r="BA7" i="3"/>
  <c r="BA8" i="3"/>
  <c r="BM8" i="3" s="1"/>
  <c r="AU8" i="3"/>
  <c r="BG8" i="3" s="1"/>
  <c r="AS18" i="3"/>
  <c r="AW7" i="3"/>
  <c r="M18" i="3"/>
  <c r="N18" i="3" s="1"/>
  <c r="N19" i="3" s="1"/>
  <c r="AU16" i="3"/>
  <c r="BG16" i="3" s="1"/>
  <c r="T14" i="3"/>
  <c r="BM15" i="3"/>
  <c r="AU15" i="3"/>
  <c r="BG15" i="3" s="1"/>
  <c r="AC18" i="3"/>
  <c r="BH13" i="3"/>
  <c r="AW11" i="3"/>
  <c r="BI11" i="3" s="1"/>
  <c r="BH11" i="3"/>
  <c r="BH9" i="3"/>
  <c r="BA17" i="3"/>
  <c r="BM17" i="3" s="1"/>
  <c r="AU17" i="3"/>
  <c r="BG17" i="3" s="1"/>
  <c r="Z18" i="3"/>
  <c r="N59" i="1"/>
  <c r="S3" i="1"/>
  <c r="T3" i="1" s="1"/>
  <c r="M59" i="1"/>
  <c r="S59" i="1" l="1"/>
  <c r="T59" i="1" s="1"/>
  <c r="V7" i="3"/>
  <c r="U18" i="3"/>
  <c r="V18" i="3" s="1"/>
  <c r="S18" i="3"/>
  <c r="T18" i="3" s="1"/>
  <c r="BA18" i="3"/>
  <c r="BM18" i="3" s="1"/>
  <c r="BM7" i="3"/>
  <c r="AU18" i="3"/>
  <c r="BG18" i="3" s="1"/>
  <c r="BH16" i="3"/>
  <c r="AW18" i="3"/>
  <c r="BI18" i="3" s="1"/>
  <c r="BI7" i="3"/>
  <c r="AV18" i="3"/>
  <c r="BH18" i="3" s="1"/>
  <c r="AX14" i="3" l="1"/>
  <c r="AX8" i="3"/>
  <c r="AX12" i="3"/>
  <c r="AX15" i="3"/>
  <c r="BJ18" i="3"/>
  <c r="AX17" i="3"/>
  <c r="AX16" i="3"/>
  <c r="AX9" i="3"/>
  <c r="AX11" i="3"/>
  <c r="AX13" i="3"/>
  <c r="AX10" i="3"/>
  <c r="AX7" i="3"/>
  <c r="AY12" i="3"/>
  <c r="BK12" i="3" s="1"/>
  <c r="BK18" i="3"/>
  <c r="AY17" i="3"/>
  <c r="BK17" i="3" s="1"/>
  <c r="AY9" i="3"/>
  <c r="BK9" i="3" s="1"/>
  <c r="AY15" i="3"/>
  <c r="BK15" i="3" s="1"/>
  <c r="AY10" i="3"/>
  <c r="BK10" i="3" s="1"/>
  <c r="AY16" i="3"/>
  <c r="BK16" i="3" s="1"/>
  <c r="AY7" i="3"/>
  <c r="BK7" i="3" s="1"/>
  <c r="AY8" i="3"/>
  <c r="BK8" i="3" s="1"/>
  <c r="AY14" i="3"/>
  <c r="BK14" i="3" s="1"/>
  <c r="AY13" i="3"/>
  <c r="BK13" i="3" s="1"/>
  <c r="AY11" i="3"/>
  <c r="BK11" i="3" s="1"/>
  <c r="AZ12" i="3"/>
  <c r="BL12" i="3" s="1"/>
  <c r="AZ10" i="3"/>
  <c r="BL10" i="3" s="1"/>
  <c r="AZ15" i="3"/>
  <c r="BL15" i="3" s="1"/>
  <c r="AZ13" i="3"/>
  <c r="BL13" i="3" s="1"/>
  <c r="BL18" i="3"/>
  <c r="AZ17" i="3"/>
  <c r="BL17" i="3" s="1"/>
  <c r="AZ16" i="3"/>
  <c r="BL16" i="3" s="1"/>
  <c r="AZ14" i="3"/>
  <c r="BL14" i="3" s="1"/>
  <c r="AZ9" i="3"/>
  <c r="BL9" i="3" s="1"/>
  <c r="AZ11" i="3"/>
  <c r="BL11" i="3" s="1"/>
  <c r="AZ7" i="3"/>
  <c r="BL7" i="3" s="1"/>
  <c r="AZ8" i="3"/>
  <c r="BL8" i="3" s="1"/>
  <c r="BJ13" i="3" l="1"/>
  <c r="BD13" i="3"/>
  <c r="BB13" i="3"/>
  <c r="BJ11" i="3"/>
  <c r="BD11" i="3"/>
  <c r="BB11" i="3"/>
  <c r="BJ9" i="3"/>
  <c r="BD9" i="3"/>
  <c r="BB9" i="3"/>
  <c r="BJ16" i="3"/>
  <c r="BD16" i="3"/>
  <c r="BB16" i="3"/>
  <c r="BJ17" i="3"/>
  <c r="BD17" i="3"/>
  <c r="BB17" i="3"/>
  <c r="BJ15" i="3"/>
  <c r="BD15" i="3"/>
  <c r="BB15" i="3"/>
  <c r="BJ8" i="3"/>
  <c r="BD8" i="3"/>
  <c r="BB8" i="3"/>
  <c r="BJ12" i="3"/>
  <c r="BD12" i="3"/>
  <c r="BB12" i="3"/>
  <c r="BJ7" i="3"/>
  <c r="BB7" i="3"/>
  <c r="BD7" i="3"/>
  <c r="BJ10" i="3"/>
  <c r="BD10" i="3"/>
  <c r="BB10" i="3"/>
  <c r="BJ14" i="3"/>
  <c r="BD14" i="3"/>
  <c r="BB14" i="3"/>
  <c r="BB18" i="3" l="1"/>
  <c r="BC7" i="3"/>
  <c r="BN7" i="3"/>
  <c r="BN10" i="3"/>
  <c r="BC10" i="3"/>
  <c r="BE10" i="3"/>
  <c r="BO10" i="3"/>
  <c r="BP10" i="3" s="1"/>
  <c r="BD18" i="3"/>
  <c r="BE7" i="3"/>
  <c r="BO7" i="3"/>
  <c r="BC15" i="3"/>
  <c r="BN15" i="3"/>
  <c r="BO15" i="3"/>
  <c r="BE15" i="3"/>
  <c r="BC17" i="3"/>
  <c r="BN17" i="3"/>
  <c r="BO12" i="3"/>
  <c r="BE12" i="3"/>
  <c r="BE11" i="3"/>
  <c r="BO11" i="3"/>
  <c r="BN8" i="3"/>
  <c r="BC8" i="3"/>
  <c r="BC13" i="3"/>
  <c r="BN13" i="3"/>
  <c r="BE14" i="3"/>
  <c r="BO14" i="3"/>
  <c r="BE8" i="3"/>
  <c r="BO8" i="3"/>
  <c r="BE16" i="3"/>
  <c r="BO16" i="3"/>
  <c r="BE13" i="3"/>
  <c r="BO13" i="3"/>
  <c r="BN9" i="3"/>
  <c r="BC9" i="3"/>
  <c r="BO9" i="3"/>
  <c r="BE9" i="3"/>
  <c r="BN12" i="3"/>
  <c r="BC12" i="3"/>
  <c r="BC11" i="3"/>
  <c r="BN11" i="3"/>
  <c r="BE17" i="3"/>
  <c r="BO17" i="3"/>
  <c r="BC14" i="3"/>
  <c r="BN14" i="3"/>
  <c r="BC16" i="3"/>
  <c r="BN16" i="3"/>
  <c r="BP16" i="3" l="1"/>
  <c r="BP9" i="3"/>
  <c r="BP13" i="3"/>
  <c r="BP8" i="3"/>
  <c r="BP14" i="3"/>
  <c r="BP15" i="3"/>
  <c r="BP11" i="3"/>
  <c r="BE18" i="3"/>
  <c r="BO18" i="3"/>
  <c r="BP12" i="3"/>
  <c r="BC18" i="3"/>
  <c r="BN18" i="3"/>
  <c r="BP17" i="3"/>
  <c r="BP7" i="3"/>
  <c r="BP18" i="3" l="1"/>
  <c r="E56" i="1" l="1"/>
  <c r="E59" i="1" s="1"/>
  <c r="D59" i="1"/>
  <c r="C5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<sst xmlns="http://schemas.openxmlformats.org/spreadsheetml/2006/main" count="181" uniqueCount="127">
  <si>
    <t>CODIGO</t>
  </si>
  <si>
    <t>PRODUCTO</t>
  </si>
  <si>
    <t>POTA ALAS FR C/P C/C (B) S/COD BL10 S20</t>
  </si>
  <si>
    <t>POTA ALAS FR C/P C/C &lt;0.5 BL10 S20</t>
  </si>
  <si>
    <t>POTA ALAS FR C/P C/C 0.5-1 BL10 S20</t>
  </si>
  <si>
    <t>POTA ALAS FR C/P C/C 0.3 - 0.5 BL10 S20</t>
  </si>
  <si>
    <t xml:space="preserve">POTA ALAS FR C/P C/C 1-2 BL10 S20  </t>
  </si>
  <si>
    <t>POTA ALAS FR C/P C/C 1-2 BL10 S20  ENTERA</t>
  </si>
  <si>
    <t>POTA ALAS FR C/P C/C 2up</t>
  </si>
  <si>
    <t>POTA LABIOS FR S/COD BL10 S20</t>
  </si>
  <si>
    <t>POTA CONOS</t>
  </si>
  <si>
    <t>POTA ENTERA &lt; 1KG</t>
  </si>
  <si>
    <t>TUBO ALETA 0.1-0.5 KG</t>
  </si>
  <si>
    <t>TUBO ALETA 0.5-1.0 KG</t>
  </si>
  <si>
    <t>TUBO ALETA 1.0-1.5 kg</t>
  </si>
  <si>
    <t>TUBO ALETA 1.0-2.0 KG</t>
  </si>
  <si>
    <t xml:space="preserve">POTA FILETE C/M C/T FR 0.5-1.0 BL10 S20  </t>
  </si>
  <si>
    <t xml:space="preserve">POTA FILETE C/M C/T FR 1-2 BL10 S20  </t>
  </si>
  <si>
    <t>POTA FILETE C/M C/T FR 2-4  S20</t>
  </si>
  <si>
    <t xml:space="preserve">POTA FILETE C/M C/T FR &lt;0.5 Kg AA BL10 S20  </t>
  </si>
  <si>
    <t xml:space="preserve">POTA FILETE C/M C/T FR 2-4  (AA) BL10 S20  </t>
  </si>
  <si>
    <t xml:space="preserve">POTA FILETE C/M C/T FR 0.5-1.0 AA BL10 S20  </t>
  </si>
  <si>
    <t xml:space="preserve">POTA FILETE C/M C/T FR 1-2 AA BL10 S20  </t>
  </si>
  <si>
    <t xml:space="preserve">POTA FILETE C/M C/T FR 0.5-1.0 AAA  BL10 S20  </t>
  </si>
  <si>
    <t xml:space="preserve">POTA FILETE C/M C/T FR 1-2 AAA BL10 S20  </t>
  </si>
  <si>
    <t xml:space="preserve">POTA FILETE C/M C/T FR 2-4 AAA BL10 S20  </t>
  </si>
  <si>
    <t xml:space="preserve">POTA FILETE SM ST 1-2 CM/ESP </t>
  </si>
  <si>
    <t>POTA NUCAS FR ABIERTAS 0.1 - 0.3 BL10 S2</t>
  </si>
  <si>
    <t>POTA NUCAS FR CERRADA 0.1 - 0.3 BL10 S2</t>
  </si>
  <si>
    <t>POTA NUCAS FR CERRADA &lt;0.1 BL10 S2</t>
  </si>
  <si>
    <t>POTA NUCAS FR ABIERTAS 0.5-1 BL10 S20</t>
  </si>
  <si>
    <t>POTA NUCAS FR ABIERTAS 0.3-0.5 BL10 S20</t>
  </si>
  <si>
    <t>POTA NUCAS FR ABIERTAS 1-2 BL10 S20</t>
  </si>
  <si>
    <t>POTA REJOS OR FR LIMPIOS S/COD BL10 S20</t>
  </si>
  <si>
    <t>POTA REJOS OR FR LIMPIOS &lt;60 cm BL10 S20</t>
  </si>
  <si>
    <t>POTA REJOS FR C/U C/V S/OR &lt;0.1 BL10</t>
  </si>
  <si>
    <t>POTA REJOS FR C/U C/V S/OR 0.1-0.3 BL10</t>
  </si>
  <si>
    <t>POTA REJOS FR  C/U C/V S/OR 0.3-0.5BL10</t>
  </si>
  <si>
    <t>POTA REJOS FR  C/U C/V S/OR 0.5-1.0 BL10</t>
  </si>
  <si>
    <t>POTA REJOS FR C/B S/U S/V S/OR 0.3-0.5 BL10</t>
  </si>
  <si>
    <t>POTA REJOS FR C/B S/U S/V S/OR 0.5-1 BL1 0</t>
  </si>
  <si>
    <t>POTA REJOS FR C/B C/U C/V S/OR 1.0  up BL 10S20</t>
  </si>
  <si>
    <t>POTA REJOS FR C/B S/U S/V S/OR 2-UP BL10</t>
  </si>
  <si>
    <t xml:space="preserve">POTA REJOS FR C/B S/U S/V S/OR 1-2 BL10  </t>
  </si>
  <si>
    <t>VENTOSAS DE REJOS</t>
  </si>
  <si>
    <t xml:space="preserve">POTA FILETE PRE COCIDO S/M S/T C/P S/COD  </t>
  </si>
  <si>
    <t>POTA FILETE PRE COCIDO S/M S/T C/P 0.6-1.0</t>
  </si>
  <si>
    <t>POTA ALAS PRE COC S/COD BL10 S20</t>
  </si>
  <si>
    <t>POTA ALAS PRE COC 0.3up BL9 S18</t>
  </si>
  <si>
    <t>POTA ALAS PRE COC B BL9 S18</t>
  </si>
  <si>
    <t>POTA RECORTES PRE COC BL10 S20</t>
  </si>
  <si>
    <t>POTA RECORTES LAM PRE COC (M) BL7.5 S15</t>
  </si>
  <si>
    <t>POTA RECORTES LAM PRE COC (T) BL7.5 S15</t>
  </si>
  <si>
    <t>RECORTE FR MEMBRANA</t>
  </si>
  <si>
    <t>RECORTE FR TELILLA</t>
  </si>
  <si>
    <t>RECORTE FR</t>
  </si>
  <si>
    <t>FILETE cm ct PARA REPROCESO</t>
  </si>
  <si>
    <t>PICOS LIMPIOS</t>
  </si>
  <si>
    <t>FILETE S/M S/T FR 1.0 - 2.0 CM/ESP BL10 S20</t>
  </si>
  <si>
    <t>TOTAL LIBRE</t>
  </si>
  <si>
    <t>TOTAL STOCK</t>
  </si>
  <si>
    <t>POR EMBARCAR</t>
  </si>
  <si>
    <t>STOCK LIBRE</t>
  </si>
  <si>
    <t>CÓDIGO</t>
  </si>
  <si>
    <t>CU X TM</t>
  </si>
  <si>
    <t>% MP</t>
  </si>
  <si>
    <t>incremento MP</t>
  </si>
  <si>
    <t>TM en Stock</t>
  </si>
  <si>
    <t>Costo Ventas</t>
  </si>
  <si>
    <t>Gasto Ventas</t>
  </si>
  <si>
    <t>Gasto ADM</t>
  </si>
  <si>
    <t>Gasto Fin</t>
  </si>
  <si>
    <t>Depreciación</t>
  </si>
  <si>
    <t>Utilidad Neta</t>
  </si>
  <si>
    <t>Margen Neto</t>
  </si>
  <si>
    <t>Venta Equilibrio</t>
  </si>
  <si>
    <t>Precio Equilibrio x TM</t>
  </si>
  <si>
    <t>totales</t>
  </si>
  <si>
    <t>Etiquetas de fila</t>
  </si>
  <si>
    <t>(en blanco)</t>
  </si>
  <si>
    <t>Total general</t>
  </si>
  <si>
    <t>Suma de TM en Stock</t>
  </si>
  <si>
    <t>Suma de Costo Ventas</t>
  </si>
  <si>
    <t>Suma de Gasto Ventas</t>
  </si>
  <si>
    <t>Suma de Gasto ADM</t>
  </si>
  <si>
    <t>Suma de Gasto Fin</t>
  </si>
  <si>
    <t>Suma de Depreciación</t>
  </si>
  <si>
    <t>POTA FILETE CONGELADO</t>
  </si>
  <si>
    <t>POTA NUCAS CONGELADAS</t>
  </si>
  <si>
    <t>POTA ALAS CONGELADAS</t>
  </si>
  <si>
    <t>POTA REJOS CONGELADOS</t>
  </si>
  <si>
    <t>POTA REPRODUCTORES</t>
  </si>
  <si>
    <t>POTA FILETE DARUMA</t>
  </si>
  <si>
    <t>POTA ALAS COCIDAS</t>
  </si>
  <si>
    <t>VENTOSAS</t>
  </si>
  <si>
    <t>OTROS</t>
  </si>
  <si>
    <t>PERU FROST</t>
  </si>
  <si>
    <t>RENTABILIDAD DEL INVENTARIO</t>
  </si>
  <si>
    <t>POR DEFINIR</t>
  </si>
  <si>
    <t>UNITARIOS POR TM</t>
  </si>
  <si>
    <t>Código</t>
  </si>
  <si>
    <t>Producto</t>
  </si>
  <si>
    <t>TM en 
Stock Libre</t>
  </si>
  <si>
    <t>CU</t>
  </si>
  <si>
    <t>Precio Mercado</t>
  </si>
  <si>
    <t>Venta total</t>
  </si>
  <si>
    <t>Utilidad</t>
  </si>
  <si>
    <t>Mg Neto</t>
  </si>
  <si>
    <t>TM</t>
  </si>
  <si>
    <t>Venta</t>
  </si>
  <si>
    <t>Precio x TM</t>
  </si>
  <si>
    <t>Gasto Adm</t>
  </si>
  <si>
    <t>Drawback</t>
  </si>
  <si>
    <t>Utilidad 
Neta</t>
  </si>
  <si>
    <t>Mg Neto %</t>
  </si>
  <si>
    <t>EBITDA</t>
  </si>
  <si>
    <t>MG 
EBITDA</t>
  </si>
  <si>
    <t>TOTAL</t>
  </si>
  <si>
    <t>flete x tm</t>
  </si>
  <si>
    <t>POTA RECORTES COCIDOS</t>
  </si>
  <si>
    <t>Mg EBITDA</t>
  </si>
  <si>
    <t>Venta Equilibro 
a EBITDA</t>
  </si>
  <si>
    <t>Precio Equilibrio 
x TM a EBITDA</t>
  </si>
  <si>
    <t>Precio Equilibrio 
x TM a Utd Neta</t>
  </si>
  <si>
    <t>Venta Equilibrio 
a Utd Neta</t>
  </si>
  <si>
    <t>TOTAL PROYECTADO JUNIO 2026</t>
  </si>
  <si>
    <t>AVANCE COMERCIAL AL 15-6-2026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</si>
</sst>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"/>
    <numFmt numFmtId="165" formatCode="_-* #,##0_-;\-* #,##0_-;_-* &quot;-&quot;??_-;_-@_-"/>
    <numFmt numFmtId="167" formatCode="0.0%"/>
    <numFmt numFmtId="168" formatCode="_-* #,##0.0000_-;\-* #,##0.0000_-;_-* &quot;-&quot;??_-;_-@_-"/>
  </numFmts>
  <fonts count="1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1"/>
      <name val="Cambria"/>
      <family val="1"/>
    </font>
    <font>
      <b/>
      <sz val="11"/>
      <color rgb="FFFF0000"/>
      <name val="Cambria"/>
      <family val="1"/>
    </font>
    <font>
      <sz val="11"/>
      <color theme="1"/>
      <name val="Cambria"/>
      <family val="1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38">
    <xf numFmtId="0" fontId="0" fillId="0" borderId="0" xfId="0"/>
    <xf numFmtId="0" fontId="5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9" fontId="10" fillId="0" borderId="5" xfId="0" applyNumberFormat="1" applyFont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top"/>
    </xf>
    <xf numFmtId="164" fontId="6" fillId="0" borderId="0" xfId="0" applyNumberFormat="1" applyFont="1"/>
    <xf numFmtId="9" fontId="12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65" fontId="0" fillId="0" borderId="8" xfId="1" applyNumberFormat="1" applyFont="1" applyBorder="1"/>
    <xf numFmtId="165" fontId="12" fillId="0" borderId="0" xfId="1" applyNumberFormat="1" applyFont="1" applyBorder="1"/>
    <xf numFmtId="165" fontId="12" fillId="0" borderId="0" xfId="1" applyNumberFormat="1" applyFont="1"/>
    <xf numFmtId="165" fontId="12" fillId="0" borderId="0" xfId="1" applyNumberFormat="1" applyFont="1" applyAlignment="1">
      <alignment horizontal="center"/>
    </xf>
    <xf numFmtId="165" fontId="12" fillId="2" borderId="9" xfId="1" applyNumberFormat="1" applyFont="1" applyFill="1" applyBorder="1"/>
    <xf numFmtId="0" fontId="0" fillId="12" borderId="7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top"/>
    </xf>
    <xf numFmtId="0" fontId="0" fillId="8" borderId="7" xfId="0" applyFill="1" applyBorder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2" borderId="7" xfId="0" applyFill="1" applyBorder="1" applyAlignment="1">
      <alignment horizontal="center" vertical="top"/>
    </xf>
    <xf numFmtId="0" fontId="0" fillId="13" borderId="7" xfId="0" applyFill="1" applyBorder="1" applyAlignment="1">
      <alignment horizontal="center" vertical="top"/>
    </xf>
    <xf numFmtId="0" fontId="0" fillId="0" borderId="10" xfId="0" applyBorder="1" applyAlignment="1">
      <alignment horizontal="center"/>
    </xf>
    <xf numFmtId="165" fontId="10" fillId="0" borderId="4" xfId="1" applyNumberFormat="1" applyFont="1" applyBorder="1"/>
    <xf numFmtId="165" fontId="10" fillId="0" borderId="5" xfId="1" applyNumberFormat="1" applyFont="1" applyBorder="1"/>
    <xf numFmtId="165" fontId="10" fillId="0" borderId="5" xfId="1" applyNumberFormat="1" applyFont="1" applyBorder="1" applyAlignment="1">
      <alignment horizontal="center"/>
    </xf>
    <xf numFmtId="165" fontId="10" fillId="2" borderId="6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1" fillId="0" borderId="0" xfId="0" applyFont="1"/>
    <xf numFmtId="0" fontId="0" fillId="0" borderId="11" xfId="0" applyBorder="1"/>
    <xf numFmtId="0" fontId="0" fillId="0" borderId="11" xfId="0" applyBorder="1" applyAlignment="1">
      <alignment vertical="top"/>
    </xf>
    <xf numFmtId="0" fontId="5" fillId="0" borderId="0" xfId="0" applyFont="1"/>
    <xf numFmtId="0" fontId="4" fillId="0" borderId="0" xfId="0" applyFont="1"/>
    <xf numFmtId="167" fontId="0" fillId="0" borderId="0" xfId="2" applyNumberFormat="1" applyFont="1"/>
    <xf numFmtId="43" fontId="0" fillId="0" borderId="0" xfId="0" applyNumberFormat="1"/>
    <xf numFmtId="0" fontId="3" fillId="15" borderId="0" xfId="0" applyFont="1" applyFill="1" applyAlignment="1">
      <alignment horizontal="center"/>
    </xf>
    <xf numFmtId="0" fontId="3" fillId="15" borderId="0" xfId="0" applyFont="1" applyFill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16" fontId="4" fillId="0" borderId="2" xfId="0" applyNumberFormat="1" applyFont="1" applyBorder="1" applyAlignment="1">
      <alignment horizontal="center"/>
    </xf>
    <xf numFmtId="16" fontId="4" fillId="0" borderId="1" xfId="0" applyNumberFormat="1" applyFont="1" applyBorder="1" applyAlignment="1">
      <alignment horizontal="center"/>
    </xf>
    <xf numFmtId="16" fontId="4" fillId="0" borderId="10" xfId="0" applyNumberFormat="1" applyFont="1" applyBorder="1" applyAlignment="1">
      <alignment horizontal="center"/>
    </xf>
    <xf numFmtId="16" fontId="4" fillId="0" borderId="7" xfId="0" applyNumberFormat="1" applyFont="1" applyBorder="1" applyAlignment="1">
      <alignment horizontal="center"/>
    </xf>
    <xf numFmtId="16" fontId="4" fillId="16" borderId="3" xfId="0" applyNumberFormat="1" applyFont="1" applyFill="1" applyBorder="1" applyAlignment="1">
      <alignment horizontal="center"/>
    </xf>
    <xf numFmtId="16" fontId="4" fillId="16" borderId="0" xfId="0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14" borderId="1" xfId="0" applyFont="1" applyFill="1" applyBorder="1" applyAlignment="1">
      <alignment vertical="center"/>
    </xf>
    <xf numFmtId="0" fontId="4" fillId="0" borderId="13" xfId="0" applyFont="1" applyBorder="1" applyAlignment="1">
      <alignment horizontal="center" vertical="center"/>
    </xf>
    <xf numFmtId="0" fontId="4" fillId="10" borderId="14" xfId="0" applyFont="1" applyFill="1" applyBorder="1" applyAlignment="1">
      <alignment horizontal="center" vertical="center" wrapText="1"/>
    </xf>
    <xf numFmtId="0" fontId="4" fillId="10" borderId="1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9" fontId="4" fillId="0" borderId="5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6" borderId="2" xfId="0" applyFont="1" applyFill="1" applyBorder="1" applyAlignment="1">
      <alignment horizontal="center" vertical="center"/>
    </xf>
    <xf numFmtId="0" fontId="4" fillId="16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/>
    </xf>
    <xf numFmtId="165" fontId="0" fillId="10" borderId="16" xfId="1" applyNumberFormat="1" applyFont="1" applyFill="1" applyBorder="1" applyAlignment="1">
      <alignment horizontal="center"/>
    </xf>
    <xf numFmtId="165" fontId="0" fillId="0" borderId="0" xfId="1" applyNumberFormat="1" applyFont="1"/>
    <xf numFmtId="165" fontId="0" fillId="0" borderId="0" xfId="1" applyNumberFormat="1" applyFont="1" applyBorder="1"/>
    <xf numFmtId="9" fontId="0" fillId="0" borderId="0" xfId="0" applyNumberFormat="1"/>
    <xf numFmtId="165" fontId="14" fillId="2" borderId="9" xfId="1" applyNumberFormat="1" applyFont="1" applyFill="1" applyBorder="1"/>
    <xf numFmtId="165" fontId="14" fillId="0" borderId="9" xfId="1" applyNumberFormat="1" applyFont="1" applyFill="1" applyBorder="1"/>
    <xf numFmtId="9" fontId="14" fillId="0" borderId="9" xfId="2" applyFont="1" applyFill="1" applyBorder="1" applyAlignment="1">
      <alignment horizontal="center"/>
    </xf>
    <xf numFmtId="165" fontId="0" fillId="0" borderId="3" xfId="1" applyNumberFormat="1" applyFont="1" applyBorder="1"/>
    <xf numFmtId="165" fontId="0" fillId="0" borderId="13" xfId="1" applyNumberFormat="1" applyFont="1" applyBorder="1"/>
    <xf numFmtId="165" fontId="0" fillId="16" borderId="3" xfId="1" applyNumberFormat="1" applyFont="1" applyFill="1" applyBorder="1"/>
    <xf numFmtId="165" fontId="0" fillId="16" borderId="11" xfId="1" applyNumberFormat="1" applyFont="1" applyFill="1" applyBorder="1"/>
    <xf numFmtId="165" fontId="0" fillId="16" borderId="0" xfId="1" applyNumberFormat="1" applyFont="1" applyFill="1" applyBorder="1"/>
    <xf numFmtId="9" fontId="0" fillId="16" borderId="3" xfId="2" applyFont="1" applyFill="1" applyBorder="1" applyAlignment="1">
      <alignment horizontal="center"/>
    </xf>
    <xf numFmtId="165" fontId="0" fillId="16" borderId="11" xfId="2" applyNumberFormat="1" applyFont="1" applyFill="1" applyBorder="1" applyAlignment="1">
      <alignment horizontal="center"/>
    </xf>
    <xf numFmtId="9" fontId="0" fillId="16" borderId="11" xfId="2" applyFont="1" applyFill="1" applyBorder="1" applyAlignment="1">
      <alignment horizontal="center"/>
    </xf>
    <xf numFmtId="165" fontId="0" fillId="2" borderId="2" xfId="0" applyNumberFormat="1" applyFill="1" applyBorder="1"/>
    <xf numFmtId="165" fontId="0" fillId="2" borderId="2" xfId="1" applyNumberFormat="1" applyFont="1" applyFill="1" applyBorder="1"/>
    <xf numFmtId="165" fontId="0" fillId="0" borderId="11" xfId="1" applyNumberFormat="1" applyFont="1" applyBorder="1"/>
    <xf numFmtId="165" fontId="14" fillId="8" borderId="9" xfId="1" applyNumberFormat="1" applyFont="1" applyFill="1" applyBorder="1"/>
    <xf numFmtId="9" fontId="14" fillId="8" borderId="9" xfId="2" applyFont="1" applyFill="1" applyBorder="1" applyAlignment="1">
      <alignment horizontal="center"/>
    </xf>
    <xf numFmtId="0" fontId="4" fillId="0" borderId="17" xfId="0" applyFont="1" applyBorder="1" applyAlignment="1">
      <alignment horizontal="center"/>
    </xf>
    <xf numFmtId="1" fontId="4" fillId="10" borderId="18" xfId="0" applyNumberFormat="1" applyFont="1" applyFill="1" applyBorder="1" applyAlignment="1">
      <alignment horizontal="center"/>
    </xf>
    <xf numFmtId="165" fontId="4" fillId="10" borderId="19" xfId="1" applyNumberFormat="1" applyFont="1" applyFill="1" applyBorder="1" applyAlignment="1">
      <alignment horizontal="center"/>
    </xf>
    <xf numFmtId="165" fontId="4" fillId="0" borderId="5" xfId="1" applyNumberFormat="1" applyFont="1" applyBorder="1"/>
    <xf numFmtId="9" fontId="4" fillId="0" borderId="5" xfId="2" applyFont="1" applyBorder="1"/>
    <xf numFmtId="165" fontId="13" fillId="0" borderId="6" xfId="1" applyNumberFormat="1" applyFont="1" applyFill="1" applyBorder="1"/>
    <xf numFmtId="165" fontId="13" fillId="2" borderId="6" xfId="1" applyNumberFormat="1" applyFont="1" applyFill="1" applyBorder="1"/>
    <xf numFmtId="165" fontId="13" fillId="0" borderId="12" xfId="1" applyNumberFormat="1" applyFont="1" applyFill="1" applyBorder="1"/>
    <xf numFmtId="9" fontId="13" fillId="0" borderId="6" xfId="2" applyFont="1" applyFill="1" applyBorder="1" applyAlignment="1">
      <alignment horizontal="center"/>
    </xf>
    <xf numFmtId="165" fontId="4" fillId="0" borderId="1" xfId="0" applyNumberFormat="1" applyFont="1" applyBorder="1"/>
    <xf numFmtId="165" fontId="4" fillId="0" borderId="2" xfId="1" applyNumberFormat="1" applyFont="1" applyBorder="1"/>
    <xf numFmtId="165" fontId="4" fillId="16" borderId="2" xfId="0" applyNumberFormat="1" applyFont="1" applyFill="1" applyBorder="1"/>
    <xf numFmtId="165" fontId="4" fillId="16" borderId="10" xfId="1" applyNumberFormat="1" applyFont="1" applyFill="1" applyBorder="1"/>
    <xf numFmtId="165" fontId="4" fillId="16" borderId="2" xfId="1" applyNumberFormat="1" applyFont="1" applyFill="1" applyBorder="1"/>
    <xf numFmtId="9" fontId="4" fillId="16" borderId="1" xfId="2" applyFont="1" applyFill="1" applyBorder="1" applyAlignment="1">
      <alignment horizontal="center"/>
    </xf>
    <xf numFmtId="9" fontId="4" fillId="16" borderId="2" xfId="2" applyFont="1" applyFill="1" applyBorder="1" applyAlignment="1">
      <alignment horizontal="center"/>
    </xf>
    <xf numFmtId="165" fontId="4" fillId="2" borderId="2" xfId="0" applyNumberFormat="1" applyFont="1" applyFill="1" applyBorder="1"/>
    <xf numFmtId="165" fontId="4" fillId="2" borderId="2" xfId="1" applyNumberFormat="1" applyFont="1" applyFill="1" applyBorder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168" fontId="0" fillId="0" borderId="0" xfId="1" applyNumberFormat="1" applyFont="1" applyFill="1" applyBorder="1"/>
    <xf numFmtId="0" fontId="0" fillId="0" borderId="0" xfId="0" applyAlignment="1">
      <alignment horizontal="right"/>
    </xf>
    <xf numFmtId="165" fontId="0" fillId="0" borderId="0" xfId="1" applyNumberFormat="1" applyFont="1" applyAlignment="1">
      <alignment horizontal="center"/>
    </xf>
    <xf numFmtId="165" fontId="1" fillId="0" borderId="0" xfId="1" applyNumberFormat="1" applyFont="1"/>
    <xf numFmtId="4" fontId="0" fillId="0" borderId="0" xfId="0" applyNumberFormat="1"/>
    <xf numFmtId="9" fontId="0" fillId="0" borderId="0" xfId="2" applyFont="1"/>
    <xf numFmtId="3" fontId="0" fillId="0" borderId="0" xfId="0" applyNumberFormat="1"/>
    <xf numFmtId="0" fontId="4" fillId="0" borderId="0" xfId="0" applyFont="1" applyAlignment="1">
      <alignment horizontal="right"/>
    </xf>
    <xf numFmtId="165" fontId="4" fillId="0" borderId="0" xfId="1" applyNumberFormat="1" applyFont="1"/>
    <xf numFmtId="0" fontId="13" fillId="2" borderId="6" xfId="0" applyFont="1" applyFill="1" applyBorder="1" applyAlignment="1">
      <alignment horizontal="center" vertical="center" wrapText="1"/>
    </xf>
    <xf numFmtId="165" fontId="14" fillId="2" borderId="9" xfId="0" applyNumberFormat="1" applyFont="1" applyFill="1" applyBorder="1"/>
    <xf numFmtId="165" fontId="0" fillId="0" borderId="0" xfId="0" applyNumberForma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odrigom\Documents\Ajuste%20Stock%20Abril%202026%20v2.xlsx" TargetMode="External"/><Relationship Id="rId1" Type="http://schemas.openxmlformats.org/officeDocument/2006/relationships/externalLinkPath" Target="Ajuste%20Stock%20Abril%202026%20v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odrigom\Documents\RESUMEN%20VENTAS%20EXPORTACION%202025%20al%2015-6-2026.xlsx" TargetMode="External"/><Relationship Id="rId1" Type="http://schemas.openxmlformats.org/officeDocument/2006/relationships/externalLinkPath" Target="RESUMEN%20VENTAS%20EXPORTACION%202025%20al%2015-6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"/>
      <sheetName val="Hoja1"/>
      <sheetName val="TD"/>
      <sheetName val="Data"/>
      <sheetName val="Cálculo"/>
    </sheetNames>
    <sheetDataSet>
      <sheetData sheetId="0">
        <row r="3">
          <cell r="C3"/>
          <cell r="K3">
            <v>2126.230658279324</v>
          </cell>
        </row>
        <row r="4">
          <cell r="C4"/>
          <cell r="K4">
            <v>2094.6361169260049</v>
          </cell>
        </row>
        <row r="5">
          <cell r="C5"/>
          <cell r="K5">
            <v>1946.6202776142766</v>
          </cell>
        </row>
        <row r="6">
          <cell r="C6"/>
          <cell r="K6">
            <v>2025.3424461865532</v>
          </cell>
        </row>
        <row r="7">
          <cell r="C7"/>
          <cell r="K7">
            <v>2107.1511928863524</v>
          </cell>
        </row>
        <row r="8">
          <cell r="C8">
            <v>10005721</v>
          </cell>
          <cell r="K8">
            <v>2136.6867833638648</v>
          </cell>
        </row>
        <row r="9">
          <cell r="C9"/>
          <cell r="K9">
            <v>1974.7197869741549</v>
          </cell>
        </row>
        <row r="10">
          <cell r="C10"/>
          <cell r="K10">
            <v>1840.5564205679732</v>
          </cell>
        </row>
        <row r="11">
          <cell r="C11">
            <v>10005779</v>
          </cell>
          <cell r="K11">
            <v>1753.693447499579</v>
          </cell>
        </row>
        <row r="12">
          <cell r="C12"/>
          <cell r="K12">
            <v>1782.56409434187</v>
          </cell>
        </row>
        <row r="13">
          <cell r="C13"/>
          <cell r="K13">
            <v>1915.8869184440748</v>
          </cell>
        </row>
        <row r="14">
          <cell r="C14">
            <v>10006719</v>
          </cell>
          <cell r="K14">
            <v>2035.7385678837293</v>
          </cell>
        </row>
        <row r="15">
          <cell r="C15">
            <v>10006720</v>
          </cell>
          <cell r="K15">
            <v>1529.2757311252617</v>
          </cell>
        </row>
        <row r="16">
          <cell r="C16"/>
          <cell r="K16">
            <v>1866.9166666666667</v>
          </cell>
        </row>
        <row r="17">
          <cell r="K17">
            <v>1532.4894209058921</v>
          </cell>
        </row>
        <row r="18">
          <cell r="K18">
            <v>1275.0995057916339</v>
          </cell>
        </row>
        <row r="19">
          <cell r="K19" t="str">
            <v xml:space="preserve"> </v>
          </cell>
        </row>
        <row r="20">
          <cell r="K20" t="str">
            <v xml:space="preserve"> </v>
          </cell>
        </row>
        <row r="21">
          <cell r="C21"/>
          <cell r="K21">
            <v>1931.1280065442866</v>
          </cell>
        </row>
        <row r="22">
          <cell r="C22"/>
          <cell r="K22">
            <v>1772.129900364884</v>
          </cell>
        </row>
        <row r="23">
          <cell r="C23">
            <v>10007162</v>
          </cell>
          <cell r="K23">
            <v>1882.1795185638512</v>
          </cell>
        </row>
        <row r="24">
          <cell r="C24">
            <v>10007969</v>
          </cell>
          <cell r="K24">
            <v>1494.6793794440853</v>
          </cell>
        </row>
        <row r="25">
          <cell r="K25">
            <v>1490.7915816326529</v>
          </cell>
        </row>
        <row r="26">
          <cell r="C26"/>
          <cell r="K26">
            <v>1367.0473271804969</v>
          </cell>
        </row>
        <row r="27">
          <cell r="K27">
            <v>1758.082720775697</v>
          </cell>
        </row>
        <row r="28">
          <cell r="K28">
            <v>1838.9357175572518</v>
          </cell>
        </row>
        <row r="29">
          <cell r="C29">
            <v>10005781</v>
          </cell>
          <cell r="K29">
            <v>1856.345845872738</v>
          </cell>
        </row>
        <row r="30">
          <cell r="C30"/>
          <cell r="K30">
            <v>1788.7115084478587</v>
          </cell>
        </row>
        <row r="31">
          <cell r="C31"/>
          <cell r="K31">
            <v>2014.3039236706686</v>
          </cell>
        </row>
        <row r="32">
          <cell r="C32">
            <v>10009207</v>
          </cell>
          <cell r="K32">
            <v>1545.5756063338247</v>
          </cell>
        </row>
        <row r="33">
          <cell r="K33">
            <v>3641.2946428571427</v>
          </cell>
        </row>
        <row r="34">
          <cell r="C34">
            <v>10009239</v>
          </cell>
          <cell r="K34">
            <v>3441.681665997347</v>
          </cell>
        </row>
        <row r="35">
          <cell r="K35">
            <v>1956.3846153846155</v>
          </cell>
        </row>
        <row r="36">
          <cell r="C36"/>
          <cell r="K36">
            <v>3381.3205833671382</v>
          </cell>
        </row>
        <row r="37">
          <cell r="K37" t="str">
            <v xml:space="preserve"> </v>
          </cell>
        </row>
        <row r="38">
          <cell r="K38" t="str">
            <v xml:space="preserve"> </v>
          </cell>
        </row>
        <row r="39">
          <cell r="K39">
            <v>1836.2230548455041</v>
          </cell>
        </row>
        <row r="40">
          <cell r="K40" t="str">
            <v xml:space="preserve"> </v>
          </cell>
        </row>
        <row r="41">
          <cell r="K41" t="str">
            <v xml:space="preserve"> </v>
          </cell>
        </row>
        <row r="42">
          <cell r="K42" t="str">
            <v xml:space="preserve"> </v>
          </cell>
        </row>
        <row r="43">
          <cell r="C43">
            <v>10009334</v>
          </cell>
          <cell r="K43">
            <v>3020.0740355810349</v>
          </cell>
        </row>
        <row r="44">
          <cell r="C44"/>
          <cell r="K44">
            <v>1504.539234144622</v>
          </cell>
        </row>
        <row r="45">
          <cell r="C45"/>
          <cell r="K45">
            <v>2737.6348452189836</v>
          </cell>
        </row>
        <row r="46">
          <cell r="C46">
            <v>10009386</v>
          </cell>
          <cell r="K46">
            <v>1883.7262986780906</v>
          </cell>
        </row>
        <row r="47">
          <cell r="C47">
            <v>10007050</v>
          </cell>
          <cell r="K47">
            <v>1570.5963362842754</v>
          </cell>
        </row>
        <row r="48">
          <cell r="C48"/>
          <cell r="K48">
            <v>1878.1655309723285</v>
          </cell>
        </row>
        <row r="49">
          <cell r="K49" t="str">
            <v xml:space="preserve"> </v>
          </cell>
        </row>
        <row r="50">
          <cell r="K50">
            <v>14619.069205197944</v>
          </cell>
        </row>
        <row r="51">
          <cell r="K51">
            <v>48443.988050784159</v>
          </cell>
        </row>
        <row r="52">
          <cell r="K52">
            <v>12634.381551362681</v>
          </cell>
        </row>
        <row r="53">
          <cell r="K53" t="str">
            <v xml:space="preserve"> </v>
          </cell>
        </row>
        <row r="54">
          <cell r="K54" t="str">
            <v xml:space="preserve"> </v>
          </cell>
        </row>
        <row r="55">
          <cell r="C55"/>
          <cell r="K55">
            <v>1849.5051020408164</v>
          </cell>
        </row>
        <row r="56">
          <cell r="C56"/>
          <cell r="K56">
            <v>1784.0206279313234</v>
          </cell>
        </row>
        <row r="57">
          <cell r="C57"/>
          <cell r="K57" t="str">
            <v xml:space="preserve"> </v>
          </cell>
        </row>
        <row r="58">
          <cell r="K58">
            <v>2043.3632080577509</v>
          </cell>
        </row>
        <row r="59">
          <cell r="K59">
            <v>2049.9114940184209</v>
          </cell>
        </row>
        <row r="60">
          <cell r="C60">
            <v>10007567</v>
          </cell>
          <cell r="K60">
            <v>1821.2402425897037</v>
          </cell>
        </row>
        <row r="61">
          <cell r="C61"/>
          <cell r="K61">
            <v>1783.7983912750385</v>
          </cell>
        </row>
        <row r="62">
          <cell r="K62">
            <v>1333.2441756981573</v>
          </cell>
        </row>
        <row r="63">
          <cell r="K63">
            <v>1945.1482959840719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lle1"/>
      <sheetName val="FLETES"/>
      <sheetName val="Hoja1"/>
      <sheetName val="Hoja2"/>
      <sheetName val="2026"/>
      <sheetName val="PROGRAMACION"/>
      <sheetName val="2025 TOTAS FP"/>
      <sheetName val="EECC GLOBAL"/>
      <sheetName val="FP CHINA"/>
      <sheetName val="Tabla"/>
      <sheetName val="Sanming237"/>
    </sheetNames>
    <sheetDataSet>
      <sheetData sheetId="0"/>
      <sheetData sheetId="1"/>
      <sheetData sheetId="2"/>
      <sheetData sheetId="3">
        <row r="5">
          <cell r="F5">
            <v>46174</v>
          </cell>
          <cell r="I5">
            <v>26</v>
          </cell>
          <cell r="J5">
            <v>36400</v>
          </cell>
          <cell r="K5" t="str">
            <v>OTROS</v>
          </cell>
        </row>
        <row r="6">
          <cell r="F6">
            <v>46182</v>
          </cell>
          <cell r="I6">
            <v>27</v>
          </cell>
          <cell r="J6">
            <v>116100</v>
          </cell>
          <cell r="K6" t="str">
            <v>POTA ALAS COCIDAS</v>
          </cell>
        </row>
        <row r="7">
          <cell r="F7">
            <v>46182</v>
          </cell>
          <cell r="I7">
            <v>26</v>
          </cell>
          <cell r="J7">
            <v>33800</v>
          </cell>
          <cell r="K7" t="str">
            <v>POTA NUCAS CONGELADAS</v>
          </cell>
        </row>
        <row r="8">
          <cell r="F8">
            <v>46185</v>
          </cell>
          <cell r="I8">
            <v>72</v>
          </cell>
          <cell r="J8">
            <v>151200</v>
          </cell>
          <cell r="K8" t="str">
            <v>POTA ALAS CONGELADAS</v>
          </cell>
        </row>
        <row r="9">
          <cell r="F9">
            <v>46185</v>
          </cell>
          <cell r="I9">
            <v>108</v>
          </cell>
          <cell r="J9">
            <v>421200</v>
          </cell>
          <cell r="K9" t="str">
            <v>POTA FILETE DARUMA</v>
          </cell>
        </row>
        <row r="10">
          <cell r="F10">
            <v>46185</v>
          </cell>
          <cell r="I10">
            <v>27</v>
          </cell>
          <cell r="J10">
            <v>82350</v>
          </cell>
          <cell r="K10" t="str">
            <v>POTA REJOS CONGELADOS</v>
          </cell>
        </row>
        <row r="11">
          <cell r="F11">
            <v>46188</v>
          </cell>
          <cell r="I11">
            <v>26</v>
          </cell>
          <cell r="J11">
            <v>67600</v>
          </cell>
          <cell r="K11" t="str">
            <v>POTA REJOS CONGELADOS</v>
          </cell>
        </row>
        <row r="12">
          <cell r="F12">
            <v>46192</v>
          </cell>
          <cell r="I12">
            <v>54</v>
          </cell>
          <cell r="J12">
            <v>232200</v>
          </cell>
          <cell r="K12" t="str">
            <v>POTA ALAS COCIDAS</v>
          </cell>
        </row>
        <row r="13">
          <cell r="F13">
            <v>46192</v>
          </cell>
          <cell r="I13">
            <v>27</v>
          </cell>
          <cell r="J13">
            <v>59400</v>
          </cell>
          <cell r="K13" t="str">
            <v>POTA ALAS CONGELADAS</v>
          </cell>
        </row>
        <row r="14">
          <cell r="F14">
            <v>46192</v>
          </cell>
          <cell r="I14">
            <v>27</v>
          </cell>
          <cell r="J14">
            <v>46710</v>
          </cell>
          <cell r="K14" t="str">
            <v>POTA CONOS</v>
          </cell>
        </row>
        <row r="15">
          <cell r="F15">
            <v>46192</v>
          </cell>
          <cell r="I15">
            <v>78</v>
          </cell>
          <cell r="J15">
            <v>164280</v>
          </cell>
          <cell r="K15" t="str">
            <v>POTA FILETE CONGELADO</v>
          </cell>
        </row>
        <row r="16">
          <cell r="F16">
            <v>46195</v>
          </cell>
          <cell r="I16">
            <v>53</v>
          </cell>
          <cell r="J16">
            <v>147810</v>
          </cell>
          <cell r="K16" t="str">
            <v>POTA REPRODUCTORES</v>
          </cell>
        </row>
        <row r="17">
          <cell r="F17" t="str">
            <v>POR DEFINIR</v>
          </cell>
          <cell r="I17">
            <v>48</v>
          </cell>
          <cell r="J17">
            <v>81600</v>
          </cell>
          <cell r="K17" t="str">
            <v>POTA FILETE CONGELADO</v>
          </cell>
        </row>
        <row r="18">
          <cell r="F18" t="str">
            <v>POR DEFINIR</v>
          </cell>
          <cell r="I18">
            <v>27</v>
          </cell>
          <cell r="J18">
            <v>105300</v>
          </cell>
          <cell r="K18" t="str">
            <v>POTA FILETE DARUMA</v>
          </cell>
        </row>
        <row r="19">
          <cell r="F19" t="str">
            <v>POR DEFINIR</v>
          </cell>
          <cell r="I19">
            <v>78</v>
          </cell>
          <cell r="J19">
            <v>102700</v>
          </cell>
          <cell r="K19" t="str">
            <v>POTA NUCAS CONGELADAS</v>
          </cell>
        </row>
        <row r="20">
          <cell r="F20" t="str">
            <v>POR DEFINIR</v>
          </cell>
          <cell r="I20">
            <v>52</v>
          </cell>
          <cell r="J20">
            <v>135200</v>
          </cell>
          <cell r="K20" t="str">
            <v>POTA REJOS CONGELADOS</v>
          </cell>
        </row>
        <row r="21">
          <cell r="F21" t="str">
            <v>POR DEFINIR</v>
          </cell>
          <cell r="I21">
            <v>81</v>
          </cell>
          <cell r="J21">
            <v>329400</v>
          </cell>
          <cell r="K21" t="str">
            <v>POTA ALAS COCIDAS</v>
          </cell>
        </row>
        <row r="22">
          <cell r="F22" t="str">
            <v>POR DEFINIR</v>
          </cell>
          <cell r="I22">
            <v>41</v>
          </cell>
          <cell r="J22">
            <v>85340</v>
          </cell>
          <cell r="K22" t="str">
            <v>POTA FILETE CONGELADO</v>
          </cell>
        </row>
        <row r="23">
          <cell r="F23" t="str">
            <v>POR DEFINIR</v>
          </cell>
          <cell r="I23">
            <v>270</v>
          </cell>
          <cell r="J23">
            <v>1066500</v>
          </cell>
          <cell r="K23" t="str">
            <v>POTA FILETE DARUMA</v>
          </cell>
        </row>
        <row r="24">
          <cell r="F24" t="str">
            <v>POR DEFINIR</v>
          </cell>
          <cell r="I24">
            <v>27</v>
          </cell>
          <cell r="J24">
            <v>67500</v>
          </cell>
          <cell r="K24" t="str">
            <v>OTROS</v>
          </cell>
        </row>
        <row r="25">
          <cell r="F25" t="str">
            <v>POR DEFINIR</v>
          </cell>
          <cell r="I25">
            <v>114</v>
          </cell>
          <cell r="J25">
            <v>152320</v>
          </cell>
          <cell r="K25" t="str">
            <v>POTA NUCAS CONGELADAS</v>
          </cell>
        </row>
        <row r="26">
          <cell r="F26" t="str">
            <v>POR DEFINIR</v>
          </cell>
          <cell r="I26">
            <v>54</v>
          </cell>
          <cell r="J26">
            <v>136350</v>
          </cell>
          <cell r="K26" t="str">
            <v>POTA RECORTES COCIDOS</v>
          </cell>
        </row>
        <row r="27">
          <cell r="F27" t="str">
            <v>POR DEFINIR</v>
          </cell>
          <cell r="I27">
            <v>54</v>
          </cell>
          <cell r="J27">
            <v>167400</v>
          </cell>
          <cell r="K27" t="str">
            <v>POTA REJOS CONGELADOS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Sebastian Martinez Montalvo (PFRO)" refreshedDate="46188.74643900463" createdVersion="8" refreshedVersion="8" minRefreshableVersion="3" recordCount="51" xr:uid="{5514C5F8-7C03-4C86-943A-8436FC702FD7}">
  <cacheSource type="worksheet">
    <worksheetSource ref="G1:T52" sheet="Stock Libre"/>
  </cacheSource>
  <cacheFields count="14">
    <cacheField name="CÓDIGO" numFmtId="0">
      <sharedItems containsString="0" containsBlank="1" containsNumber="1" containsInteger="1" minValue="10005721" maxValue="10009386" count="13">
        <n v="10006719"/>
        <n v="10009207"/>
        <n v="10007969"/>
        <m/>
        <n v="10005721"/>
        <n v="10005779"/>
        <n v="10007567"/>
        <n v="10007162"/>
        <n v="10009386"/>
        <n v="10009239"/>
        <n v="10009334"/>
        <n v="10007050"/>
        <n v="10005781" u="1"/>
      </sharedItems>
    </cacheField>
    <cacheField name="CU X TM" numFmtId="164">
      <sharedItems containsString="0" containsBlank="1" containsNumber="1" minValue="1.3685038142857144" maxValue="3.2548777446902504"/>
    </cacheField>
    <cacheField name="% MP" numFmtId="0">
      <sharedItems containsString="0" containsBlank="1" containsNumber="1" minValue="0.56000000000000005" maxValue="0.71"/>
    </cacheField>
    <cacheField name="incremento MP" numFmtId="9">
      <sharedItems containsSemiMixedTypes="0" containsString="0" containsNumber="1" minValue="-7.0000000000000007E-2" maxValue="-7.0000000000000007E-2"/>
    </cacheField>
    <cacheField name="TM en Stock" numFmtId="165">
      <sharedItems containsSemiMixedTypes="0" containsString="0" containsNumber="1" minValue="0" maxValue="530.41999999999996"/>
    </cacheField>
    <cacheField name="Costo Ventas" numFmtId="165">
      <sharedItems containsSemiMixedTypes="0" containsString="0" containsNumber="1" minValue="0" maxValue="1052664.1980015268"/>
    </cacheField>
    <cacheField name="Gasto Ventas" numFmtId="165">
      <sharedItems containsSemiMixedTypes="0" containsString="0" containsNumber="1" minValue="0" maxValue="110242.49279999999"/>
    </cacheField>
    <cacheField name="Gasto ADM" numFmtId="165">
      <sharedItems containsSemiMixedTypes="0" containsString="0" containsNumber="1" minValue="0" maxValue="33457.788857270141"/>
    </cacheField>
    <cacheField name="Gasto Fin" numFmtId="165">
      <sharedItems containsSemiMixedTypes="0" containsString="0" containsNumber="1" minValue="0" maxValue="65772.343986931504"/>
    </cacheField>
    <cacheField name="Depreciación" numFmtId="165">
      <sharedItems containsSemiMixedTypes="0" containsString="0" containsNumber="1" minValue="0" maxValue="52577.830075175887"/>
    </cacheField>
    <cacheField name="Utilidad Neta" numFmtId="165">
      <sharedItems containsSemiMixedTypes="0" containsString="0" containsNumber="1" containsInteger="1" minValue="0" maxValue="0"/>
    </cacheField>
    <cacheField name="Margen Neto" numFmtId="165">
      <sharedItems containsSemiMixedTypes="0" containsString="0" containsNumber="1" containsInteger="1" minValue="0" maxValue="0"/>
    </cacheField>
    <cacheField name="Venta Equilibrio" numFmtId="165">
      <sharedItems containsSemiMixedTypes="0" containsString="0" containsNumber="1" minValue="0" maxValue="1262136.8236457282"/>
    </cacheField>
    <cacheField name="Precio Equilibrio x TM" numFmtId="165">
      <sharedItems containsSemiMixedTypes="0" containsString="0" containsNumber="1" minValue="0" maxValue="2379.50458814850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n v="1.8826723610599079"/>
    <n v="0.71"/>
    <n v="-7.0000000000000007E-2"/>
    <n v="12.28"/>
    <n v="23119.216593815669"/>
    <n v="2552.2752"/>
    <n v="774.59682358749171"/>
    <n v="1522.7261116841728"/>
    <n v="1217.253786288526"/>
    <n v="0"/>
    <n v="0"/>
    <n v="27968.814729087335"/>
    <n v="2277.5907759843108"/>
  </r>
  <r>
    <x v="0"/>
    <n v="1.8826723610599079"/>
    <n v="0.71"/>
    <n v="-7.0000000000000007E-2"/>
    <n v="3.02"/>
    <n v="5685.6705304009211"/>
    <n v="627.67679999999996"/>
    <n v="190.49531003536035"/>
    <n v="374.48150303633565"/>
    <n v="299.35720151395344"/>
    <n v="0"/>
    <n v="0"/>
    <n v="6878.3241434726169"/>
    <n v="2277.5907759843103"/>
  </r>
  <r>
    <x v="0"/>
    <n v="1.8826723610599079"/>
    <n v="0.71"/>
    <n v="-7.0000000000000007E-2"/>
    <n v="12.9"/>
    <n v="24286.473457672811"/>
    <n v="2681.136"/>
    <n v="813.70513227024787"/>
    <n v="1599.6064202545465"/>
    <n v="1278.7112250099337"/>
    <n v="0"/>
    <n v="0"/>
    <n v="29380.921010197602"/>
    <n v="2277.5907759843103"/>
  </r>
  <r>
    <x v="0"/>
    <n v="1.8826723610599079"/>
    <n v="0.71"/>
    <n v="-7.0000000000000007E-2"/>
    <n v="0"/>
    <n v="0"/>
    <n v="0"/>
    <n v="0"/>
    <n v="0"/>
    <n v="0"/>
    <n v="0"/>
    <n v="0"/>
    <n v="0"/>
    <n v="0"/>
  </r>
  <r>
    <x v="0"/>
    <n v="1.8826723610599079"/>
    <n v="0.71"/>
    <n v="-7.0000000000000007E-2"/>
    <n v="0"/>
    <n v="0"/>
    <n v="0"/>
    <n v="0"/>
    <n v="0"/>
    <n v="0"/>
    <n v="0"/>
    <n v="0"/>
    <n v="0"/>
    <n v="0"/>
  </r>
  <r>
    <x v="0"/>
    <n v="1.8826723610599079"/>
    <n v="0.71"/>
    <n v="-7.0000000000000007E-2"/>
    <n v="35.119999999999997"/>
    <n v="66119.453320423956"/>
    <n v="7299.3407999999999"/>
    <n v="2215.296453126442"/>
    <n v="4354.8974790185785"/>
    <n v="3481.2665288642534"/>
    <n v="0"/>
    <n v="0"/>
    <n v="79988.98805256898"/>
    <n v="2277.5907759843108"/>
  </r>
  <r>
    <x v="0"/>
    <n v="1.8826723610599079"/>
    <n v="0.71"/>
    <n v="-7.0000000000000007E-2"/>
    <n v="0"/>
    <n v="0"/>
    <n v="0"/>
    <n v="0"/>
    <n v="0"/>
    <n v="0"/>
    <n v="0"/>
    <n v="0"/>
    <n v="0"/>
    <n v="0"/>
  </r>
  <r>
    <x v="1"/>
    <n v="1.4168704986990337"/>
    <n v="0.71"/>
    <n v="-7.0000000000000007E-2"/>
    <n v="8.7799999999999994"/>
    <n v="12440.122978577514"/>
    <n v="1824.8352"/>
    <n v="553.82411328161049"/>
    <n v="1088.7243697546446"/>
    <n v="870.31663221606334"/>
    <n v="0"/>
    <n v="0"/>
    <n v="15907.50666161377"/>
    <n v="1811.7889136234364"/>
  </r>
  <r>
    <x v="2"/>
    <n v="1.3685038142857144"/>
    <n v="0.71"/>
    <n v="-7.0000000000000007E-2"/>
    <n v="22.74"/>
    <n v="31119.776736857144"/>
    <n v="4726.2815999999993"/>
    <n v="1434.3918378159251"/>
    <n v="2819.771317564991"/>
    <n v="2254.1002524593714"/>
    <n v="0"/>
    <n v="0"/>
    <n v="40100.221492238059"/>
    <n v="1763.4222292101169"/>
  </r>
  <r>
    <x v="3"/>
    <m/>
    <m/>
    <n v="-7.0000000000000007E-2"/>
    <n v="0"/>
    <n v="0"/>
    <n v="0"/>
    <n v="0"/>
    <n v="0"/>
    <n v="0"/>
    <n v="0"/>
    <n v="0"/>
    <n v="0"/>
    <n v="0"/>
  </r>
  <r>
    <x v="3"/>
    <m/>
    <m/>
    <n v="-7.0000000000000007E-2"/>
    <n v="0"/>
    <n v="0"/>
    <n v="0"/>
    <n v="0"/>
    <n v="0"/>
    <n v="0"/>
    <n v="0"/>
    <n v="0"/>
    <n v="0"/>
    <n v="0"/>
  </r>
  <r>
    <x v="3"/>
    <m/>
    <m/>
    <n v="-7.0000000000000007E-2"/>
    <n v="0"/>
    <n v="0"/>
    <n v="0"/>
    <n v="0"/>
    <n v="0"/>
    <n v="0"/>
    <n v="0"/>
    <n v="0"/>
    <n v="0"/>
    <n v="0"/>
  </r>
  <r>
    <x v="3"/>
    <m/>
    <m/>
    <n v="-7.0000000000000007E-2"/>
    <n v="0"/>
    <n v="0"/>
    <n v="0"/>
    <n v="0"/>
    <n v="0"/>
    <n v="0"/>
    <n v="0"/>
    <n v="0"/>
    <n v="0"/>
    <n v="0"/>
  </r>
  <r>
    <x v="3"/>
    <m/>
    <m/>
    <n v="-7.0000000000000007E-2"/>
    <n v="0"/>
    <n v="0"/>
    <n v="0"/>
    <n v="0"/>
    <n v="0"/>
    <n v="0"/>
    <n v="0"/>
    <n v="0"/>
    <n v="0"/>
    <n v="0"/>
  </r>
  <r>
    <x v="4"/>
    <n v="1.9845861732240995"/>
    <n v="0.67"/>
    <n v="-7.0000000000000007E-2"/>
    <n v="1.4"/>
    <n v="2778.420642513739"/>
    <n v="290.976"/>
    <n v="88.309084122352473"/>
    <n v="173.60069677181122"/>
    <n v="138.77486162898504"/>
    <n v="0"/>
    <n v="0"/>
    <n v="3331.3064234079029"/>
    <n v="2379.5045881485021"/>
  </r>
  <r>
    <x v="4"/>
    <n v="1.9845861732240995"/>
    <n v="0.67"/>
    <n v="-7.0000000000000007E-2"/>
    <n v="0"/>
    <n v="0"/>
    <n v="0"/>
    <n v="0"/>
    <n v="0"/>
    <n v="0"/>
    <n v="0"/>
    <n v="0"/>
    <n v="0"/>
    <n v="0"/>
  </r>
  <r>
    <x v="4"/>
    <n v="1.9845861732240995"/>
    <n v="0.67"/>
    <n v="-7.0000000000000007E-2"/>
    <n v="14.4"/>
    <n v="28578.040894427035"/>
    <n v="2992.8960000000002"/>
    <n v="908.32200811562552"/>
    <n v="1785.6071667957726"/>
    <n v="1427.3985767552749"/>
    <n v="0"/>
    <n v="0"/>
    <n v="34264.86606933843"/>
    <n v="2379.5045881485021"/>
  </r>
  <r>
    <x v="4"/>
    <n v="1.9845861732240995"/>
    <n v="0.67"/>
    <n v="-7.0000000000000007E-2"/>
    <n v="1.08"/>
    <n v="2143.3530670820278"/>
    <n v="224.46720000000002"/>
    <n v="68.124150608671911"/>
    <n v="133.92053750968296"/>
    <n v="107.05489325664561"/>
    <n v="0"/>
    <n v="0"/>
    <n v="2569.8649552003826"/>
    <n v="2379.5045881485021"/>
  </r>
  <r>
    <x v="4"/>
    <n v="1.9845861732240995"/>
    <n v="0.67"/>
    <n v="-7.0000000000000007E-2"/>
    <n v="530.41999999999996"/>
    <n v="1052664.1980015268"/>
    <n v="110242.49279999999"/>
    <n v="33457.788857270141"/>
    <n v="65772.343986931504"/>
    <n v="52577.830075175887"/>
    <n v="0"/>
    <n v="0"/>
    <n v="1262136.8236457282"/>
    <n v="2379.5045881485016"/>
  </r>
  <r>
    <x v="4"/>
    <n v="1.9845861732240995"/>
    <n v="0.67"/>
    <n v="-7.0000000000000007E-2"/>
    <n v="11.34"/>
    <n v="22505.207204361286"/>
    <n v="2356.9056"/>
    <n v="715.3035813910551"/>
    <n v="1406.1656438516709"/>
    <n v="1124.0763791947788"/>
    <n v="0"/>
    <n v="0"/>
    <n v="26983.582029604007"/>
    <n v="2379.5045881485016"/>
  </r>
  <r>
    <x v="4"/>
    <n v="1.9845861732240995"/>
    <n v="0.67"/>
    <n v="-7.0000000000000007E-2"/>
    <n v="0"/>
    <n v="0"/>
    <n v="0"/>
    <n v="0"/>
    <n v="0"/>
    <n v="0"/>
    <n v="0"/>
    <n v="0"/>
    <n v="0"/>
    <n v="0"/>
  </r>
  <r>
    <x v="4"/>
    <n v="1.9845861732240995"/>
    <n v="0.67"/>
    <n v="-7.0000000000000007E-2"/>
    <n v="0"/>
    <n v="0"/>
    <n v="0"/>
    <n v="0"/>
    <n v="0"/>
    <n v="0"/>
    <n v="0"/>
    <n v="0"/>
    <n v="0"/>
    <n v="0"/>
  </r>
  <r>
    <x v="4"/>
    <n v="1.9845861732240995"/>
    <n v="0.67"/>
    <n v="-7.0000000000000007E-2"/>
    <n v="0"/>
    <n v="0"/>
    <n v="0"/>
    <n v="0"/>
    <n v="0"/>
    <n v="0"/>
    <n v="0"/>
    <n v="0"/>
    <n v="0"/>
    <n v="0"/>
  </r>
  <r>
    <x v="4"/>
    <n v="1.9845861732240995"/>
    <n v="0.67"/>
    <n v="-7.0000000000000007E-2"/>
    <n v="0"/>
    <n v="0"/>
    <n v="0"/>
    <n v="0"/>
    <n v="0"/>
    <n v="0"/>
    <n v="0"/>
    <n v="0"/>
    <n v="0"/>
    <n v="0"/>
  </r>
  <r>
    <x v="4"/>
    <n v="1.9845861732240995"/>
    <n v="0.67"/>
    <n v="-7.0000000000000007E-2"/>
    <n v="3.2"/>
    <n v="6350.6757543171188"/>
    <n v="665.08800000000008"/>
    <n v="201.84933513680568"/>
    <n v="396.80159262128285"/>
    <n v="317.1996837233944"/>
    <n v="0"/>
    <n v="0"/>
    <n v="7614.4146820752076"/>
    <n v="2379.5045881485021"/>
  </r>
  <r>
    <x v="5"/>
    <n v="1.622010395638348"/>
    <n v="0.65"/>
    <n v="-7.0000000000000007E-2"/>
    <n v="93.08"/>
    <n v="150976.72762601744"/>
    <n v="19345.747200000002"/>
    <n v="5871.2925357918348"/>
    <n v="11541.966325371564"/>
    <n v="9226.5458003042349"/>
    <n v="0"/>
    <n v="0"/>
    <n v="187735.73368718085"/>
    <n v="2016.9288105627509"/>
  </r>
  <r>
    <x v="5"/>
    <n v="1.622010395638348"/>
    <n v="0.65"/>
    <n v="-7.0000000000000007E-2"/>
    <n v="40.1"/>
    <n v="65042.616865097756"/>
    <n v="8334.384"/>
    <n v="2529.4244809330962"/>
    <n v="4972.4199575354505"/>
    <n v="3974.908536658786"/>
    <n v="0"/>
    <n v="0"/>
    <n v="80878.845303566311"/>
    <n v="2016.9288105627509"/>
  </r>
  <r>
    <x v="5"/>
    <n v="1.622010395638348"/>
    <n v="0.65"/>
    <n v="-7.0000000000000007E-2"/>
    <n v="1.04"/>
    <n v="1686.8908114638821"/>
    <n v="216.15360000000001"/>
    <n v="65.601033919461841"/>
    <n v="128.96051760191693"/>
    <n v="103.08989721010319"/>
    <n v="0"/>
    <n v="0"/>
    <n v="2097.6059629852607"/>
    <n v="2016.9288105627506"/>
  </r>
  <r>
    <x v="5"/>
    <n v="1.622010395638348"/>
    <n v="0.65"/>
    <n v="-7.0000000000000007E-2"/>
    <n v="29.52"/>
    <n v="47881.746879244034"/>
    <n v="6135.4368000000004"/>
    <n v="1862.0601166370323"/>
    <n v="3660.4946919313338"/>
    <n v="2926.1670823483132"/>
    <n v="0"/>
    <n v="0"/>
    <n v="59539.738487812407"/>
    <n v="2016.9288105627509"/>
  </r>
  <r>
    <x v="5"/>
    <n v="1.622010395638348"/>
    <n v="0.65"/>
    <n v="-7.0000000000000007E-2"/>
    <n v="72.180000000000007"/>
    <n v="117076.71035717597"/>
    <n v="15001.891200000002"/>
    <n v="4552.9640656795737"/>
    <n v="8950.3559235638113"/>
    <n v="7154.8353659858158"/>
    <n v="0"/>
    <n v="0"/>
    <n v="145581.92154641938"/>
    <n v="2016.9288105627511"/>
  </r>
  <r>
    <x v="5"/>
    <n v="1.622010395638348"/>
    <n v="0.65"/>
    <n v="-7.0000000000000007E-2"/>
    <n v="0"/>
    <n v="0"/>
    <n v="0"/>
    <n v="0"/>
    <n v="0"/>
    <n v="0"/>
    <n v="0"/>
    <n v="0"/>
    <n v="0"/>
    <n v="0"/>
  </r>
  <r>
    <x v="6"/>
    <n v="1.6826592070424338"/>
    <n v="0.68"/>
    <n v="-7.0000000000000007E-2"/>
    <n v="28.6"/>
    <n v="48124.053321413609"/>
    <n v="5944.2240000000002"/>
    <n v="1804.0284327852007"/>
    <n v="3546.4142340527155"/>
    <n v="2834.9721732778376"/>
    <n v="0"/>
    <n v="0"/>
    <n v="59418.719988251527"/>
    <n v="2077.5776219668364"/>
  </r>
  <r>
    <x v="6"/>
    <n v="1.6826592070424338"/>
    <n v="0.68"/>
    <n v="-7.0000000000000007E-2"/>
    <n v="32.86"/>
    <n v="55292.181543414372"/>
    <n v="6829.6224000000002"/>
    <n v="2072.7403601860733"/>
    <n v="4074.6563542297977"/>
    <n v="3257.2442522346064"/>
    <n v="0"/>
    <n v="0"/>
    <n v="68269.200657830239"/>
    <n v="2077.5776219668364"/>
  </r>
  <r>
    <x v="7"/>
    <n v="1.7406977734802118"/>
    <n v="0.68"/>
    <n v="-7.0000000000000007E-2"/>
    <n v="0"/>
    <n v="0"/>
    <n v="0"/>
    <n v="0"/>
    <n v="0"/>
    <n v="0"/>
    <n v="0"/>
    <n v="0"/>
    <n v="0"/>
    <n v="0"/>
  </r>
  <r>
    <x v="7"/>
    <n v="1.7406977734802118"/>
    <n v="0.68"/>
    <n v="-7.0000000000000007E-2"/>
    <n v="1.22"/>
    <n v="2123.6512836458587"/>
    <n v="253.56479999999999"/>
    <n v="76.955059020907157"/>
    <n v="151.28060718686407"/>
    <n v="120.93237941954412"/>
    <n v="0"/>
    <n v="0"/>
    <n v="2605.4517498536302"/>
    <n v="2135.6161884046151"/>
  </r>
  <r>
    <x v="7"/>
    <n v="1.7406977734802118"/>
    <n v="0.68"/>
    <n v="-7.0000000000000007E-2"/>
    <n v="0"/>
    <n v="0"/>
    <n v="0"/>
    <n v="0"/>
    <n v="0"/>
    <n v="0"/>
    <n v="0"/>
    <n v="0"/>
    <n v="0"/>
    <n v="0"/>
  </r>
  <r>
    <x v="7"/>
    <n v="1.7406977734802118"/>
    <n v="0.68"/>
    <n v="-7.0000000000000007E-2"/>
    <n v="123.74"/>
    <n v="215393.94249044138"/>
    <n v="25718.121599999999"/>
    <n v="7805.2614780713538"/>
    <n v="15343.82158467423"/>
    <n v="12265.715269979006"/>
    <n v="0"/>
    <n v="0"/>
    <n v="264261.14715318696"/>
    <n v="2135.6161884046141"/>
  </r>
  <r>
    <x v="7"/>
    <n v="1.7406977734802118"/>
    <n v="0.68"/>
    <n v="-7.0000000000000007E-2"/>
    <n v="0.34"/>
    <n v="591.83724298327206"/>
    <n v="70.665600000000012"/>
    <n v="21.446491858285604"/>
    <n v="42.160169216011305"/>
    <n v="33.702466395610656"/>
    <n v="0"/>
    <n v="0"/>
    <n v="726.1095040575691"/>
    <n v="2135.6161884046151"/>
  </r>
  <r>
    <x v="7"/>
    <n v="1.7406977734802118"/>
    <n v="0.68"/>
    <n v="-7.0000000000000007E-2"/>
    <n v="29.06"/>
    <n v="50584.677297334958"/>
    <n v="6039.8303999999998"/>
    <n v="1833.0442747111165"/>
    <n v="3603.4544629920242"/>
    <n v="2880.5696278130754"/>
    <n v="0"/>
    <n v="0"/>
    <n v="62061.0064350381"/>
    <n v="2135.6161884046146"/>
  </r>
  <r>
    <x v="7"/>
    <n v="1.7406977734802118"/>
    <n v="0.68"/>
    <n v="-7.0000000000000007E-2"/>
    <n v="2.68"/>
    <n v="4665.0700329269675"/>
    <n v="557.01120000000003"/>
    <n v="169.04881817707476"/>
    <n v="332.32133382032436"/>
    <n v="265.65473511834284"/>
    <n v="0"/>
    <n v="0"/>
    <n v="5723.4513849243667"/>
    <n v="2135.6161884046141"/>
  </r>
  <r>
    <x v="7"/>
    <n v="1.7406977734802118"/>
    <n v="0.68"/>
    <n v="-7.0000000000000007E-2"/>
    <n v="0.96"/>
    <n v="1671.0698625410032"/>
    <n v="199.5264"/>
    <n v="60.554800541041701"/>
    <n v="119.04047778638484"/>
    <n v="95.159905117018312"/>
    <n v="0"/>
    <n v="0"/>
    <n v="2050.1915408684299"/>
    <n v="2135.6161884046146"/>
  </r>
  <r>
    <x v="7"/>
    <n v="1.7406977734802118"/>
    <n v="0.68"/>
    <n v="-7.0000000000000007E-2"/>
    <n v="13.96"/>
    <n v="24300.140917783756"/>
    <n v="2901.4464000000003"/>
    <n v="880.56772453431472"/>
    <n v="1731.0469478103464"/>
    <n v="1383.7836202433082"/>
    <n v="0"/>
    <n v="0"/>
    <n v="29813.201990128418"/>
    <n v="2135.6161884046141"/>
  </r>
  <r>
    <x v="8"/>
    <n v="1.7421709268610135"/>
    <n v="0.68"/>
    <n v="-7.0000000000000007E-2"/>
    <n v="16.399999999999999"/>
    <n v="28571.603200520622"/>
    <n v="3408.5759999999996"/>
    <n v="1034.477842576129"/>
    <n v="2033.6081621840742"/>
    <n v="1625.6483790823961"/>
    <n v="0"/>
    <n v="0"/>
    <n v="35048.265205280826"/>
    <n v="2137.0893417854163"/>
  </r>
  <r>
    <x v="9"/>
    <n v="3.2548777446902504"/>
    <n v="0.56000000000000005"/>
    <n v="-7.0000000000000007E-2"/>
    <n v="0"/>
    <n v="0"/>
    <n v="0"/>
    <n v="0"/>
    <n v="0"/>
    <n v="0"/>
    <n v="0"/>
    <n v="0"/>
    <n v="0"/>
    <n v="0"/>
  </r>
  <r>
    <x v="9"/>
    <n v="3.2548777446902504"/>
    <n v="0.56000000000000005"/>
    <n v="-7.0000000000000007E-2"/>
    <n v="0"/>
    <n v="0"/>
    <n v="0"/>
    <n v="0"/>
    <n v="0"/>
    <n v="0"/>
    <n v="0"/>
    <n v="0"/>
    <n v="0"/>
    <n v="0"/>
  </r>
  <r>
    <x v="10"/>
    <n v="2.8244285114873775"/>
    <n v="0.68"/>
    <n v="-7.0000000000000007E-2"/>
    <n v="0"/>
    <n v="0"/>
    <n v="0"/>
    <n v="0"/>
    <n v="0"/>
    <n v="0"/>
    <n v="0"/>
    <n v="0"/>
    <n v="0"/>
    <n v="0"/>
  </r>
  <r>
    <x v="10"/>
    <n v="2.8244285114873775"/>
    <n v="0.68"/>
    <n v="-7.0000000000000007E-2"/>
    <n v="0"/>
    <n v="0"/>
    <n v="0"/>
    <n v="0"/>
    <n v="0"/>
    <n v="0"/>
    <n v="0"/>
    <n v="0"/>
    <n v="0"/>
    <n v="0"/>
  </r>
  <r>
    <x v="10"/>
    <n v="2.8244285114873775"/>
    <n v="0.68"/>
    <n v="-7.0000000000000007E-2"/>
    <n v="0"/>
    <n v="0"/>
    <n v="0"/>
    <n v="0"/>
    <n v="0"/>
    <n v="0"/>
    <n v="0"/>
    <n v="0"/>
    <n v="0"/>
    <n v="0"/>
  </r>
  <r>
    <x v="11"/>
    <n v="1.4439459506771439"/>
    <n v="0.68"/>
    <n v="-7.0000000000000007E-2"/>
    <n v="0"/>
    <n v="0"/>
    <n v="0"/>
    <n v="0"/>
    <n v="0"/>
    <n v="0"/>
    <n v="0"/>
    <n v="0"/>
    <n v="0"/>
    <n v="0"/>
  </r>
  <r>
    <x v="11"/>
    <n v="1.4439459506771439"/>
    <n v="0.68"/>
    <n v="-7.0000000000000007E-2"/>
    <n v="57.395000000000003"/>
    <n v="82875.277839114671"/>
    <n v="11928.9768"/>
    <n v="3620.3570594303005"/>
    <n v="7117.0085651557902"/>
    <n v="5689.2737022825695"/>
    <n v="0"/>
    <n v="0"/>
    <n v="105541.62026370077"/>
    <n v="1838.8643656015465"/>
  </r>
  <r>
    <x v="11"/>
    <n v="1.4439459506771439"/>
    <n v="0.68"/>
    <n v="-7.0000000000000007E-2"/>
    <n v="45.93"/>
    <n v="66320.437514601217"/>
    <n v="9546.0912000000008"/>
    <n v="2897.1687383854637"/>
    <n v="5695.3428590923495"/>
    <n v="4552.8067104423453"/>
    <n v="0"/>
    <n v="0"/>
    <n v="84459.040312079014"/>
    <n v="1838.864365601546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983E96-E035-4FBC-8CC1-50285E9F09C0}" name="TablaDiná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3:K16" firstHeaderRow="0" firstDataRow="1" firstDataCol="1"/>
  <pivotFields count="14">
    <pivotField axis="axisRow" showAll="0">
      <items count="14">
        <item x="4"/>
        <item x="5"/>
        <item m="1" x="12"/>
        <item x="0"/>
        <item x="11"/>
        <item x="7"/>
        <item x="6"/>
        <item x="2"/>
        <item x="9"/>
        <item x="10"/>
        <item x="8"/>
        <item x="1"/>
        <item x="3"/>
        <item t="default"/>
      </items>
    </pivotField>
    <pivotField showAll="0"/>
    <pivotField showAll="0"/>
    <pivotField numFmtId="9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numFmtId="165" showAll="0"/>
    <pivotField numFmtId="165" showAll="0"/>
    <pivotField numFmtId="165" showAll="0"/>
    <pivotField numFmtId="165" showAll="0"/>
  </pivotFields>
  <rowFields count="1">
    <field x="0"/>
  </rowFields>
  <rowItems count="13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a de TM en Stock" fld="4" baseField="0" baseItem="0" numFmtId="165"/>
    <dataField name="Suma de Costo Ventas" fld="5" baseField="0" baseItem="0" numFmtId="165"/>
    <dataField name="Suma de Gasto Ventas" fld="6" baseField="0" baseItem="0" numFmtId="165"/>
    <dataField name="Suma de Gasto ADM" fld="7" baseField="0" baseItem="0" numFmtId="165"/>
    <dataField name="Suma de Gasto Fin" fld="8" baseField="0" baseItem="0" numFmtId="165"/>
    <dataField name="Suma de Depreciación" fld="9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C18C-5F05-4C78-9021-24370E10359B}">
  <dimension ref="B2:BT37"/>
  <sheetViews>
    <sheetView showGridLines="0" tabSelected="1" zoomScale="80" zoomScaleNormal="80" workbookViewId="0">
      <pane xSplit="4" ySplit="6" topLeftCell="E7" activePane="bottomRight" state="frozen"/>
      <selection pane="topRight" activeCell="E1" sqref="E1"/>
      <selection pane="bottomLeft" activeCell="A7" sqref="A7"/>
      <selection pane="bottomRight" activeCell="C4" sqref="C4"/>
    </sheetView>
  </sheetViews>
  <sheetFormatPr baseColWidth="10" defaultRowHeight="14.4" outlineLevelCol="2" x14ac:dyDescent="0.3"/>
  <cols>
    <col min="1" max="1" width="7.77734375" customWidth="1"/>
    <col min="2" max="2" width="14.33203125" hidden="1" customWidth="1" outlineLevel="1"/>
    <col min="3" max="3" width="34.109375" customWidth="1" collapsed="1"/>
    <col min="4" max="5" width="12.88671875" customWidth="1" outlineLevel="1"/>
    <col min="6" max="7" width="13.5546875" hidden="1" customWidth="1" outlineLevel="2"/>
    <col min="8" max="8" width="11.77734375" hidden="1" customWidth="1" outlineLevel="2"/>
    <col min="9" max="9" width="10.5546875" hidden="1" customWidth="1" outlineLevel="2"/>
    <col min="10" max="10" width="14.109375" hidden="1" customWidth="1" outlineLevel="2"/>
    <col min="11" max="11" width="13.77734375" hidden="1" customWidth="1" outlineLevel="2"/>
    <col min="12" max="12" width="13.44140625" hidden="1" customWidth="1" outlineLevel="2"/>
    <col min="13" max="13" width="17.33203125" hidden="1" customWidth="1" outlineLevel="2"/>
    <col min="14" max="16" width="16" hidden="1" customWidth="1" outlineLevel="2"/>
    <col min="17" max="22" width="17.5546875" hidden="1" customWidth="1" outlineLevel="2"/>
    <col min="23" max="23" width="9.6640625" customWidth="1" outlineLevel="1" collapsed="1"/>
    <col min="24" max="25" width="11.5546875" customWidth="1" outlineLevel="1"/>
    <col min="26" max="41" width="12.6640625" customWidth="1" outlineLevel="1"/>
    <col min="42" max="43" width="11.5546875" customWidth="1" outlineLevel="1"/>
    <col min="44" max="44" width="12.6640625" customWidth="1" outlineLevel="1"/>
    <col min="47" max="47" width="12.6640625" bestFit="1" customWidth="1"/>
    <col min="48" max="53" width="12.6640625" hidden="1" customWidth="1" outlineLevel="1"/>
    <col min="54" max="54" width="12" bestFit="1" customWidth="1" collapsed="1"/>
    <col min="59" max="59" width="14.77734375" customWidth="1"/>
    <col min="60" max="60" width="12.6640625" bestFit="1" customWidth="1"/>
    <col min="61" max="61" width="12.44140625" bestFit="1" customWidth="1"/>
    <col min="64" max="64" width="12.6640625" bestFit="1" customWidth="1"/>
    <col min="67" max="67" width="12.6640625" bestFit="1" customWidth="1"/>
  </cols>
  <sheetData>
    <row r="2" spans="2:72" ht="15.6" x14ac:dyDescent="0.3">
      <c r="C2" s="50" t="s">
        <v>96</v>
      </c>
    </row>
    <row r="3" spans="2:72" x14ac:dyDescent="0.3">
      <c r="C3" s="51" t="s">
        <v>126</v>
      </c>
      <c r="G3" s="46"/>
      <c r="M3" s="52"/>
      <c r="N3" s="46"/>
      <c r="O3" s="46"/>
      <c r="P3" s="46"/>
    </row>
    <row r="4" spans="2:72" ht="15" thickBot="1" x14ac:dyDescent="0.35">
      <c r="C4" s="51"/>
      <c r="G4" s="53"/>
      <c r="M4" s="53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5"/>
      <c r="BE4" s="55"/>
    </row>
    <row r="5" spans="2:72" ht="15" thickBot="1" x14ac:dyDescent="0.35">
      <c r="F5" s="56" t="s">
        <v>97</v>
      </c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8"/>
      <c r="X5" s="59">
        <v>46174</v>
      </c>
      <c r="Y5" s="59"/>
      <c r="Z5" s="59"/>
      <c r="AA5" s="60">
        <v>46182</v>
      </c>
      <c r="AB5" s="61"/>
      <c r="AC5" s="62"/>
      <c r="AD5" s="60">
        <v>46185</v>
      </c>
      <c r="AE5" s="61"/>
      <c r="AF5" s="62"/>
      <c r="AG5" s="60">
        <v>46188</v>
      </c>
      <c r="AH5" s="61"/>
      <c r="AI5" s="62"/>
      <c r="AJ5" s="60">
        <v>46192</v>
      </c>
      <c r="AK5" s="61"/>
      <c r="AL5" s="62"/>
      <c r="AM5" s="60">
        <v>46195</v>
      </c>
      <c r="AN5" s="61"/>
      <c r="AO5" s="62"/>
      <c r="AP5" s="60" t="s">
        <v>98</v>
      </c>
      <c r="AQ5" s="61"/>
      <c r="AR5" s="62"/>
      <c r="AS5" s="63" t="s">
        <v>125</v>
      </c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G5" s="65" t="s">
        <v>99</v>
      </c>
      <c r="BH5" s="66"/>
      <c r="BI5" s="66"/>
      <c r="BJ5" s="66"/>
      <c r="BK5" s="66"/>
      <c r="BL5" s="66"/>
      <c r="BM5" s="66"/>
      <c r="BN5" s="66"/>
      <c r="BO5" s="67"/>
    </row>
    <row r="6" spans="2:72" s="76" customFormat="1" ht="29.4" thickBot="1" x14ac:dyDescent="0.35">
      <c r="B6" s="68" t="s">
        <v>100</v>
      </c>
      <c r="C6" s="69" t="s">
        <v>101</v>
      </c>
      <c r="D6" s="70" t="s">
        <v>102</v>
      </c>
      <c r="E6" s="71" t="s">
        <v>103</v>
      </c>
      <c r="F6" s="72" t="s">
        <v>68</v>
      </c>
      <c r="G6" s="73" t="s">
        <v>69</v>
      </c>
      <c r="H6" s="73" t="s">
        <v>70</v>
      </c>
      <c r="I6" s="73" t="s">
        <v>71</v>
      </c>
      <c r="J6" s="73" t="s">
        <v>72</v>
      </c>
      <c r="K6" s="73" t="s">
        <v>73</v>
      </c>
      <c r="L6" s="74" t="s">
        <v>74</v>
      </c>
      <c r="M6" s="135" t="s">
        <v>124</v>
      </c>
      <c r="N6" s="135" t="s">
        <v>123</v>
      </c>
      <c r="O6" s="135" t="s">
        <v>121</v>
      </c>
      <c r="P6" s="135" t="s">
        <v>122</v>
      </c>
      <c r="Q6" s="75" t="s">
        <v>104</v>
      </c>
      <c r="R6" s="75" t="s">
        <v>105</v>
      </c>
      <c r="S6" s="75" t="s">
        <v>106</v>
      </c>
      <c r="T6" s="75" t="s">
        <v>107</v>
      </c>
      <c r="U6" s="75" t="s">
        <v>115</v>
      </c>
      <c r="V6" s="75" t="s">
        <v>120</v>
      </c>
      <c r="X6" s="77" t="s">
        <v>108</v>
      </c>
      <c r="Y6" s="78" t="s">
        <v>109</v>
      </c>
      <c r="Z6" s="79" t="s">
        <v>110</v>
      </c>
      <c r="AA6" s="77" t="s">
        <v>108</v>
      </c>
      <c r="AB6" s="78" t="s">
        <v>109</v>
      </c>
      <c r="AC6" s="79" t="s">
        <v>110</v>
      </c>
      <c r="AD6" s="77" t="s">
        <v>108</v>
      </c>
      <c r="AE6" s="78" t="s">
        <v>109</v>
      </c>
      <c r="AF6" s="79" t="s">
        <v>110</v>
      </c>
      <c r="AG6" s="77" t="s">
        <v>108</v>
      </c>
      <c r="AH6" s="78" t="s">
        <v>109</v>
      </c>
      <c r="AI6" s="79" t="s">
        <v>110</v>
      </c>
      <c r="AJ6" s="77" t="s">
        <v>108</v>
      </c>
      <c r="AK6" s="78" t="s">
        <v>109</v>
      </c>
      <c r="AL6" s="79" t="s">
        <v>110</v>
      </c>
      <c r="AM6" s="77" t="s">
        <v>108</v>
      </c>
      <c r="AN6" s="78" t="s">
        <v>109</v>
      </c>
      <c r="AO6" s="79" t="s">
        <v>110</v>
      </c>
      <c r="AP6" s="77" t="s">
        <v>108</v>
      </c>
      <c r="AQ6" s="78" t="s">
        <v>109</v>
      </c>
      <c r="AR6" s="79" t="s">
        <v>110</v>
      </c>
      <c r="AS6" s="80" t="s">
        <v>108</v>
      </c>
      <c r="AT6" s="81" t="s">
        <v>109</v>
      </c>
      <c r="AU6" s="81" t="s">
        <v>110</v>
      </c>
      <c r="AV6" s="81" t="s">
        <v>68</v>
      </c>
      <c r="AW6" s="81" t="s">
        <v>69</v>
      </c>
      <c r="AX6" s="81" t="s">
        <v>111</v>
      </c>
      <c r="AY6" s="82" t="s">
        <v>71</v>
      </c>
      <c r="AZ6" s="81" t="s">
        <v>72</v>
      </c>
      <c r="BA6" s="81" t="s">
        <v>112</v>
      </c>
      <c r="BB6" s="82" t="s">
        <v>113</v>
      </c>
      <c r="BC6" s="81" t="s">
        <v>114</v>
      </c>
      <c r="BD6" s="81" t="s">
        <v>115</v>
      </c>
      <c r="BE6" s="82" t="s">
        <v>116</v>
      </c>
      <c r="BG6" s="83" t="s">
        <v>110</v>
      </c>
      <c r="BH6" s="83" t="s">
        <v>68</v>
      </c>
      <c r="BI6" s="83" t="s">
        <v>69</v>
      </c>
      <c r="BJ6" s="83" t="s">
        <v>111</v>
      </c>
      <c r="BK6" s="84" t="s">
        <v>71</v>
      </c>
      <c r="BL6" s="83" t="s">
        <v>72</v>
      </c>
      <c r="BM6" s="83" t="s">
        <v>112</v>
      </c>
      <c r="BN6" s="84" t="s">
        <v>113</v>
      </c>
      <c r="BO6" s="84" t="s">
        <v>115</v>
      </c>
    </row>
    <row r="7" spans="2:72" x14ac:dyDescent="0.3">
      <c r="B7" s="45">
        <v>10005721</v>
      </c>
      <c r="C7" s="48" t="s">
        <v>87</v>
      </c>
      <c r="D7" s="85">
        <f>TD!F4</f>
        <v>561.84</v>
      </c>
      <c r="E7" s="86">
        <f t="shared" ref="E7:E18" si="0">IFERROR(F7/D7,0)</f>
        <v>1984.586173224099</v>
      </c>
      <c r="F7" s="87">
        <f>TD!G4</f>
        <v>1115019.8955642278</v>
      </c>
      <c r="G7" s="46">
        <f>TD!H4</f>
        <v>116772.8256</v>
      </c>
      <c r="H7" s="46">
        <f>TD!I4</f>
        <v>35439.697016644655</v>
      </c>
      <c r="I7" s="46">
        <f>TD!J4</f>
        <v>69668.439624481718</v>
      </c>
      <c r="J7" s="46">
        <f>TD!K4</f>
        <v>55692.334469734968</v>
      </c>
      <c r="K7" s="88">
        <v>0</v>
      </c>
      <c r="L7" s="89">
        <v>0</v>
      </c>
      <c r="M7" s="136">
        <f>F7+G7+H7+I7</f>
        <v>1336900.8578053545</v>
      </c>
      <c r="N7" s="90">
        <f>IFERROR(M7/D7,0)</f>
        <v>2379.5045881485021</v>
      </c>
      <c r="O7" s="90">
        <f t="shared" ref="O7:O17" si="1">F7+G7+H7-J7</f>
        <v>1211540.0837111378</v>
      </c>
      <c r="P7" s="90">
        <f t="shared" ref="P7:P18" si="2">IFERROR(O7/D7,0)</f>
        <v>2156.3791892907902</v>
      </c>
      <c r="Q7" s="91">
        <v>2000</v>
      </c>
      <c r="R7" s="91">
        <f>Q7*D7</f>
        <v>1123680</v>
      </c>
      <c r="S7" s="91">
        <f t="shared" ref="S7:S17" si="3">R7-M7+(Q7-$AX$22)*D7*0.03</f>
        <v>-181434.94433247589</v>
      </c>
      <c r="T7" s="92">
        <f t="shared" ref="T7:T17" si="4">IFERROR(S7/R7,0)</f>
        <v>-0.16146495829104004</v>
      </c>
      <c r="U7" s="91">
        <f t="shared" ref="U7:U17" si="5">R7-(M7-J7-I7)+(Q7-$AX$22)*D7*0.03</f>
        <v>-56074.170238259358</v>
      </c>
      <c r="V7" s="92">
        <f t="shared" ref="V7:V16" si="6">IFERROR(U7/R7,0)</f>
        <v>-4.9902258862184391E-2</v>
      </c>
      <c r="X7" s="93" cm="1">
        <f t="array" ref="X7">SUM([2]Hoja2!$I$5:$I$27*([2]Hoja2!$F$5:$F$27=X$5)*([2]Hoja2!$K$5:$K$27=$C7))</f>
        <v>0</v>
      </c>
      <c r="Y7" s="93" cm="1">
        <f t="array" ref="Y7">SUM([2]Hoja2!$J$5:$J$27*([2]Hoja2!$F$5:$F$27=X$5)*([2]Hoja2!$K$5:$K$27=$C7))</f>
        <v>0</v>
      </c>
      <c r="Z7" s="94">
        <f>IFERROR(Y7/X7,0)</f>
        <v>0</v>
      </c>
      <c r="AA7" s="93" cm="1">
        <f t="array" ref="AA7">SUM([2]Hoja2!$I$5:$I$27*([2]Hoja2!$F$5:$F$27=AA$5)*([2]Hoja2!$K$5:$K$27=$C7))</f>
        <v>0</v>
      </c>
      <c r="AB7" s="93" cm="1">
        <f t="array" ref="AB7">SUM([2]Hoja2!$J$5:$J$27*([2]Hoja2!$F$5:$F$27=AA$5)*([2]Hoja2!$K$5:$K$27=$C7))</f>
        <v>0</v>
      </c>
      <c r="AC7" s="94">
        <f>IFERROR(AB7/AA7,0)</f>
        <v>0</v>
      </c>
      <c r="AD7" s="93" cm="1">
        <f t="array" ref="AD7">SUM([2]Hoja2!$I$5:$I$27*([2]Hoja2!$F$5:$F$27=AD$5)*([2]Hoja2!$K$5:$K$27=$C7))</f>
        <v>0</v>
      </c>
      <c r="AE7" s="93" cm="1">
        <f t="array" ref="AE7">SUM([2]Hoja2!$J$5:$J$27*([2]Hoja2!$F$5:$F$27=AD$5)*([2]Hoja2!$K$5:$K$27=$C7))</f>
        <v>0</v>
      </c>
      <c r="AF7" s="94">
        <f>IFERROR(AE7/AD7,0)</f>
        <v>0</v>
      </c>
      <c r="AG7" s="93" cm="1">
        <f t="array" ref="AG7">SUM([2]Hoja2!$I$5:$I$27*([2]Hoja2!$F$5:$F$27=AG$5)*([2]Hoja2!$K$5:$K$27=$C7))</f>
        <v>0</v>
      </c>
      <c r="AH7" s="93" cm="1">
        <f t="array" ref="AH7">SUM([2]Hoja2!$J$5:$J$27*([2]Hoja2!$F$5:$F$27=AG$5)*([2]Hoja2!$K$5:$K$27=$C7))</f>
        <v>0</v>
      </c>
      <c r="AI7" s="94">
        <f>IFERROR(AH7/AG7,0)</f>
        <v>0</v>
      </c>
      <c r="AJ7" s="93" cm="1">
        <f t="array" ref="AJ7">SUM([2]Hoja2!$I$5:$I$27*([2]Hoja2!$F$5:$F$27=AJ$5)*([2]Hoja2!$K$5:$K$27=$C7))</f>
        <v>78</v>
      </c>
      <c r="AK7" s="93" cm="1">
        <f t="array" ref="AK7">SUM([2]Hoja2!$J$5:$J$27*([2]Hoja2!$F$5:$F$27=AJ$5)*([2]Hoja2!$K$5:$K$27=$C7))</f>
        <v>164280</v>
      </c>
      <c r="AL7" s="94">
        <f>IFERROR(AK7/AJ7,0)</f>
        <v>2106.1538461538462</v>
      </c>
      <c r="AM7" s="93" cm="1">
        <f t="array" ref="AM7">SUM([2]Hoja2!$I$5:$I$27*([2]Hoja2!$F$5:$F$27=AM$5)*([2]Hoja2!$K$5:$K$27=$C7))</f>
        <v>0</v>
      </c>
      <c r="AN7" s="93" cm="1">
        <f t="array" ref="AN7">SUM([2]Hoja2!$J$5:$J$27*([2]Hoja2!$F$5:$F$27=AM$5)*([2]Hoja2!$K$5:$K$27=$C7))</f>
        <v>0</v>
      </c>
      <c r="AO7" s="94">
        <f>IFERROR(AN7/AM7,0)</f>
        <v>0</v>
      </c>
      <c r="AP7" s="93" cm="1">
        <f t="array" ref="AP7">SUM([2]Hoja2!$I$5:$I$27*([2]Hoja2!$F$5:$F$27=AP$5)*([2]Hoja2!$K$5:$K$27=$C7))</f>
        <v>89</v>
      </c>
      <c r="AQ7" s="93" cm="1">
        <f t="array" ref="AQ7">SUM([2]Hoja2!$J$5:$J$27*([2]Hoja2!$F$5:$F$27=AP$5)*([2]Hoja2!$K$5:$K$27=$C7))</f>
        <v>166940</v>
      </c>
      <c r="AR7" s="94">
        <f>IFERROR(AQ7/AP7,0)</f>
        <v>1875.7303370786517</v>
      </c>
      <c r="AS7" s="95">
        <f t="shared" ref="AS7:AS17" si="7">X7+AA7+AD7+AG7+AJ7+AM7+AP7</f>
        <v>167</v>
      </c>
      <c r="AT7" s="96">
        <f t="shared" ref="AT7:AT17" si="8">Y7+AB7+AE7+AH7+AK7+AN7+AQ7</f>
        <v>331220</v>
      </c>
      <c r="AU7" s="97">
        <f>IFERROR(AT7/AS7,0)</f>
        <v>1983.3532934131736</v>
      </c>
      <c r="AV7" s="96">
        <f>-IFERROR(F7/D7*AS7,0)</f>
        <v>-331425.89092842455</v>
      </c>
      <c r="AW7" s="97">
        <f t="shared" ref="AW7:AW17" si="9">-207.84*AS7</f>
        <v>-34709.279999999999</v>
      </c>
      <c r="AX7" s="96">
        <f>$AX$18/$AS$18*$AS7</f>
        <v>-9393.4810307802454</v>
      </c>
      <c r="AY7" s="97">
        <f>$AY$18/$AS$18*$AS7</f>
        <v>-18465.992125984256</v>
      </c>
      <c r="AZ7" s="96">
        <f>$AZ$18/$AS$18*$AS7</f>
        <v>-14761.550787401578</v>
      </c>
      <c r="BA7" s="97">
        <f>(AT7-AS7*$AX$22)*0.03</f>
        <v>9364.5701515925048</v>
      </c>
      <c r="BB7" s="96">
        <f>AT7+SUM(AV7:AY7,BA7)</f>
        <v>-53410.073933596606</v>
      </c>
      <c r="BC7" s="98">
        <f>IFERROR(BB7/AT7,0)</f>
        <v>-0.16125256305053018</v>
      </c>
      <c r="BD7" s="99">
        <f t="shared" ref="BD7:BD17" si="10">AT7+AV7+AW7+AX7+BA7-AZ7</f>
        <v>-20182.53102021071</v>
      </c>
      <c r="BE7" s="100">
        <f t="shared" ref="BE7:BE18" si="11">IFERROR(BD7/AT7,0)</f>
        <v>-6.0933914075873168E-2</v>
      </c>
      <c r="BG7" s="101">
        <f t="shared" ref="BG7:BG18" si="12">AU7</f>
        <v>1983.3532934131736</v>
      </c>
      <c r="BH7" s="102">
        <f>IFERROR(AV7/$AS7,0)</f>
        <v>-1984.5861732240992</v>
      </c>
      <c r="BI7" s="102">
        <f t="shared" ref="BI7:BN7" si="13">IFERROR(AW7/$AS7,0)</f>
        <v>-207.84</v>
      </c>
      <c r="BJ7" s="102">
        <f t="shared" si="13"/>
        <v>-56.24838940586973</v>
      </c>
      <c r="BK7" s="102">
        <f t="shared" si="13"/>
        <v>-110.57480314960632</v>
      </c>
      <c r="BL7" s="102">
        <f t="shared" si="13"/>
        <v>-88.392519685039389</v>
      </c>
      <c r="BM7" s="102">
        <f t="shared" si="13"/>
        <v>56.075270368817392</v>
      </c>
      <c r="BN7" s="102">
        <f t="shared" si="13"/>
        <v>-319.82080199758445</v>
      </c>
      <c r="BO7" s="102">
        <f>IFERROR(BD7/$AS7,0)</f>
        <v>-120.85347916293838</v>
      </c>
      <c r="BP7" s="46">
        <f t="shared" ref="BP7:BP18" si="14">BO7-BN7</f>
        <v>198.96732283464607</v>
      </c>
      <c r="BQ7" s="53"/>
      <c r="BS7" s="46"/>
      <c r="BT7" s="53"/>
    </row>
    <row r="8" spans="2:72" x14ac:dyDescent="0.3">
      <c r="B8" s="45">
        <v>10005779</v>
      </c>
      <c r="C8" s="49" t="s">
        <v>88</v>
      </c>
      <c r="D8" s="85">
        <f>TD!F5</f>
        <v>235.92000000000002</v>
      </c>
      <c r="E8" s="86">
        <f t="shared" si="0"/>
        <v>1622.010395638348</v>
      </c>
      <c r="F8" s="46">
        <f>TD!G5</f>
        <v>382664.69253899908</v>
      </c>
      <c r="G8" s="46">
        <f>TD!H5</f>
        <v>49033.612800000003</v>
      </c>
      <c r="H8" s="46">
        <f>TD!I5</f>
        <v>14881.342232961</v>
      </c>
      <c r="I8" s="46">
        <f>TD!J5</f>
        <v>29254.197416004077</v>
      </c>
      <c r="J8" s="46">
        <f>TD!K5</f>
        <v>23385.546682507254</v>
      </c>
      <c r="K8" s="88">
        <v>0</v>
      </c>
      <c r="L8" s="89">
        <v>0</v>
      </c>
      <c r="M8" s="136">
        <f t="shared" ref="M8" si="15">F8+G8+H8+I8</f>
        <v>475833.84498796414</v>
      </c>
      <c r="N8" s="90">
        <f t="shared" ref="N8:N14" si="16">IFERROR(M8/D8,0)</f>
        <v>2016.9288105627506</v>
      </c>
      <c r="O8" s="90">
        <f t="shared" si="1"/>
        <v>423194.10088945279</v>
      </c>
      <c r="P8" s="90">
        <f t="shared" si="2"/>
        <v>1793.8034117050388</v>
      </c>
      <c r="Q8" s="91">
        <v>1350</v>
      </c>
      <c r="R8" s="91">
        <f t="shared" ref="R8:R14" si="17">Q8*D8</f>
        <v>318492</v>
      </c>
      <c r="S8" s="91">
        <f t="shared" si="3"/>
        <v>-148595.1884720138</v>
      </c>
      <c r="T8" s="92">
        <f t="shared" si="4"/>
        <v>-0.46655862147876181</v>
      </c>
      <c r="U8" s="91">
        <f t="shared" si="5"/>
        <v>-95955.444373502469</v>
      </c>
      <c r="V8" s="92">
        <f t="shared" si="6"/>
        <v>-0.30128054825082723</v>
      </c>
      <c r="X8" s="93" cm="1">
        <f t="array" ref="X8">SUM([2]Hoja2!$I$5:$I$27*([2]Hoja2!$F$5:$F$27=X$5)*([2]Hoja2!$K$5:$K$27=$C8))</f>
        <v>0</v>
      </c>
      <c r="Y8" s="93" cm="1">
        <f t="array" ref="Y8">SUM([2]Hoja2!$J$5:$J$27*([2]Hoja2!$F$5:$F$27=X$5)*([2]Hoja2!$K$5:$K$27=$C8))</f>
        <v>0</v>
      </c>
      <c r="Z8" s="103">
        <f t="shared" ref="Z8:Z18" si="18">IFERROR(Y8/X8,0)</f>
        <v>0</v>
      </c>
      <c r="AA8" s="93" cm="1">
        <f t="array" ref="AA8">SUM([2]Hoja2!$I$5:$I$27*([2]Hoja2!$F$5:$F$27=AA$5)*([2]Hoja2!$K$5:$K$27=$C8))</f>
        <v>26</v>
      </c>
      <c r="AB8" s="93" cm="1">
        <f t="array" ref="AB8">SUM([2]Hoja2!$J$5:$J$27*([2]Hoja2!$F$5:$F$27=AA$5)*([2]Hoja2!$K$5:$K$27=$C8))</f>
        <v>33800</v>
      </c>
      <c r="AC8" s="103">
        <f t="shared" ref="AC8:AC18" si="19">IFERROR(AB8/AA8,0)</f>
        <v>1300</v>
      </c>
      <c r="AD8" s="93" cm="1">
        <f t="array" ref="AD8">SUM([2]Hoja2!$I$5:$I$27*([2]Hoja2!$F$5:$F$27=AD$5)*([2]Hoja2!$K$5:$K$27=$C8))</f>
        <v>0</v>
      </c>
      <c r="AE8" s="93" cm="1">
        <f t="array" ref="AE8">SUM([2]Hoja2!$J$5:$J$27*([2]Hoja2!$F$5:$F$27=AD$5)*([2]Hoja2!$K$5:$K$27=$C8))</f>
        <v>0</v>
      </c>
      <c r="AF8" s="103">
        <f t="shared" ref="AF8:AF18" si="20">IFERROR(AE8/AD8,0)</f>
        <v>0</v>
      </c>
      <c r="AG8" s="93" cm="1">
        <f t="array" ref="AG8">SUM([2]Hoja2!$I$5:$I$27*([2]Hoja2!$F$5:$F$27=AG$5)*([2]Hoja2!$K$5:$K$27=$C8))</f>
        <v>0</v>
      </c>
      <c r="AH8" s="93" cm="1">
        <f t="array" ref="AH8">SUM([2]Hoja2!$J$5:$J$27*([2]Hoja2!$F$5:$F$27=AG$5)*([2]Hoja2!$K$5:$K$27=$C8))</f>
        <v>0</v>
      </c>
      <c r="AI8" s="103">
        <f t="shared" ref="AI8:AI18" si="21">IFERROR(AH8/AG8,0)</f>
        <v>0</v>
      </c>
      <c r="AJ8" s="93" cm="1">
        <f t="array" ref="AJ8">SUM([2]Hoja2!$I$5:$I$27*([2]Hoja2!$F$5:$F$27=AJ$5)*([2]Hoja2!$K$5:$K$27=$C8))</f>
        <v>0</v>
      </c>
      <c r="AK8" s="93" cm="1">
        <f t="array" ref="AK8">SUM([2]Hoja2!$J$5:$J$27*([2]Hoja2!$F$5:$F$27=AJ$5)*([2]Hoja2!$K$5:$K$27=$C8))</f>
        <v>0</v>
      </c>
      <c r="AL8" s="103">
        <f t="shared" ref="AL8:AL18" si="22">IFERROR(AK8/AJ8,0)</f>
        <v>0</v>
      </c>
      <c r="AM8" s="93" cm="1">
        <f t="array" ref="AM8">SUM([2]Hoja2!$I$5:$I$27*([2]Hoja2!$F$5:$F$27=AM$5)*([2]Hoja2!$K$5:$K$27=$C8))</f>
        <v>0</v>
      </c>
      <c r="AN8" s="93" cm="1">
        <f t="array" ref="AN8">SUM([2]Hoja2!$J$5:$J$27*([2]Hoja2!$F$5:$F$27=AM$5)*([2]Hoja2!$K$5:$K$27=$C8))</f>
        <v>0</v>
      </c>
      <c r="AO8" s="103">
        <f t="shared" ref="AO8:AO18" si="23">IFERROR(AN8/AM8,0)</f>
        <v>0</v>
      </c>
      <c r="AP8" s="93" cm="1">
        <f t="array" ref="AP8">SUM([2]Hoja2!$I$5:$I$27*([2]Hoja2!$F$5:$F$27=AP$5)*([2]Hoja2!$K$5:$K$27=$C8))</f>
        <v>192</v>
      </c>
      <c r="AQ8" s="93" cm="1">
        <f t="array" ref="AQ8">SUM([2]Hoja2!$J$5:$J$27*([2]Hoja2!$F$5:$F$27=AP$5)*([2]Hoja2!$K$5:$K$27=$C8))</f>
        <v>255020</v>
      </c>
      <c r="AR8" s="103">
        <f t="shared" ref="AR8:AR18" si="24">IFERROR(AQ8/AP8,0)</f>
        <v>1328.2291666666667</v>
      </c>
      <c r="AS8" s="95">
        <f t="shared" si="7"/>
        <v>218</v>
      </c>
      <c r="AT8" s="96">
        <f t="shared" si="8"/>
        <v>288820</v>
      </c>
      <c r="AU8" s="97">
        <f t="shared" ref="AU8:AU18" si="25">IFERROR(AT8/AS8,0)</f>
        <v>1324.8623853211009</v>
      </c>
      <c r="AV8" s="96">
        <f>-IFERROR(F8/D8*AS8,0)</f>
        <v>-353598.26624915987</v>
      </c>
      <c r="AW8" s="97">
        <f t="shared" si="9"/>
        <v>-45309.120000000003</v>
      </c>
      <c r="AX8" s="96">
        <f>$AX$18/$AS$18*$AS8</f>
        <v>-12262.148890479601</v>
      </c>
      <c r="AY8" s="97">
        <f>$AY$18/$AS$18*$AS8</f>
        <v>-24105.307086614179</v>
      </c>
      <c r="AZ8" s="96">
        <f>$AZ$18/$AS$18*$AS8</f>
        <v>-19269.569291338586</v>
      </c>
      <c r="BA8" s="97">
        <f>(AT8-AS8*$AX$22)*0.03</f>
        <v>7917.8784014800349</v>
      </c>
      <c r="BB8" s="96">
        <f t="shared" ref="BB8:BB16" si="26">AT8+SUM(AV8:AY8,BA8)</f>
        <v>-138536.96382477361</v>
      </c>
      <c r="BC8" s="98">
        <f t="shared" ref="BC8:BC18" si="27">IFERROR(BB8/AT8,0)</f>
        <v>-0.47966541037592136</v>
      </c>
      <c r="BD8" s="99">
        <f t="shared" si="10"/>
        <v>-95162.087446820849</v>
      </c>
      <c r="BE8" s="100">
        <f t="shared" si="11"/>
        <v>-0.32948579546714513</v>
      </c>
      <c r="BG8" s="101">
        <f t="shared" si="12"/>
        <v>1324.8623853211009</v>
      </c>
      <c r="BH8" s="102">
        <f>IFERROR(AV8/$AS8,0)</f>
        <v>-1622.010395638348</v>
      </c>
      <c r="BI8" s="102">
        <f>IFERROR(AW8/$AS8,0)</f>
        <v>-207.84</v>
      </c>
      <c r="BJ8" s="102">
        <f>IFERROR(AX8/$AS8,0)</f>
        <v>-56.24838940586973</v>
      </c>
      <c r="BK8" s="102">
        <f>IFERROR(AY8/$AS8,0)</f>
        <v>-110.57480314960632</v>
      </c>
      <c r="BL8" s="102">
        <f>IFERROR(AZ8/$AS8,0)</f>
        <v>-88.392519685039389</v>
      </c>
      <c r="BM8" s="102">
        <f>IFERROR(BA8/$AS8,0)</f>
        <v>36.320543126055206</v>
      </c>
      <c r="BN8" s="102">
        <f>IFERROR(BB8/$AS8,0)</f>
        <v>-635.49065974666792</v>
      </c>
      <c r="BO8" s="102">
        <f>IFERROR(BD8/$AS8,0)</f>
        <v>-436.52333691202227</v>
      </c>
      <c r="BP8" s="46">
        <f t="shared" si="14"/>
        <v>198.96732283464564</v>
      </c>
    </row>
    <row r="9" spans="2:72" x14ac:dyDescent="0.3">
      <c r="B9" s="45">
        <v>10006719</v>
      </c>
      <c r="C9" s="49" t="s">
        <v>89</v>
      </c>
      <c r="D9" s="85">
        <f>TD!F6</f>
        <v>63.319999999999993</v>
      </c>
      <c r="E9" s="86">
        <f t="shared" si="0"/>
        <v>1882.6723610599079</v>
      </c>
      <c r="F9" s="46">
        <f>TD!G6</f>
        <v>119210.81390231336</v>
      </c>
      <c r="G9" s="46">
        <f>TD!H6</f>
        <v>13160.4288</v>
      </c>
      <c r="H9" s="46">
        <f>TD!I6</f>
        <v>3994.0937190195418</v>
      </c>
      <c r="I9" s="46">
        <f>TD!J6</f>
        <v>7851.7115139936332</v>
      </c>
      <c r="J9" s="46">
        <f>TD!K6</f>
        <v>6276.5887416766673</v>
      </c>
      <c r="K9" s="88">
        <v>0</v>
      </c>
      <c r="L9" s="89">
        <v>0</v>
      </c>
      <c r="M9" s="136">
        <f t="shared" ref="M9:M17" si="28">F9+G9+H9+I9</f>
        <v>144217.04793532653</v>
      </c>
      <c r="N9" s="90">
        <f t="shared" si="16"/>
        <v>2277.5907759843103</v>
      </c>
      <c r="O9" s="90">
        <f t="shared" si="1"/>
        <v>130088.74767965624</v>
      </c>
      <c r="P9" s="90">
        <f t="shared" si="2"/>
        <v>2054.4653771265989</v>
      </c>
      <c r="Q9" s="104">
        <v>2300</v>
      </c>
      <c r="R9" s="104">
        <f t="shared" si="17"/>
        <v>145635.99999999997</v>
      </c>
      <c r="S9" s="104">
        <f t="shared" si="3"/>
        <v>5571.140268259297</v>
      </c>
      <c r="T9" s="105">
        <f t="shared" si="4"/>
        <v>3.825386764439629E-2</v>
      </c>
      <c r="U9" s="104">
        <f t="shared" si="5"/>
        <v>19699.44052392961</v>
      </c>
      <c r="V9" s="105">
        <f t="shared" si="6"/>
        <v>0.13526491062601015</v>
      </c>
      <c r="X9" s="93" cm="1">
        <f t="array" ref="X9">SUM([2]Hoja2!$I$5:$I$27*([2]Hoja2!$F$5:$F$27=X$5)*([2]Hoja2!$K$5:$K$27=$C9))</f>
        <v>0</v>
      </c>
      <c r="Y9" s="93" cm="1">
        <f t="array" ref="Y9">SUM([2]Hoja2!$J$5:$J$27*([2]Hoja2!$F$5:$F$27=X$5)*([2]Hoja2!$K$5:$K$27=$C9))</f>
        <v>0</v>
      </c>
      <c r="Z9" s="103">
        <f t="shared" si="18"/>
        <v>0</v>
      </c>
      <c r="AA9" s="93" cm="1">
        <f t="array" ref="AA9">SUM([2]Hoja2!$I$5:$I$27*([2]Hoja2!$F$5:$F$27=AA$5)*([2]Hoja2!$K$5:$K$27=$C9))</f>
        <v>0</v>
      </c>
      <c r="AB9" s="93" cm="1">
        <f t="array" ref="AB9">SUM([2]Hoja2!$J$5:$J$27*([2]Hoja2!$F$5:$F$27=AA$5)*([2]Hoja2!$K$5:$K$27=$C9))</f>
        <v>0</v>
      </c>
      <c r="AC9" s="103">
        <f t="shared" si="19"/>
        <v>0</v>
      </c>
      <c r="AD9" s="93" cm="1">
        <f t="array" ref="AD9">SUM([2]Hoja2!$I$5:$I$27*([2]Hoja2!$F$5:$F$27=AD$5)*([2]Hoja2!$K$5:$K$27=$C9))</f>
        <v>72</v>
      </c>
      <c r="AE9" s="93" cm="1">
        <f t="array" ref="AE9">SUM([2]Hoja2!$J$5:$J$27*([2]Hoja2!$F$5:$F$27=AD$5)*([2]Hoja2!$K$5:$K$27=$C9))</f>
        <v>151200</v>
      </c>
      <c r="AF9" s="103">
        <f t="shared" si="20"/>
        <v>2100</v>
      </c>
      <c r="AG9" s="93" cm="1">
        <f t="array" ref="AG9">SUM([2]Hoja2!$I$5:$I$27*([2]Hoja2!$F$5:$F$27=AG$5)*([2]Hoja2!$K$5:$K$27=$C9))</f>
        <v>0</v>
      </c>
      <c r="AH9" s="93" cm="1">
        <f t="array" ref="AH9">SUM([2]Hoja2!$J$5:$J$27*([2]Hoja2!$F$5:$F$27=AG$5)*([2]Hoja2!$K$5:$K$27=$C9))</f>
        <v>0</v>
      </c>
      <c r="AI9" s="103">
        <f t="shared" si="21"/>
        <v>0</v>
      </c>
      <c r="AJ9" s="93" cm="1">
        <f t="array" ref="AJ9">SUM([2]Hoja2!$I$5:$I$27*([2]Hoja2!$F$5:$F$27=AJ$5)*([2]Hoja2!$K$5:$K$27=$C9))</f>
        <v>27</v>
      </c>
      <c r="AK9" s="93" cm="1">
        <f t="array" ref="AK9">SUM([2]Hoja2!$J$5:$J$27*([2]Hoja2!$F$5:$F$27=AJ$5)*([2]Hoja2!$K$5:$K$27=$C9))</f>
        <v>59400</v>
      </c>
      <c r="AL9" s="103">
        <f t="shared" si="22"/>
        <v>2200</v>
      </c>
      <c r="AM9" s="93" cm="1">
        <f t="array" ref="AM9">SUM([2]Hoja2!$I$5:$I$27*([2]Hoja2!$F$5:$F$27=AM$5)*([2]Hoja2!$K$5:$K$27=$C9))</f>
        <v>0</v>
      </c>
      <c r="AN9" s="93" cm="1">
        <f t="array" ref="AN9">SUM([2]Hoja2!$J$5:$J$27*([2]Hoja2!$F$5:$F$27=AM$5)*([2]Hoja2!$K$5:$K$27=$C9))</f>
        <v>0</v>
      </c>
      <c r="AO9" s="103">
        <f t="shared" si="23"/>
        <v>0</v>
      </c>
      <c r="AP9" s="93" cm="1">
        <f t="array" ref="AP9">SUM([2]Hoja2!$I$5:$I$27*([2]Hoja2!$F$5:$F$27=AP$5)*([2]Hoja2!$K$5:$K$27=$C9))</f>
        <v>0</v>
      </c>
      <c r="AQ9" s="93" cm="1">
        <f t="array" ref="AQ9">SUM([2]Hoja2!$J$5:$J$27*([2]Hoja2!$F$5:$F$27=AP$5)*([2]Hoja2!$K$5:$K$27=$C9))</f>
        <v>0</v>
      </c>
      <c r="AR9" s="103">
        <f t="shared" si="24"/>
        <v>0</v>
      </c>
      <c r="AS9" s="95">
        <f t="shared" si="7"/>
        <v>99</v>
      </c>
      <c r="AT9" s="96">
        <f t="shared" si="8"/>
        <v>210600</v>
      </c>
      <c r="AU9" s="97">
        <f t="shared" si="25"/>
        <v>2127.2727272727275</v>
      </c>
      <c r="AV9" s="96">
        <f>-IFERROR(F9/D9*AS9,0)</f>
        <v>-186384.56374493087</v>
      </c>
      <c r="AW9" s="97">
        <f t="shared" si="9"/>
        <v>-20576.16</v>
      </c>
      <c r="AX9" s="96">
        <f>$AX$18/$AS$18*$AS9</f>
        <v>-5568.5905511811034</v>
      </c>
      <c r="AY9" s="97">
        <f>$AY$18/$AS$18*$AS9</f>
        <v>-10946.905511811026</v>
      </c>
      <c r="AZ9" s="96">
        <f>$AZ$18/$AS$18*$AS9</f>
        <v>-8750.8594488188992</v>
      </c>
      <c r="BA9" s="97">
        <f>(AT9-AS9*$AX$22)*0.03</f>
        <v>5978.8924850757958</v>
      </c>
      <c r="BB9" s="96">
        <f t="shared" si="26"/>
        <v>-6897.3273228472099</v>
      </c>
      <c r="BC9" s="98">
        <f t="shared" si="27"/>
        <v>-3.2750841988828154E-2</v>
      </c>
      <c r="BD9" s="99">
        <f t="shared" si="10"/>
        <v>12800.437637782721</v>
      </c>
      <c r="BE9" s="100">
        <f t="shared" si="11"/>
        <v>6.0780805497543784E-2</v>
      </c>
      <c r="BG9" s="101">
        <f t="shared" si="12"/>
        <v>2127.2727272727275</v>
      </c>
      <c r="BH9" s="102">
        <f>IFERROR(AV9/$AS9,0)</f>
        <v>-1882.6723610599079</v>
      </c>
      <c r="BI9" s="102">
        <f>IFERROR(AW9/$AS9,0)</f>
        <v>-207.84</v>
      </c>
      <c r="BJ9" s="102">
        <f>IFERROR(AX9/$AS9,0)</f>
        <v>-56.24838940586973</v>
      </c>
      <c r="BK9" s="102">
        <f>IFERROR(AY9/$AS9,0)</f>
        <v>-110.57480314960632</v>
      </c>
      <c r="BL9" s="102">
        <f>IFERROR(AZ9/$AS9,0)</f>
        <v>-88.392519685039389</v>
      </c>
      <c r="BM9" s="102">
        <f>IFERROR(BA9/$AS9,0)</f>
        <v>60.392853384603995</v>
      </c>
      <c r="BN9" s="102">
        <f>IFERROR(BB9/$AS9,0)</f>
        <v>-69.669972958052625</v>
      </c>
      <c r="BO9" s="102">
        <f>IFERROR(BD9/$AS9,0)</f>
        <v>129.29734987659313</v>
      </c>
      <c r="BP9" s="46">
        <f t="shared" si="14"/>
        <v>198.96732283464576</v>
      </c>
    </row>
    <row r="10" spans="2:72" x14ac:dyDescent="0.3">
      <c r="B10" s="45">
        <v>10007050</v>
      </c>
      <c r="C10" s="49" t="s">
        <v>119</v>
      </c>
      <c r="D10" s="85">
        <f>TD!F7</f>
        <v>103.325</v>
      </c>
      <c r="E10" s="86">
        <f t="shared" si="0"/>
        <v>1443.9459506771436</v>
      </c>
      <c r="F10" s="46">
        <f>TD!G7</f>
        <v>149195.71535371587</v>
      </c>
      <c r="G10" s="46">
        <f>TD!H7</f>
        <v>21475.067999999999</v>
      </c>
      <c r="H10" s="46">
        <f>TD!I7</f>
        <v>6517.5257978157642</v>
      </c>
      <c r="I10" s="46">
        <f>TD!J7</f>
        <v>12812.35142424814</v>
      </c>
      <c r="J10" s="46">
        <f>TD!K7</f>
        <v>10242.080412724914</v>
      </c>
      <c r="K10" s="88">
        <v>0</v>
      </c>
      <c r="L10" s="89">
        <v>0</v>
      </c>
      <c r="M10" s="136">
        <f t="shared" si="28"/>
        <v>190000.66057577977</v>
      </c>
      <c r="N10" s="90">
        <f t="shared" si="16"/>
        <v>1838.8643656015463</v>
      </c>
      <c r="O10" s="90">
        <f t="shared" si="1"/>
        <v>166946.22873880673</v>
      </c>
      <c r="P10" s="90">
        <f t="shared" si="2"/>
        <v>1615.7389667438347</v>
      </c>
      <c r="Q10" s="104">
        <v>2300</v>
      </c>
      <c r="R10" s="104">
        <f t="shared" si="17"/>
        <v>237647.5</v>
      </c>
      <c r="S10" s="104">
        <f t="shared" si="3"/>
        <v>54422.342363820804</v>
      </c>
      <c r="T10" s="105">
        <f t="shared" si="4"/>
        <v>0.22900448085429387</v>
      </c>
      <c r="U10" s="104">
        <f t="shared" si="5"/>
        <v>77476.774200793836</v>
      </c>
      <c r="V10" s="105">
        <f t="shared" si="6"/>
        <v>0.32601552383590754</v>
      </c>
      <c r="X10" s="93" cm="1">
        <f t="array" ref="X10">SUM([2]Hoja2!$I$5:$I$27*([2]Hoja2!$F$5:$F$27=X$5)*([2]Hoja2!$K$5:$K$27=$C10))</f>
        <v>0</v>
      </c>
      <c r="Y10" s="93" cm="1">
        <f t="array" ref="Y10">SUM([2]Hoja2!$J$5:$J$27*([2]Hoja2!$F$5:$F$27=X$5)*([2]Hoja2!$K$5:$K$27=$C10))</f>
        <v>0</v>
      </c>
      <c r="Z10" s="103">
        <f t="shared" si="18"/>
        <v>0</v>
      </c>
      <c r="AA10" s="93" cm="1">
        <f t="array" ref="AA10">SUM([2]Hoja2!$I$5:$I$27*([2]Hoja2!$F$5:$F$27=AA$5)*([2]Hoja2!$K$5:$K$27=$C10))</f>
        <v>0</v>
      </c>
      <c r="AB10" s="93" cm="1">
        <f t="array" ref="AB10">SUM([2]Hoja2!$J$5:$J$27*([2]Hoja2!$F$5:$F$27=AA$5)*([2]Hoja2!$K$5:$K$27=$C10))</f>
        <v>0</v>
      </c>
      <c r="AC10" s="103">
        <f t="shared" si="19"/>
        <v>0</v>
      </c>
      <c r="AD10" s="93" cm="1">
        <f t="array" ref="AD10">SUM([2]Hoja2!$I$5:$I$27*([2]Hoja2!$F$5:$F$27=AD$5)*([2]Hoja2!$K$5:$K$27=$C10))</f>
        <v>0</v>
      </c>
      <c r="AE10" s="93" cm="1">
        <f t="array" ref="AE10">SUM([2]Hoja2!$J$5:$J$27*([2]Hoja2!$F$5:$F$27=AD$5)*([2]Hoja2!$K$5:$K$27=$C10))</f>
        <v>0</v>
      </c>
      <c r="AF10" s="103">
        <f t="shared" si="20"/>
        <v>0</v>
      </c>
      <c r="AG10" s="93" cm="1">
        <f t="array" ref="AG10">SUM([2]Hoja2!$I$5:$I$27*([2]Hoja2!$F$5:$F$27=AG$5)*([2]Hoja2!$K$5:$K$27=$C10))</f>
        <v>0</v>
      </c>
      <c r="AH10" s="93" cm="1">
        <f t="array" ref="AH10">SUM([2]Hoja2!$J$5:$J$27*([2]Hoja2!$F$5:$F$27=AG$5)*([2]Hoja2!$K$5:$K$27=$C10))</f>
        <v>0</v>
      </c>
      <c r="AI10" s="103">
        <f t="shared" si="21"/>
        <v>0</v>
      </c>
      <c r="AJ10" s="93" cm="1">
        <f t="array" ref="AJ10">SUM([2]Hoja2!$I$5:$I$27*([2]Hoja2!$F$5:$F$27=AJ$5)*([2]Hoja2!$K$5:$K$27=$C10))</f>
        <v>0</v>
      </c>
      <c r="AK10" s="93" cm="1">
        <f t="array" ref="AK10">SUM([2]Hoja2!$J$5:$J$27*([2]Hoja2!$F$5:$F$27=AJ$5)*([2]Hoja2!$K$5:$K$27=$C10))</f>
        <v>0</v>
      </c>
      <c r="AL10" s="103">
        <f t="shared" si="22"/>
        <v>0</v>
      </c>
      <c r="AM10" s="93" cm="1">
        <f t="array" ref="AM10">SUM([2]Hoja2!$I$5:$I$27*([2]Hoja2!$F$5:$F$27=AM$5)*([2]Hoja2!$K$5:$K$27=$C10))</f>
        <v>0</v>
      </c>
      <c r="AN10" s="93" cm="1">
        <f t="array" ref="AN10">SUM([2]Hoja2!$J$5:$J$27*([2]Hoja2!$F$5:$F$27=AM$5)*([2]Hoja2!$K$5:$K$27=$C10))</f>
        <v>0</v>
      </c>
      <c r="AO10" s="103">
        <f t="shared" si="23"/>
        <v>0</v>
      </c>
      <c r="AP10" s="93" cm="1">
        <f t="array" ref="AP10">SUM([2]Hoja2!$I$5:$I$27*([2]Hoja2!$F$5:$F$27=AP$5)*([2]Hoja2!$K$5:$K$27=$C10))</f>
        <v>54</v>
      </c>
      <c r="AQ10" s="93" cm="1">
        <f t="array" ref="AQ10">SUM([2]Hoja2!$J$5:$J$27*([2]Hoja2!$F$5:$F$27=AP$5)*([2]Hoja2!$K$5:$K$27=$C10))</f>
        <v>136350</v>
      </c>
      <c r="AR10" s="103">
        <f t="shared" si="24"/>
        <v>2525</v>
      </c>
      <c r="AS10" s="95">
        <f t="shared" si="7"/>
        <v>54</v>
      </c>
      <c r="AT10" s="96">
        <f t="shared" si="8"/>
        <v>136350</v>
      </c>
      <c r="AU10" s="97">
        <f t="shared" si="25"/>
        <v>2525</v>
      </c>
      <c r="AV10" s="96">
        <f>-IFERROR(F10/D10*AS10,0)</f>
        <v>-77973.081336565752</v>
      </c>
      <c r="AW10" s="97">
        <f t="shared" si="9"/>
        <v>-11223.36</v>
      </c>
      <c r="AX10" s="96">
        <f>$AX$18/$AS$18*$AS10</f>
        <v>-3037.4130279169653</v>
      </c>
      <c r="AY10" s="97">
        <f>$AY$18/$AS$18*$AS10</f>
        <v>-5971.0393700787417</v>
      </c>
      <c r="AZ10" s="96">
        <f>$AZ$18/$AS$18*$AS10</f>
        <v>-4773.1960629921268</v>
      </c>
      <c r="BA10" s="97">
        <f>(AT10-AS10*$AX$22)*0.03</f>
        <v>3905.5322645867977</v>
      </c>
      <c r="BB10" s="96">
        <f t="shared" si="26"/>
        <v>42050.638530025346</v>
      </c>
      <c r="BC10" s="98">
        <f t="shared" si="27"/>
        <v>0.30840218943912978</v>
      </c>
      <c r="BD10" s="99">
        <f t="shared" si="10"/>
        <v>52794.873963096208</v>
      </c>
      <c r="BE10" s="100">
        <f t="shared" si="11"/>
        <v>0.3872011291756231</v>
      </c>
      <c r="BG10" s="101">
        <f t="shared" si="12"/>
        <v>2525</v>
      </c>
      <c r="BH10" s="102">
        <f>IFERROR(AV10/$AS10,0)</f>
        <v>-1443.9459506771436</v>
      </c>
      <c r="BI10" s="102">
        <f>IFERROR(AW10/$AS10,0)</f>
        <v>-207.84</v>
      </c>
      <c r="BJ10" s="102">
        <f>IFERROR(AX10/$AS10,0)</f>
        <v>-56.24838940586973</v>
      </c>
      <c r="BK10" s="102">
        <f>IFERROR(AY10/$AS10,0)</f>
        <v>-110.57480314960632</v>
      </c>
      <c r="BL10" s="102">
        <f>IFERROR(AZ10/$AS10,0)</f>
        <v>-88.392519685039389</v>
      </c>
      <c r="BM10" s="102">
        <f>IFERROR(BA10/$AS10,0)</f>
        <v>72.324671566422182</v>
      </c>
      <c r="BN10" s="102">
        <f>IFERROR(BB10/$AS10,0)</f>
        <v>778.71552833380269</v>
      </c>
      <c r="BO10" s="102">
        <f>IFERROR(BD10/$AS10,0)</f>
        <v>977.68285116844834</v>
      </c>
      <c r="BP10" s="46">
        <f t="shared" si="14"/>
        <v>198.96732283464564</v>
      </c>
    </row>
    <row r="11" spans="2:72" x14ac:dyDescent="0.3">
      <c r="B11" s="45">
        <v>10007162</v>
      </c>
      <c r="C11" s="49" t="s">
        <v>90</v>
      </c>
      <c r="D11" s="85">
        <f>TD!F8</f>
        <v>171.96</v>
      </c>
      <c r="E11" s="86">
        <f t="shared" si="0"/>
        <v>1740.6977734802117</v>
      </c>
      <c r="F11" s="46">
        <f>TD!G8</f>
        <v>299330.38912765722</v>
      </c>
      <c r="G11" s="46">
        <f>TD!H8</f>
        <v>35740.166400000002</v>
      </c>
      <c r="H11" s="46">
        <f>TD!I8</f>
        <v>10846.878646914094</v>
      </c>
      <c r="I11" s="46">
        <f>TD!J8</f>
        <v>21323.125583486184</v>
      </c>
      <c r="J11" s="46">
        <f>TD!K8</f>
        <v>17045.518004085905</v>
      </c>
      <c r="K11" s="88">
        <v>0</v>
      </c>
      <c r="L11" s="89">
        <v>0</v>
      </c>
      <c r="M11" s="136">
        <f t="shared" si="28"/>
        <v>367240.55975805747</v>
      </c>
      <c r="N11" s="90">
        <f t="shared" si="16"/>
        <v>2135.6161884046141</v>
      </c>
      <c r="O11" s="90">
        <f t="shared" si="1"/>
        <v>328871.91617048538</v>
      </c>
      <c r="P11" s="90">
        <f t="shared" si="2"/>
        <v>1912.4907895469025</v>
      </c>
      <c r="Q11" s="104">
        <v>2300</v>
      </c>
      <c r="R11" s="104">
        <f t="shared" si="17"/>
        <v>395508</v>
      </c>
      <c r="S11" s="104">
        <f t="shared" si="3"/>
        <v>39543.660764504493</v>
      </c>
      <c r="T11" s="105">
        <f t="shared" si="4"/>
        <v>9.9981949200786055E-2</v>
      </c>
      <c r="U11" s="104">
        <f t="shared" si="5"/>
        <v>77912.304352076579</v>
      </c>
      <c r="V11" s="105">
        <f t="shared" si="6"/>
        <v>0.1969929921823998</v>
      </c>
      <c r="X11" s="93" cm="1">
        <f t="array" ref="X11">SUM([2]Hoja2!$I$5:$I$27*([2]Hoja2!$F$5:$F$27=X$5)*([2]Hoja2!$K$5:$K$27=$C11))</f>
        <v>0</v>
      </c>
      <c r="Y11" s="93" cm="1">
        <f t="array" ref="Y11">SUM([2]Hoja2!$J$5:$J$27*([2]Hoja2!$F$5:$F$27=X$5)*([2]Hoja2!$K$5:$K$27=$C11))</f>
        <v>0</v>
      </c>
      <c r="Z11" s="103">
        <f t="shared" si="18"/>
        <v>0</v>
      </c>
      <c r="AA11" s="93" cm="1">
        <f t="array" ref="AA11">SUM([2]Hoja2!$I$5:$I$27*([2]Hoja2!$F$5:$F$27=AA$5)*([2]Hoja2!$K$5:$K$27=$C11))</f>
        <v>0</v>
      </c>
      <c r="AB11" s="93" cm="1">
        <f t="array" ref="AB11">SUM([2]Hoja2!$J$5:$J$27*([2]Hoja2!$F$5:$F$27=AA$5)*([2]Hoja2!$K$5:$K$27=$C11))</f>
        <v>0</v>
      </c>
      <c r="AC11" s="103">
        <f t="shared" si="19"/>
        <v>0</v>
      </c>
      <c r="AD11" s="93" cm="1">
        <f t="array" ref="AD11">SUM([2]Hoja2!$I$5:$I$27*([2]Hoja2!$F$5:$F$27=AD$5)*([2]Hoja2!$K$5:$K$27=$C11))</f>
        <v>27</v>
      </c>
      <c r="AE11" s="93" cm="1">
        <f t="array" ref="AE11">SUM([2]Hoja2!$J$5:$J$27*([2]Hoja2!$F$5:$F$27=AD$5)*([2]Hoja2!$K$5:$K$27=$C11))</f>
        <v>82350</v>
      </c>
      <c r="AF11" s="103">
        <f t="shared" si="20"/>
        <v>3050</v>
      </c>
      <c r="AG11" s="93" cm="1">
        <f t="array" ref="AG11">SUM([2]Hoja2!$I$5:$I$27*([2]Hoja2!$F$5:$F$27=AG$5)*([2]Hoja2!$K$5:$K$27=$C11))</f>
        <v>26</v>
      </c>
      <c r="AH11" s="93" cm="1">
        <f t="array" ref="AH11">SUM([2]Hoja2!$J$5:$J$27*([2]Hoja2!$F$5:$F$27=AG$5)*([2]Hoja2!$K$5:$K$27=$C11))</f>
        <v>67600</v>
      </c>
      <c r="AI11" s="103">
        <f t="shared" si="21"/>
        <v>2600</v>
      </c>
      <c r="AJ11" s="93" cm="1">
        <f t="array" ref="AJ11">SUM([2]Hoja2!$I$5:$I$27*([2]Hoja2!$F$5:$F$27=AJ$5)*([2]Hoja2!$K$5:$K$27=$C11))</f>
        <v>0</v>
      </c>
      <c r="AK11" s="93" cm="1">
        <f t="array" ref="AK11">SUM([2]Hoja2!$J$5:$J$27*([2]Hoja2!$F$5:$F$27=AJ$5)*([2]Hoja2!$K$5:$K$27=$C11))</f>
        <v>0</v>
      </c>
      <c r="AL11" s="103">
        <f t="shared" si="22"/>
        <v>0</v>
      </c>
      <c r="AM11" s="93" cm="1">
        <f t="array" ref="AM11">SUM([2]Hoja2!$I$5:$I$27*([2]Hoja2!$F$5:$F$27=AM$5)*([2]Hoja2!$K$5:$K$27=$C11))</f>
        <v>0</v>
      </c>
      <c r="AN11" s="93" cm="1">
        <f t="array" ref="AN11">SUM([2]Hoja2!$J$5:$J$27*([2]Hoja2!$F$5:$F$27=AM$5)*([2]Hoja2!$K$5:$K$27=$C11))</f>
        <v>0</v>
      </c>
      <c r="AO11" s="103">
        <f t="shared" si="23"/>
        <v>0</v>
      </c>
      <c r="AP11" s="93" cm="1">
        <f t="array" ref="AP11">SUM([2]Hoja2!$I$5:$I$27*([2]Hoja2!$F$5:$F$27=AP$5)*([2]Hoja2!$K$5:$K$27=$C11))</f>
        <v>106</v>
      </c>
      <c r="AQ11" s="93" cm="1">
        <f t="array" ref="AQ11">SUM([2]Hoja2!$J$5:$J$27*([2]Hoja2!$F$5:$F$27=AP$5)*([2]Hoja2!$K$5:$K$27=$C11))</f>
        <v>302600</v>
      </c>
      <c r="AR11" s="103">
        <f t="shared" si="24"/>
        <v>2854.7169811320755</v>
      </c>
      <c r="AS11" s="95">
        <f t="shared" si="7"/>
        <v>159</v>
      </c>
      <c r="AT11" s="96">
        <f t="shared" si="8"/>
        <v>452550</v>
      </c>
      <c r="AU11" s="97">
        <f t="shared" si="25"/>
        <v>2846.2264150943397</v>
      </c>
      <c r="AV11" s="96">
        <f>-IFERROR(F11/D11*AS11,0)</f>
        <v>-276770.94598335365</v>
      </c>
      <c r="AW11" s="97">
        <f t="shared" si="9"/>
        <v>-33046.559999999998</v>
      </c>
      <c r="AX11" s="96">
        <f>$AX$18/$AS$18*$AS11</f>
        <v>-8943.4939155332868</v>
      </c>
      <c r="AY11" s="97">
        <f>$AY$18/$AS$18*$AS11</f>
        <v>-17581.393700787405</v>
      </c>
      <c r="AZ11" s="96">
        <f>$AZ$18/$AS$18*$AS11</f>
        <v>-14054.410629921264</v>
      </c>
      <c r="BA11" s="97">
        <f>(AT11-AS11*$AX$22)*0.03</f>
        <v>13031.872779061126</v>
      </c>
      <c r="BB11" s="96">
        <f t="shared" si="26"/>
        <v>129239.47917938681</v>
      </c>
      <c r="BC11" s="98">
        <f t="shared" si="27"/>
        <v>0.28558055282153755</v>
      </c>
      <c r="BD11" s="99">
        <f t="shared" si="10"/>
        <v>160875.28351009544</v>
      </c>
      <c r="BE11" s="100">
        <f t="shared" si="11"/>
        <v>0.35548620817610305</v>
      </c>
      <c r="BG11" s="101">
        <f t="shared" si="12"/>
        <v>2846.2264150943397</v>
      </c>
      <c r="BH11" s="102">
        <f>IFERROR(AV11/$AS11,0)</f>
        <v>-1740.6977734802117</v>
      </c>
      <c r="BI11" s="102">
        <f>IFERROR(AW11/$AS11,0)</f>
        <v>-207.83999999999997</v>
      </c>
      <c r="BJ11" s="102">
        <f>IFERROR(AX11/$AS11,0)</f>
        <v>-56.24838940586973</v>
      </c>
      <c r="BK11" s="102">
        <f>IFERROR(AY11/$AS11,0)</f>
        <v>-110.57480314960632</v>
      </c>
      <c r="BL11" s="102">
        <f>IFERROR(AZ11/$AS11,0)</f>
        <v>-88.392519685039389</v>
      </c>
      <c r="BM11" s="102">
        <f>IFERROR(BA11/$AS11,0)</f>
        <v>81.961464019252361</v>
      </c>
      <c r="BN11" s="102">
        <f>IFERROR(BB11/$AS11,0)</f>
        <v>812.82691307790446</v>
      </c>
      <c r="BO11" s="102">
        <f>IFERROR(BD11/$AS11,0)</f>
        <v>1011.7942359125499</v>
      </c>
      <c r="BP11" s="46">
        <f t="shared" si="14"/>
        <v>198.96732283464542</v>
      </c>
    </row>
    <row r="12" spans="2:72" x14ac:dyDescent="0.3">
      <c r="B12" s="45">
        <v>10007567</v>
      </c>
      <c r="C12" s="49" t="s">
        <v>91</v>
      </c>
      <c r="D12" s="85">
        <f>TD!F9</f>
        <v>61.46</v>
      </c>
      <c r="E12" s="86">
        <f t="shared" si="0"/>
        <v>1682.6592070424335</v>
      </c>
      <c r="F12" s="46">
        <f>TD!G9</f>
        <v>103416.23486482797</v>
      </c>
      <c r="G12" s="46">
        <f>TD!H9</f>
        <v>12773.8464</v>
      </c>
      <c r="H12" s="46">
        <f>TD!I9</f>
        <v>3876.7687929712738</v>
      </c>
      <c r="I12" s="46">
        <f>TD!J9</f>
        <v>7621.0705882825132</v>
      </c>
      <c r="J12" s="46">
        <f>TD!K9</f>
        <v>6092.2164255124444</v>
      </c>
      <c r="K12" s="88">
        <v>0</v>
      </c>
      <c r="L12" s="89">
        <v>0</v>
      </c>
      <c r="M12" s="136">
        <f t="shared" si="28"/>
        <v>127687.92064608175</v>
      </c>
      <c r="N12" s="90">
        <f t="shared" si="16"/>
        <v>2077.577621966836</v>
      </c>
      <c r="O12" s="90">
        <f t="shared" si="1"/>
        <v>113974.6336322868</v>
      </c>
      <c r="P12" s="90">
        <f t="shared" si="2"/>
        <v>1854.4522231091246</v>
      </c>
      <c r="Q12" s="104">
        <v>2700</v>
      </c>
      <c r="R12" s="104">
        <f t="shared" si="17"/>
        <v>165942</v>
      </c>
      <c r="S12" s="104">
        <f t="shared" si="3"/>
        <v>43021.818668390559</v>
      </c>
      <c r="T12" s="105">
        <f t="shared" si="4"/>
        <v>0.2592581665183652</v>
      </c>
      <c r="U12" s="104">
        <f t="shared" si="5"/>
        <v>56735.105682185509</v>
      </c>
      <c r="V12" s="105">
        <f t="shared" si="6"/>
        <v>0.34189720313233246</v>
      </c>
      <c r="X12" s="93" cm="1">
        <f t="array" ref="X12">SUM([2]Hoja2!$I$5:$I$27*([2]Hoja2!$F$5:$F$27=X$5)*([2]Hoja2!$K$5:$K$27=$C12))</f>
        <v>0</v>
      </c>
      <c r="Y12" s="93" cm="1">
        <f t="array" ref="Y12">SUM([2]Hoja2!$J$5:$J$27*([2]Hoja2!$F$5:$F$27=X$5)*([2]Hoja2!$K$5:$K$27=$C12))</f>
        <v>0</v>
      </c>
      <c r="Z12" s="103">
        <f t="shared" si="18"/>
        <v>0</v>
      </c>
      <c r="AA12" s="93" cm="1">
        <f t="array" ref="AA12">SUM([2]Hoja2!$I$5:$I$27*([2]Hoja2!$F$5:$F$27=AA$5)*([2]Hoja2!$K$5:$K$27=$C12))</f>
        <v>0</v>
      </c>
      <c r="AB12" s="93" cm="1">
        <f t="array" ref="AB12">SUM([2]Hoja2!$J$5:$J$27*([2]Hoja2!$F$5:$F$27=AA$5)*([2]Hoja2!$K$5:$K$27=$C12))</f>
        <v>0</v>
      </c>
      <c r="AC12" s="103">
        <f t="shared" si="19"/>
        <v>0</v>
      </c>
      <c r="AD12" s="93" cm="1">
        <f t="array" ref="AD12">SUM([2]Hoja2!$I$5:$I$27*([2]Hoja2!$F$5:$F$27=AD$5)*([2]Hoja2!$K$5:$K$27=$C12))</f>
        <v>0</v>
      </c>
      <c r="AE12" s="93" cm="1">
        <f t="array" ref="AE12">SUM([2]Hoja2!$J$5:$J$27*([2]Hoja2!$F$5:$F$27=AD$5)*([2]Hoja2!$K$5:$K$27=$C12))</f>
        <v>0</v>
      </c>
      <c r="AF12" s="103">
        <f t="shared" si="20"/>
        <v>0</v>
      </c>
      <c r="AG12" s="93" cm="1">
        <f t="array" ref="AG12">SUM([2]Hoja2!$I$5:$I$27*([2]Hoja2!$F$5:$F$27=AG$5)*([2]Hoja2!$K$5:$K$27=$C12))</f>
        <v>0</v>
      </c>
      <c r="AH12" s="93" cm="1">
        <f t="array" ref="AH12">SUM([2]Hoja2!$J$5:$J$27*([2]Hoja2!$F$5:$F$27=AG$5)*([2]Hoja2!$K$5:$K$27=$C12))</f>
        <v>0</v>
      </c>
      <c r="AI12" s="103">
        <f t="shared" si="21"/>
        <v>0</v>
      </c>
      <c r="AJ12" s="93" cm="1">
        <f t="array" ref="AJ12">SUM([2]Hoja2!$I$5:$I$27*([2]Hoja2!$F$5:$F$27=AJ$5)*([2]Hoja2!$K$5:$K$27=$C12))</f>
        <v>0</v>
      </c>
      <c r="AK12" s="93" cm="1">
        <f t="array" ref="AK12">SUM([2]Hoja2!$J$5:$J$27*([2]Hoja2!$F$5:$F$27=AJ$5)*([2]Hoja2!$K$5:$K$27=$C12))</f>
        <v>0</v>
      </c>
      <c r="AL12" s="103">
        <f t="shared" si="22"/>
        <v>0</v>
      </c>
      <c r="AM12" s="93" cm="1">
        <f t="array" ref="AM12">SUM([2]Hoja2!$I$5:$I$27*([2]Hoja2!$F$5:$F$27=AM$5)*([2]Hoja2!$K$5:$K$27=$C12))</f>
        <v>53</v>
      </c>
      <c r="AN12" s="93" cm="1">
        <f t="array" ref="AN12">SUM([2]Hoja2!$J$5:$J$27*([2]Hoja2!$F$5:$F$27=AM$5)*([2]Hoja2!$K$5:$K$27=$C12))</f>
        <v>147810</v>
      </c>
      <c r="AO12" s="103">
        <f t="shared" si="23"/>
        <v>2788.867924528302</v>
      </c>
      <c r="AP12" s="93" cm="1">
        <f t="array" ref="AP12">SUM([2]Hoja2!$I$5:$I$27*([2]Hoja2!$F$5:$F$27=AP$5)*([2]Hoja2!$K$5:$K$27=$C12))</f>
        <v>0</v>
      </c>
      <c r="AQ12" s="93" cm="1">
        <f t="array" ref="AQ12">SUM([2]Hoja2!$J$5:$J$27*([2]Hoja2!$F$5:$F$27=AP$5)*([2]Hoja2!$K$5:$K$27=$C12))</f>
        <v>0</v>
      </c>
      <c r="AR12" s="103">
        <f t="shared" si="24"/>
        <v>0</v>
      </c>
      <c r="AS12" s="95">
        <f t="shared" si="7"/>
        <v>53</v>
      </c>
      <c r="AT12" s="96">
        <f t="shared" si="8"/>
        <v>147810</v>
      </c>
      <c r="AU12" s="97">
        <f t="shared" si="25"/>
        <v>2788.867924528302</v>
      </c>
      <c r="AV12" s="96">
        <f>-IFERROR(F12/D12*AS12,0)</f>
        <v>-89180.937973248976</v>
      </c>
      <c r="AW12" s="97">
        <f t="shared" si="9"/>
        <v>-11015.52</v>
      </c>
      <c r="AX12" s="96">
        <f>$AX$18/$AS$18*$AS12</f>
        <v>-2981.1646385110957</v>
      </c>
      <c r="AY12" s="97">
        <f>$AY$18/$AS$18*$AS12</f>
        <v>-5860.4645669291349</v>
      </c>
      <c r="AZ12" s="96">
        <f>$AZ$18/$AS$18*$AS12</f>
        <v>-4684.8035433070872</v>
      </c>
      <c r="BA12" s="97">
        <f>(AT12-AS12*$AX$22)*0.03</f>
        <v>4252.7575930203748</v>
      </c>
      <c r="BB12" s="96">
        <f t="shared" si="26"/>
        <v>43024.670414331165</v>
      </c>
      <c r="BC12" s="98">
        <f t="shared" si="27"/>
        <v>0.29108091749090836</v>
      </c>
      <c r="BD12" s="99">
        <f t="shared" si="10"/>
        <v>53569.938524567391</v>
      </c>
      <c r="BE12" s="100">
        <f t="shared" si="11"/>
        <v>0.36242431854791551</v>
      </c>
      <c r="BG12" s="101">
        <f t="shared" si="12"/>
        <v>2788.867924528302</v>
      </c>
      <c r="BH12" s="102">
        <f>IFERROR(AV12/$AS12,0)</f>
        <v>-1682.6592070424335</v>
      </c>
      <c r="BI12" s="102">
        <f>IFERROR(AW12/$AS12,0)</f>
        <v>-207.84</v>
      </c>
      <c r="BJ12" s="102">
        <f>IFERROR(AX12/$AS12,0)</f>
        <v>-56.24838940586973</v>
      </c>
      <c r="BK12" s="102">
        <f>IFERROR(AY12/$AS12,0)</f>
        <v>-110.57480314960632</v>
      </c>
      <c r="BL12" s="102">
        <f>IFERROR(AZ12/$AS12,0)</f>
        <v>-88.392519685039389</v>
      </c>
      <c r="BM12" s="102">
        <f>IFERROR(BA12/$AS12,0)</f>
        <v>80.240709302271227</v>
      </c>
      <c r="BN12" s="102">
        <f>IFERROR(BB12/$AS12,0)</f>
        <v>811.78623423266345</v>
      </c>
      <c r="BO12" s="102">
        <f>IFERROR(BD12/$AS12,0)</f>
        <v>1010.7535570673093</v>
      </c>
      <c r="BP12" s="46">
        <f t="shared" si="14"/>
        <v>198.96732283464587</v>
      </c>
    </row>
    <row r="13" spans="2:72" x14ac:dyDescent="0.3">
      <c r="B13" s="45">
        <v>10007969</v>
      </c>
      <c r="C13" s="49" t="s">
        <v>10</v>
      </c>
      <c r="D13" s="85">
        <f>TD!F10</f>
        <v>22.74</v>
      </c>
      <c r="E13" s="86">
        <f t="shared" si="0"/>
        <v>1368.5038142857145</v>
      </c>
      <c r="F13" s="46">
        <f>TD!G10</f>
        <v>31119.776736857144</v>
      </c>
      <c r="G13" s="46">
        <f>TD!H10</f>
        <v>4726.2815999999993</v>
      </c>
      <c r="H13" s="46">
        <f>TD!I10</f>
        <v>1434.3918378159251</v>
      </c>
      <c r="I13" s="46">
        <f>TD!J10</f>
        <v>2819.771317564991</v>
      </c>
      <c r="J13" s="46">
        <f>TD!K10</f>
        <v>2254.1002524593714</v>
      </c>
      <c r="K13" s="88">
        <v>0</v>
      </c>
      <c r="L13" s="89">
        <v>0</v>
      </c>
      <c r="M13" s="136">
        <f t="shared" si="28"/>
        <v>40100.221492238059</v>
      </c>
      <c r="N13" s="90">
        <f t="shared" si="16"/>
        <v>1763.4222292101169</v>
      </c>
      <c r="O13" s="90">
        <f t="shared" si="1"/>
        <v>35026.349922213696</v>
      </c>
      <c r="P13" s="90">
        <f t="shared" si="2"/>
        <v>1540.2968303524053</v>
      </c>
      <c r="Q13" s="104">
        <v>2900</v>
      </c>
      <c r="R13" s="104">
        <f t="shared" si="17"/>
        <v>65946</v>
      </c>
      <c r="S13" s="104">
        <f t="shared" si="3"/>
        <v>27746.266539182383</v>
      </c>
      <c r="T13" s="105">
        <f t="shared" si="4"/>
        <v>0.42074222150217427</v>
      </c>
      <c r="U13" s="104">
        <f t="shared" si="5"/>
        <v>32820.138109206746</v>
      </c>
      <c r="V13" s="105">
        <f t="shared" si="6"/>
        <v>0.49768201421172997</v>
      </c>
      <c r="X13" s="93" cm="1">
        <f t="array" ref="X13">SUM([2]Hoja2!$I$5:$I$27*([2]Hoja2!$F$5:$F$27=X$5)*([2]Hoja2!$K$5:$K$27=$C13))</f>
        <v>0</v>
      </c>
      <c r="Y13" s="93" cm="1">
        <f t="array" ref="Y13">SUM([2]Hoja2!$J$5:$J$27*([2]Hoja2!$F$5:$F$27=X$5)*([2]Hoja2!$K$5:$K$27=$C13))</f>
        <v>0</v>
      </c>
      <c r="Z13" s="103">
        <f t="shared" si="18"/>
        <v>0</v>
      </c>
      <c r="AA13" s="93" cm="1">
        <f t="array" ref="AA13">SUM([2]Hoja2!$I$5:$I$27*([2]Hoja2!$F$5:$F$27=AA$5)*([2]Hoja2!$K$5:$K$27=$C13))</f>
        <v>0</v>
      </c>
      <c r="AB13" s="93" cm="1">
        <f t="array" ref="AB13">SUM([2]Hoja2!$J$5:$J$27*([2]Hoja2!$F$5:$F$27=AA$5)*([2]Hoja2!$K$5:$K$27=$C13))</f>
        <v>0</v>
      </c>
      <c r="AC13" s="103">
        <f t="shared" si="19"/>
        <v>0</v>
      </c>
      <c r="AD13" s="93" cm="1">
        <f t="array" ref="AD13">SUM([2]Hoja2!$I$5:$I$27*([2]Hoja2!$F$5:$F$27=AD$5)*([2]Hoja2!$K$5:$K$27=$C13))</f>
        <v>0</v>
      </c>
      <c r="AE13" s="93" cm="1">
        <f t="array" ref="AE13">SUM([2]Hoja2!$J$5:$J$27*([2]Hoja2!$F$5:$F$27=AD$5)*([2]Hoja2!$K$5:$K$27=$C13))</f>
        <v>0</v>
      </c>
      <c r="AF13" s="103">
        <f t="shared" si="20"/>
        <v>0</v>
      </c>
      <c r="AG13" s="93" cm="1">
        <f t="array" ref="AG13">SUM([2]Hoja2!$I$5:$I$27*([2]Hoja2!$F$5:$F$27=AG$5)*([2]Hoja2!$K$5:$K$27=$C13))</f>
        <v>0</v>
      </c>
      <c r="AH13" s="93" cm="1">
        <f t="array" ref="AH13">SUM([2]Hoja2!$J$5:$J$27*([2]Hoja2!$F$5:$F$27=AG$5)*([2]Hoja2!$K$5:$K$27=$C13))</f>
        <v>0</v>
      </c>
      <c r="AI13" s="103">
        <f t="shared" si="21"/>
        <v>0</v>
      </c>
      <c r="AJ13" s="93" cm="1">
        <f t="array" ref="AJ13">SUM([2]Hoja2!$I$5:$I$27*([2]Hoja2!$F$5:$F$27=AJ$5)*([2]Hoja2!$K$5:$K$27=$C13))</f>
        <v>27</v>
      </c>
      <c r="AK13" s="93" cm="1">
        <f t="array" ref="AK13">SUM([2]Hoja2!$J$5:$J$27*([2]Hoja2!$F$5:$F$27=AJ$5)*([2]Hoja2!$K$5:$K$27=$C13))</f>
        <v>46710</v>
      </c>
      <c r="AL13" s="103">
        <f t="shared" si="22"/>
        <v>1730</v>
      </c>
      <c r="AM13" s="93" cm="1">
        <f t="array" ref="AM13">SUM([2]Hoja2!$I$5:$I$27*([2]Hoja2!$F$5:$F$27=AM$5)*([2]Hoja2!$K$5:$K$27=$C13))</f>
        <v>0</v>
      </c>
      <c r="AN13" s="93" cm="1">
        <f t="array" ref="AN13">SUM([2]Hoja2!$J$5:$J$27*([2]Hoja2!$F$5:$F$27=AM$5)*([2]Hoja2!$K$5:$K$27=$C13))</f>
        <v>0</v>
      </c>
      <c r="AO13" s="103">
        <f t="shared" si="23"/>
        <v>0</v>
      </c>
      <c r="AP13" s="93" cm="1">
        <f t="array" ref="AP13">SUM([2]Hoja2!$I$5:$I$27*([2]Hoja2!$F$5:$F$27=AP$5)*([2]Hoja2!$K$5:$K$27=$C13))</f>
        <v>0</v>
      </c>
      <c r="AQ13" s="93" cm="1">
        <f t="array" ref="AQ13">SUM([2]Hoja2!$J$5:$J$27*([2]Hoja2!$F$5:$F$27=AP$5)*([2]Hoja2!$K$5:$K$27=$C13))</f>
        <v>0</v>
      </c>
      <c r="AR13" s="103">
        <f t="shared" si="24"/>
        <v>0</v>
      </c>
      <c r="AS13" s="95">
        <f t="shared" si="7"/>
        <v>27</v>
      </c>
      <c r="AT13" s="96">
        <f t="shared" si="8"/>
        <v>46710</v>
      </c>
      <c r="AU13" s="97">
        <f t="shared" si="25"/>
        <v>1730</v>
      </c>
      <c r="AV13" s="96">
        <f>-IFERROR(F13/D13*AS13,0)</f>
        <v>-36949.602985714293</v>
      </c>
      <c r="AW13" s="97">
        <f t="shared" si="9"/>
        <v>-5611.68</v>
      </c>
      <c r="AX13" s="96">
        <f>$AX$18/$AS$18*$AS13</f>
        <v>-1518.7065139584827</v>
      </c>
      <c r="AY13" s="97">
        <f>$AY$18/$AS$18*$AS13</f>
        <v>-2985.5196850393709</v>
      </c>
      <c r="AZ13" s="96">
        <f>$AZ$18/$AS$18*$AS13</f>
        <v>-2386.5980314960634</v>
      </c>
      <c r="BA13" s="97">
        <f>(AT13-AS13*$AX$22)*0.03</f>
        <v>1308.8161322933991</v>
      </c>
      <c r="BB13" s="96">
        <f t="shared" si="26"/>
        <v>953.30694758125173</v>
      </c>
      <c r="BC13" s="98">
        <f t="shared" si="27"/>
        <v>2.0409054754469101E-2</v>
      </c>
      <c r="BD13" s="99">
        <f t="shared" si="10"/>
        <v>6325.4246641166865</v>
      </c>
      <c r="BE13" s="100">
        <f t="shared" si="11"/>
        <v>0.1354190679536863</v>
      </c>
      <c r="BG13" s="101">
        <f t="shared" si="12"/>
        <v>1730</v>
      </c>
      <c r="BH13" s="102">
        <f>IFERROR(AV13/$AS13,0)</f>
        <v>-1368.5038142857145</v>
      </c>
      <c r="BI13" s="102">
        <f>IFERROR(AW13/$AS13,0)</f>
        <v>-207.84</v>
      </c>
      <c r="BJ13" s="102">
        <f>IFERROR(AX13/$AS13,0)</f>
        <v>-56.24838940586973</v>
      </c>
      <c r="BK13" s="102">
        <f>IFERROR(AY13/$AS13,0)</f>
        <v>-110.57480314960632</v>
      </c>
      <c r="BL13" s="102">
        <f>IFERROR(AZ13/$AS13,0)</f>
        <v>-88.392519685039389</v>
      </c>
      <c r="BM13" s="102">
        <f>IFERROR(BA13/$AS13,0)</f>
        <v>48.474671566422188</v>
      </c>
      <c r="BN13" s="102">
        <f>IFERROR(BB13/$AS13,0)</f>
        <v>35.307664725231547</v>
      </c>
      <c r="BO13" s="102">
        <f>IFERROR(BD13/$AS13,0)</f>
        <v>234.27498755987727</v>
      </c>
      <c r="BP13" s="46">
        <f t="shared" si="14"/>
        <v>198.96732283464573</v>
      </c>
    </row>
    <row r="14" spans="2:72" x14ac:dyDescent="0.3">
      <c r="B14" s="45">
        <v>10009239</v>
      </c>
      <c r="C14" s="49" t="s">
        <v>92</v>
      </c>
      <c r="D14" s="85">
        <f>TD!F11</f>
        <v>0</v>
      </c>
      <c r="E14" s="86">
        <f t="shared" si="0"/>
        <v>0</v>
      </c>
      <c r="F14" s="46">
        <f>TD!G11</f>
        <v>0</v>
      </c>
      <c r="G14" s="46">
        <f>TD!H11</f>
        <v>0</v>
      </c>
      <c r="H14" s="46">
        <f>TD!I11</f>
        <v>0</v>
      </c>
      <c r="I14" s="46">
        <f>TD!J11</f>
        <v>0</v>
      </c>
      <c r="J14" s="46">
        <f>TD!K11</f>
        <v>0</v>
      </c>
      <c r="K14" s="88">
        <v>0</v>
      </c>
      <c r="L14" s="89">
        <v>0</v>
      </c>
      <c r="M14" s="136">
        <f t="shared" si="28"/>
        <v>0</v>
      </c>
      <c r="N14" s="90">
        <f t="shared" si="16"/>
        <v>0</v>
      </c>
      <c r="O14" s="90">
        <f t="shared" si="1"/>
        <v>0</v>
      </c>
      <c r="P14" s="90">
        <f t="shared" si="2"/>
        <v>0</v>
      </c>
      <c r="Q14" s="91">
        <v>1730</v>
      </c>
      <c r="R14" s="91">
        <f t="shared" si="17"/>
        <v>0</v>
      </c>
      <c r="S14" s="91">
        <f t="shared" si="3"/>
        <v>0</v>
      </c>
      <c r="T14" s="92">
        <f t="shared" si="4"/>
        <v>0</v>
      </c>
      <c r="U14" s="91">
        <f t="shared" si="5"/>
        <v>0</v>
      </c>
      <c r="V14" s="92">
        <f t="shared" si="6"/>
        <v>0</v>
      </c>
      <c r="X14" s="93" cm="1">
        <f t="array" ref="X14">SUM([2]Hoja2!$I$5:$I$27*([2]Hoja2!$F$5:$F$27=X$5)*([2]Hoja2!$K$5:$K$27=$C14))</f>
        <v>0</v>
      </c>
      <c r="Y14" s="93" cm="1">
        <f t="array" ref="Y14">SUM([2]Hoja2!$J$5:$J$27*([2]Hoja2!$F$5:$F$27=X$5)*([2]Hoja2!$K$5:$K$27=$C14))</f>
        <v>0</v>
      </c>
      <c r="Z14" s="103">
        <f t="shared" si="18"/>
        <v>0</v>
      </c>
      <c r="AA14" s="93" cm="1">
        <f t="array" ref="AA14">SUM([2]Hoja2!$I$5:$I$27*([2]Hoja2!$F$5:$F$27=AA$5)*([2]Hoja2!$K$5:$K$27=$C14))</f>
        <v>0</v>
      </c>
      <c r="AB14" s="93" cm="1">
        <f t="array" ref="AB14">SUM([2]Hoja2!$J$5:$J$27*([2]Hoja2!$F$5:$F$27=AA$5)*([2]Hoja2!$K$5:$K$27=$C14))</f>
        <v>0</v>
      </c>
      <c r="AC14" s="103">
        <f t="shared" si="19"/>
        <v>0</v>
      </c>
      <c r="AD14" s="93" cm="1">
        <f t="array" ref="AD14">SUM([2]Hoja2!$I$5:$I$27*([2]Hoja2!$F$5:$F$27=AD$5)*([2]Hoja2!$K$5:$K$27=$C14))</f>
        <v>108</v>
      </c>
      <c r="AE14" s="93" cm="1">
        <f t="array" ref="AE14">SUM([2]Hoja2!$J$5:$J$27*([2]Hoja2!$F$5:$F$27=AD$5)*([2]Hoja2!$K$5:$K$27=$C14))</f>
        <v>421200</v>
      </c>
      <c r="AF14" s="103">
        <f t="shared" si="20"/>
        <v>3900</v>
      </c>
      <c r="AG14" s="93" cm="1">
        <f t="array" ref="AG14">SUM([2]Hoja2!$I$5:$I$27*([2]Hoja2!$F$5:$F$27=AG$5)*([2]Hoja2!$K$5:$K$27=$C14))</f>
        <v>0</v>
      </c>
      <c r="AH14" s="93" cm="1">
        <f t="array" ref="AH14">SUM([2]Hoja2!$J$5:$J$27*([2]Hoja2!$F$5:$F$27=AG$5)*([2]Hoja2!$K$5:$K$27=$C14))</f>
        <v>0</v>
      </c>
      <c r="AI14" s="103">
        <f t="shared" si="21"/>
        <v>0</v>
      </c>
      <c r="AJ14" s="93" cm="1">
        <f t="array" ref="AJ14">SUM([2]Hoja2!$I$5:$I$27*([2]Hoja2!$F$5:$F$27=AJ$5)*([2]Hoja2!$K$5:$K$27=$C14))</f>
        <v>0</v>
      </c>
      <c r="AK14" s="93" cm="1">
        <f t="array" ref="AK14">SUM([2]Hoja2!$J$5:$J$27*([2]Hoja2!$F$5:$F$27=AJ$5)*([2]Hoja2!$K$5:$K$27=$C14))</f>
        <v>0</v>
      </c>
      <c r="AL14" s="103">
        <f t="shared" si="22"/>
        <v>0</v>
      </c>
      <c r="AM14" s="93" cm="1">
        <f t="array" ref="AM14">SUM([2]Hoja2!$I$5:$I$27*([2]Hoja2!$F$5:$F$27=AM$5)*([2]Hoja2!$K$5:$K$27=$C14))</f>
        <v>0</v>
      </c>
      <c r="AN14" s="93" cm="1">
        <f t="array" ref="AN14">SUM([2]Hoja2!$J$5:$J$27*([2]Hoja2!$F$5:$F$27=AM$5)*([2]Hoja2!$K$5:$K$27=$C14))</f>
        <v>0</v>
      </c>
      <c r="AO14" s="103">
        <f t="shared" si="23"/>
        <v>0</v>
      </c>
      <c r="AP14" s="93" cm="1">
        <f t="array" ref="AP14">SUM([2]Hoja2!$I$5:$I$27*([2]Hoja2!$F$5:$F$27=AP$5)*([2]Hoja2!$K$5:$K$27=$C14))</f>
        <v>297</v>
      </c>
      <c r="AQ14" s="93" cm="1">
        <f t="array" ref="AQ14">SUM([2]Hoja2!$J$5:$J$27*([2]Hoja2!$F$5:$F$27=AP$5)*([2]Hoja2!$K$5:$K$27=$C14))</f>
        <v>1171800</v>
      </c>
      <c r="AR14" s="103">
        <f t="shared" si="24"/>
        <v>3945.4545454545455</v>
      </c>
      <c r="AS14" s="95">
        <f t="shared" si="7"/>
        <v>405</v>
      </c>
      <c r="AT14" s="96">
        <f t="shared" si="8"/>
        <v>1593000</v>
      </c>
      <c r="AU14" s="97">
        <f t="shared" si="25"/>
        <v>3933.3333333333335</v>
      </c>
      <c r="AV14" s="96">
        <f>-AS14*'Stock Libre'!H45*1000</f>
        <v>-1318225.4865995515</v>
      </c>
      <c r="AW14" s="97">
        <f t="shared" si="9"/>
        <v>-84175.2</v>
      </c>
      <c r="AX14" s="96">
        <f>$AX$18/$AS$18*$AS14</f>
        <v>-22780.597709377242</v>
      </c>
      <c r="AY14" s="97">
        <f>$AY$18/$AS$18*$AS14</f>
        <v>-44782.795275590564</v>
      </c>
      <c r="AZ14" s="96">
        <f>$AZ$18/$AS$18*$AS14</f>
        <v>-35798.970472440953</v>
      </c>
      <c r="BA14" s="97">
        <f>(AT14-AS14*$AX$22)*0.03</f>
        <v>46402.741984400986</v>
      </c>
      <c r="BB14" s="96">
        <f t="shared" si="26"/>
        <v>169438.66239988152</v>
      </c>
      <c r="BC14" s="98">
        <f t="shared" si="27"/>
        <v>0.10636450872560045</v>
      </c>
      <c r="BD14" s="99">
        <f t="shared" si="10"/>
        <v>250020.42814791319</v>
      </c>
      <c r="BE14" s="100">
        <f t="shared" si="11"/>
        <v>0.15694942131067996</v>
      </c>
      <c r="BG14" s="101">
        <f t="shared" si="12"/>
        <v>3933.3333333333335</v>
      </c>
      <c r="BH14" s="102">
        <f>IFERROR(AV14/$AS14,0)</f>
        <v>-3254.8777446902504</v>
      </c>
      <c r="BI14" s="102">
        <f>IFERROR(AW14/$AS14,0)</f>
        <v>-207.84</v>
      </c>
      <c r="BJ14" s="102">
        <f>IFERROR(AX14/$AS14,0)</f>
        <v>-56.24838940586973</v>
      </c>
      <c r="BK14" s="102">
        <f>IFERROR(AY14/$AS14,0)</f>
        <v>-110.57480314960632</v>
      </c>
      <c r="BL14" s="102">
        <f>IFERROR(AZ14/$AS14,0)</f>
        <v>-88.392519685039389</v>
      </c>
      <c r="BM14" s="102">
        <f>IFERROR(BA14/$AS14,0)</f>
        <v>114.57467156642218</v>
      </c>
      <c r="BN14" s="102">
        <f>IFERROR(BB14/$AS14,0)</f>
        <v>418.36706765402846</v>
      </c>
      <c r="BO14" s="102">
        <f>IFERROR(BD14/$AS14,0)</f>
        <v>617.33439048867456</v>
      </c>
      <c r="BP14" s="46">
        <f t="shared" si="14"/>
        <v>198.9673228346461</v>
      </c>
    </row>
    <row r="15" spans="2:72" x14ac:dyDescent="0.3">
      <c r="B15" s="45">
        <v>10009334</v>
      </c>
      <c r="C15" s="49" t="s">
        <v>93</v>
      </c>
      <c r="D15" s="85">
        <f>TD!F12</f>
        <v>0</v>
      </c>
      <c r="E15" s="86">
        <f t="shared" si="0"/>
        <v>0</v>
      </c>
      <c r="F15" s="46">
        <f>TD!G12</f>
        <v>0</v>
      </c>
      <c r="G15" s="46">
        <f>TD!H12</f>
        <v>0</v>
      </c>
      <c r="H15" s="46">
        <f>TD!I12</f>
        <v>0</v>
      </c>
      <c r="I15" s="46">
        <f>TD!J12</f>
        <v>0</v>
      </c>
      <c r="J15" s="46">
        <f>TD!K12</f>
        <v>0</v>
      </c>
      <c r="K15" s="88">
        <v>0</v>
      </c>
      <c r="L15" s="89">
        <v>0</v>
      </c>
      <c r="M15" s="136">
        <f t="shared" si="28"/>
        <v>0</v>
      </c>
      <c r="N15" s="90">
        <f>IFERROR(M15/D15,0)</f>
        <v>0</v>
      </c>
      <c r="O15" s="90">
        <f t="shared" si="1"/>
        <v>0</v>
      </c>
      <c r="P15" s="90">
        <f t="shared" si="2"/>
        <v>0</v>
      </c>
      <c r="Q15" s="91">
        <v>3900</v>
      </c>
      <c r="R15" s="91">
        <f>Q15*D15</f>
        <v>0</v>
      </c>
      <c r="S15" s="91">
        <f t="shared" si="3"/>
        <v>0</v>
      </c>
      <c r="T15" s="92">
        <f t="shared" si="4"/>
        <v>0</v>
      </c>
      <c r="U15" s="91">
        <f t="shared" si="5"/>
        <v>0</v>
      </c>
      <c r="V15" s="92">
        <f t="shared" si="6"/>
        <v>0</v>
      </c>
      <c r="X15" s="93" cm="1">
        <f t="array" ref="X15">SUM([2]Hoja2!$I$5:$I$27*([2]Hoja2!$F$5:$F$27=X$5)*([2]Hoja2!$K$5:$K$27=$C15))</f>
        <v>0</v>
      </c>
      <c r="Y15" s="93" cm="1">
        <f t="array" ref="Y15">SUM([2]Hoja2!$J$5:$J$27*([2]Hoja2!$F$5:$F$27=X$5)*([2]Hoja2!$K$5:$K$27=$C15))</f>
        <v>0</v>
      </c>
      <c r="Z15" s="103">
        <f t="shared" si="18"/>
        <v>0</v>
      </c>
      <c r="AA15" s="93" cm="1">
        <f t="array" ref="AA15">SUM([2]Hoja2!$I$5:$I$27*([2]Hoja2!$F$5:$F$27=AA$5)*([2]Hoja2!$K$5:$K$27=$C15))</f>
        <v>27</v>
      </c>
      <c r="AB15" s="93" cm="1">
        <f t="array" ref="AB15">SUM([2]Hoja2!$J$5:$J$27*([2]Hoja2!$F$5:$F$27=AA$5)*([2]Hoja2!$K$5:$K$27=$C15))</f>
        <v>116100</v>
      </c>
      <c r="AC15" s="103">
        <f t="shared" si="19"/>
        <v>4300</v>
      </c>
      <c r="AD15" s="93" cm="1">
        <f t="array" ref="AD15">SUM([2]Hoja2!$I$5:$I$27*([2]Hoja2!$F$5:$F$27=AD$5)*([2]Hoja2!$K$5:$K$27=$C15))</f>
        <v>0</v>
      </c>
      <c r="AE15" s="93" cm="1">
        <f t="array" ref="AE15">SUM([2]Hoja2!$J$5:$J$27*([2]Hoja2!$F$5:$F$27=AD$5)*([2]Hoja2!$K$5:$K$27=$C15))</f>
        <v>0</v>
      </c>
      <c r="AF15" s="103">
        <f t="shared" si="20"/>
        <v>0</v>
      </c>
      <c r="AG15" s="93" cm="1">
        <f t="array" ref="AG15">SUM([2]Hoja2!$I$5:$I$27*([2]Hoja2!$F$5:$F$27=AG$5)*([2]Hoja2!$K$5:$K$27=$C15))</f>
        <v>0</v>
      </c>
      <c r="AH15" s="93" cm="1">
        <f t="array" ref="AH15">SUM([2]Hoja2!$J$5:$J$27*([2]Hoja2!$F$5:$F$27=AG$5)*([2]Hoja2!$K$5:$K$27=$C15))</f>
        <v>0</v>
      </c>
      <c r="AI15" s="103">
        <f t="shared" si="21"/>
        <v>0</v>
      </c>
      <c r="AJ15" s="93" cm="1">
        <f t="array" ref="AJ15">SUM([2]Hoja2!$I$5:$I$27*([2]Hoja2!$F$5:$F$27=AJ$5)*([2]Hoja2!$K$5:$K$27=$C15))</f>
        <v>54</v>
      </c>
      <c r="AK15" s="93" cm="1">
        <f t="array" ref="AK15">SUM([2]Hoja2!$J$5:$J$27*([2]Hoja2!$F$5:$F$27=AJ$5)*([2]Hoja2!$K$5:$K$27=$C15))</f>
        <v>232200</v>
      </c>
      <c r="AL15" s="103">
        <f t="shared" si="22"/>
        <v>4300</v>
      </c>
      <c r="AM15" s="93" cm="1">
        <f t="array" ref="AM15">SUM([2]Hoja2!$I$5:$I$27*([2]Hoja2!$F$5:$F$27=AM$5)*([2]Hoja2!$K$5:$K$27=$C15))</f>
        <v>0</v>
      </c>
      <c r="AN15" s="93" cm="1">
        <f t="array" ref="AN15">SUM([2]Hoja2!$J$5:$J$27*([2]Hoja2!$F$5:$F$27=AM$5)*([2]Hoja2!$K$5:$K$27=$C15))</f>
        <v>0</v>
      </c>
      <c r="AO15" s="103">
        <f t="shared" si="23"/>
        <v>0</v>
      </c>
      <c r="AP15" s="93" cm="1">
        <f t="array" ref="AP15">SUM([2]Hoja2!$I$5:$I$27*([2]Hoja2!$F$5:$F$27=AP$5)*([2]Hoja2!$K$5:$K$27=$C15))</f>
        <v>81</v>
      </c>
      <c r="AQ15" s="93" cm="1">
        <f t="array" ref="AQ15">SUM([2]Hoja2!$J$5:$J$27*([2]Hoja2!$F$5:$F$27=AP$5)*([2]Hoja2!$K$5:$K$27=$C15))</f>
        <v>329400</v>
      </c>
      <c r="AR15" s="103">
        <f t="shared" si="24"/>
        <v>4066.6666666666665</v>
      </c>
      <c r="AS15" s="95">
        <f t="shared" si="7"/>
        <v>162</v>
      </c>
      <c r="AT15" s="96">
        <f t="shared" si="8"/>
        <v>677700</v>
      </c>
      <c r="AU15" s="97">
        <f t="shared" si="25"/>
        <v>4183.333333333333</v>
      </c>
      <c r="AV15" s="96">
        <f>-AS15*'Stock Libre'!H47*1000</f>
        <v>-457557.41886095516</v>
      </c>
      <c r="AW15" s="97">
        <f t="shared" si="9"/>
        <v>-33670.080000000002</v>
      </c>
      <c r="AX15" s="96">
        <f>$AX$18/$AS$18*$AS15</f>
        <v>-9112.2390837508956</v>
      </c>
      <c r="AY15" s="97">
        <f>$AY$18/$AS$18*$AS15</f>
        <v>-17913.118110236224</v>
      </c>
      <c r="AZ15" s="96">
        <f>$AZ$18/$AS$18*$AS15</f>
        <v>-14319.58818897638</v>
      </c>
      <c r="BA15" s="97">
        <f>(AT15-AS15*$AX$22)*0.03</f>
        <v>19776.096793760393</v>
      </c>
      <c r="BB15" s="96">
        <f t="shared" si="26"/>
        <v>179223.24073881807</v>
      </c>
      <c r="BC15" s="98">
        <f t="shared" si="27"/>
        <v>0.26445807988611197</v>
      </c>
      <c r="BD15" s="99">
        <f t="shared" si="10"/>
        <v>211455.94703803069</v>
      </c>
      <c r="BE15" s="100">
        <f t="shared" si="11"/>
        <v>0.31201998972706313</v>
      </c>
      <c r="BG15" s="101">
        <f t="shared" si="12"/>
        <v>4183.333333333333</v>
      </c>
      <c r="BH15" s="102">
        <f>IFERROR(AV15/$AS15,0)</f>
        <v>-2824.4285114873774</v>
      </c>
      <c r="BI15" s="102">
        <f>IFERROR(AW15/$AS15,0)</f>
        <v>-207.84</v>
      </c>
      <c r="BJ15" s="102">
        <f>IFERROR(AX15/$AS15,0)</f>
        <v>-56.248389405869723</v>
      </c>
      <c r="BK15" s="102">
        <f>IFERROR(AY15/$AS15,0)</f>
        <v>-110.57480314960632</v>
      </c>
      <c r="BL15" s="102">
        <f>IFERROR(AZ15/$AS15,0)</f>
        <v>-88.392519685039389</v>
      </c>
      <c r="BM15" s="102">
        <f>IFERROR(BA15/$AS15,0)</f>
        <v>122.07467156642218</v>
      </c>
      <c r="BN15" s="102">
        <f>IFERROR(BB15/$AS15,0)</f>
        <v>1106.3163008569018</v>
      </c>
      <c r="BO15" s="102">
        <f>IFERROR(BD15/$AS15,0)</f>
        <v>1305.2836236915475</v>
      </c>
      <c r="BP15" s="46">
        <f t="shared" si="14"/>
        <v>198.96732283464576</v>
      </c>
    </row>
    <row r="16" spans="2:72" x14ac:dyDescent="0.3">
      <c r="B16" s="45">
        <v>10009386</v>
      </c>
      <c r="C16" s="49" t="s">
        <v>94</v>
      </c>
      <c r="D16" s="85">
        <f>TD!F13</f>
        <v>16.399999999999999</v>
      </c>
      <c r="E16" s="86">
        <f t="shared" si="0"/>
        <v>1742.1709268610136</v>
      </c>
      <c r="F16" s="46">
        <f>TD!G13</f>
        <v>28571.603200520622</v>
      </c>
      <c r="G16" s="46">
        <f>TD!H13</f>
        <v>3408.5759999999996</v>
      </c>
      <c r="H16" s="46">
        <f>TD!I13</f>
        <v>1034.477842576129</v>
      </c>
      <c r="I16" s="46">
        <f>TD!J13</f>
        <v>2033.6081621840742</v>
      </c>
      <c r="J16" s="46">
        <f>TD!K13</f>
        <v>1625.6483790823961</v>
      </c>
      <c r="K16" s="88">
        <v>0</v>
      </c>
      <c r="L16" s="89">
        <v>0</v>
      </c>
      <c r="M16" s="136">
        <f t="shared" si="28"/>
        <v>35048.265205280826</v>
      </c>
      <c r="N16" s="90">
        <f t="shared" ref="N16:N18" si="29">IFERROR(M16/D16,0)</f>
        <v>2137.0893417854163</v>
      </c>
      <c r="O16" s="90">
        <f t="shared" si="1"/>
        <v>31389.00866401436</v>
      </c>
      <c r="P16" s="90">
        <f t="shared" si="2"/>
        <v>1913.9639429277051</v>
      </c>
      <c r="Q16" s="91"/>
      <c r="R16" s="91">
        <f t="shared" ref="R16:R17" si="30">Q16*D16</f>
        <v>0</v>
      </c>
      <c r="S16" s="91">
        <f t="shared" si="3"/>
        <v>-35104.440591591505</v>
      </c>
      <c r="T16" s="92">
        <f t="shared" si="4"/>
        <v>0</v>
      </c>
      <c r="U16" s="91">
        <f t="shared" si="5"/>
        <v>-31445.184050325028</v>
      </c>
      <c r="V16" s="92">
        <f t="shared" si="6"/>
        <v>0</v>
      </c>
      <c r="X16" s="93" cm="1">
        <f t="array" ref="X16">SUM([2]Hoja2!$I$5:$I$27*([2]Hoja2!$F$5:$F$27=X$5)*([2]Hoja2!$K$5:$K$27=$C16))</f>
        <v>0</v>
      </c>
      <c r="Y16" s="93" cm="1">
        <f t="array" ref="Y16">SUM([2]Hoja2!$J$5:$J$27*([2]Hoja2!$F$5:$F$27=X$5)*([2]Hoja2!$K$5:$K$27=$C16))</f>
        <v>0</v>
      </c>
      <c r="Z16" s="103">
        <f t="shared" si="18"/>
        <v>0</v>
      </c>
      <c r="AA16" s="93" cm="1">
        <f t="array" ref="AA16">SUM([2]Hoja2!$I$5:$I$27*([2]Hoja2!$F$5:$F$27=AA$5)*([2]Hoja2!$K$5:$K$27=$C16))</f>
        <v>0</v>
      </c>
      <c r="AB16" s="93" cm="1">
        <f t="array" ref="AB16">SUM([2]Hoja2!$J$5:$J$27*([2]Hoja2!$F$5:$F$27=AA$5)*([2]Hoja2!$K$5:$K$27=$C16))</f>
        <v>0</v>
      </c>
      <c r="AC16" s="103">
        <f t="shared" si="19"/>
        <v>0</v>
      </c>
      <c r="AD16" s="93" cm="1">
        <f t="array" ref="AD16">SUM([2]Hoja2!$I$5:$I$27*([2]Hoja2!$F$5:$F$27=AD$5)*([2]Hoja2!$K$5:$K$27=$C16))</f>
        <v>0</v>
      </c>
      <c r="AE16" s="93" cm="1">
        <f t="array" ref="AE16">SUM([2]Hoja2!$J$5:$J$27*([2]Hoja2!$F$5:$F$27=AD$5)*([2]Hoja2!$K$5:$K$27=$C16))</f>
        <v>0</v>
      </c>
      <c r="AF16" s="103">
        <f t="shared" si="20"/>
        <v>0</v>
      </c>
      <c r="AG16" s="93" cm="1">
        <f t="array" ref="AG16">SUM([2]Hoja2!$I$5:$I$27*([2]Hoja2!$F$5:$F$27=AG$5)*([2]Hoja2!$K$5:$K$27=$C16))</f>
        <v>0</v>
      </c>
      <c r="AH16" s="93" cm="1">
        <f t="array" ref="AH16">SUM([2]Hoja2!$J$5:$J$27*([2]Hoja2!$F$5:$F$27=AG$5)*([2]Hoja2!$K$5:$K$27=$C16))</f>
        <v>0</v>
      </c>
      <c r="AI16" s="103">
        <f t="shared" si="21"/>
        <v>0</v>
      </c>
      <c r="AJ16" s="93" cm="1">
        <f t="array" ref="AJ16">SUM([2]Hoja2!$I$5:$I$27*([2]Hoja2!$F$5:$F$27=AJ$5)*([2]Hoja2!$K$5:$K$27=$C16))</f>
        <v>0</v>
      </c>
      <c r="AK16" s="93" cm="1">
        <f t="array" ref="AK16">SUM([2]Hoja2!$J$5:$J$27*([2]Hoja2!$F$5:$F$27=AJ$5)*([2]Hoja2!$K$5:$K$27=$C16))</f>
        <v>0</v>
      </c>
      <c r="AL16" s="103">
        <f t="shared" si="22"/>
        <v>0</v>
      </c>
      <c r="AM16" s="93" cm="1">
        <f t="array" ref="AM16">SUM([2]Hoja2!$I$5:$I$27*([2]Hoja2!$F$5:$F$27=AM$5)*([2]Hoja2!$K$5:$K$27=$C16))</f>
        <v>0</v>
      </c>
      <c r="AN16" s="93" cm="1">
        <f t="array" ref="AN16">SUM([2]Hoja2!$J$5:$J$27*([2]Hoja2!$F$5:$F$27=AM$5)*([2]Hoja2!$K$5:$K$27=$C16))</f>
        <v>0</v>
      </c>
      <c r="AO16" s="103">
        <f t="shared" si="23"/>
        <v>0</v>
      </c>
      <c r="AP16" s="93" cm="1">
        <f t="array" ref="AP16">SUM([2]Hoja2!$I$5:$I$27*([2]Hoja2!$F$5:$F$27=AP$5)*([2]Hoja2!$K$5:$K$27=$C16))</f>
        <v>0</v>
      </c>
      <c r="AQ16" s="93" cm="1">
        <f t="array" ref="AQ16">SUM([2]Hoja2!$J$5:$J$27*([2]Hoja2!$F$5:$F$27=AP$5)*([2]Hoja2!$K$5:$K$27=$C16))</f>
        <v>0</v>
      </c>
      <c r="AR16" s="103">
        <f t="shared" si="24"/>
        <v>0</v>
      </c>
      <c r="AS16" s="95">
        <f t="shared" si="7"/>
        <v>0</v>
      </c>
      <c r="AT16" s="96">
        <f t="shared" si="8"/>
        <v>0</v>
      </c>
      <c r="AU16" s="97">
        <f t="shared" si="25"/>
        <v>0</v>
      </c>
      <c r="AV16" s="96">
        <f>-IFERROR(F16/D16*AS16,0)</f>
        <v>0</v>
      </c>
      <c r="AW16" s="97">
        <f t="shared" si="9"/>
        <v>0</v>
      </c>
      <c r="AX16" s="96">
        <f>$AX$18/$AS$18*$AS16</f>
        <v>0</v>
      </c>
      <c r="AY16" s="97">
        <f>$AY$18/$AS$18*$AS16</f>
        <v>0</v>
      </c>
      <c r="AZ16" s="96">
        <f>$AZ$18/$AS$18*$AS16</f>
        <v>0</v>
      </c>
      <c r="BA16" s="97">
        <f>(AT16-AS16*$AX$22)*0.03</f>
        <v>0</v>
      </c>
      <c r="BB16" s="96">
        <f t="shared" si="26"/>
        <v>0</v>
      </c>
      <c r="BC16" s="98">
        <f t="shared" si="27"/>
        <v>0</v>
      </c>
      <c r="BD16" s="99">
        <f t="shared" si="10"/>
        <v>0</v>
      </c>
      <c r="BE16" s="100">
        <f t="shared" si="11"/>
        <v>0</v>
      </c>
      <c r="BG16" s="101">
        <f t="shared" si="12"/>
        <v>0</v>
      </c>
      <c r="BH16" s="102">
        <f>IFERROR(AV16/$AS16,0)</f>
        <v>0</v>
      </c>
      <c r="BI16" s="102">
        <f>IFERROR(AW16/$AS16,0)</f>
        <v>0</v>
      </c>
      <c r="BJ16" s="102">
        <f>IFERROR(AX16/$AS16,0)</f>
        <v>0</v>
      </c>
      <c r="BK16" s="102">
        <f>IFERROR(AY16/$AS16,0)</f>
        <v>0</v>
      </c>
      <c r="BL16" s="102">
        <f>IFERROR(AZ16/$AS16,0)</f>
        <v>0</v>
      </c>
      <c r="BM16" s="102">
        <f>IFERROR(BA16/$AS16,0)</f>
        <v>0</v>
      </c>
      <c r="BN16" s="102">
        <f>IFERROR(BB16/$AS16,0)</f>
        <v>0</v>
      </c>
      <c r="BO16" s="102">
        <f>IFERROR(BD16/$AS16,0)</f>
        <v>0</v>
      </c>
      <c r="BP16" s="46">
        <f t="shared" si="14"/>
        <v>0</v>
      </c>
    </row>
    <row r="17" spans="2:68" ht="15" thickBot="1" x14ac:dyDescent="0.35">
      <c r="B17" s="45">
        <v>10009386</v>
      </c>
      <c r="C17" s="49" t="s">
        <v>95</v>
      </c>
      <c r="D17" s="85">
        <f>TD!F14</f>
        <v>8.7799999999999994</v>
      </c>
      <c r="E17" s="86">
        <f t="shared" si="0"/>
        <v>1416.8704986990335</v>
      </c>
      <c r="F17" s="46">
        <f>TD!G14</f>
        <v>12440.122978577514</v>
      </c>
      <c r="G17" s="46">
        <f>TD!H14</f>
        <v>1824.8352</v>
      </c>
      <c r="H17" s="46">
        <f>TD!I14</f>
        <v>553.82411328161049</v>
      </c>
      <c r="I17" s="46">
        <f>TD!J14</f>
        <v>1088.7243697546446</v>
      </c>
      <c r="J17" s="46">
        <f>TD!K14</f>
        <v>870.31663221606334</v>
      </c>
      <c r="K17" s="88">
        <v>0</v>
      </c>
      <c r="L17" s="89">
        <v>0</v>
      </c>
      <c r="M17" s="136">
        <f t="shared" si="28"/>
        <v>15907.50666161377</v>
      </c>
      <c r="N17" s="90">
        <f t="shared" si="29"/>
        <v>1811.7889136234364</v>
      </c>
      <c r="O17" s="90">
        <f t="shared" si="1"/>
        <v>13948.465659643061</v>
      </c>
      <c r="P17" s="90">
        <f t="shared" si="2"/>
        <v>1588.6635147657246</v>
      </c>
      <c r="Q17" s="91"/>
      <c r="R17" s="91">
        <f t="shared" si="30"/>
        <v>0</v>
      </c>
      <c r="S17" s="91">
        <f t="shared" si="3"/>
        <v>-15937.581045260584</v>
      </c>
      <c r="T17" s="92">
        <f t="shared" si="4"/>
        <v>0</v>
      </c>
      <c r="U17" s="91">
        <f t="shared" si="5"/>
        <v>-13978.540043289875</v>
      </c>
      <c r="V17" s="92">
        <f t="shared" ref="V17:V18" si="31">IFERROR(U17/R17,0)</f>
        <v>0</v>
      </c>
      <c r="X17" s="93" cm="1">
        <f t="array" ref="X17">SUM([2]Hoja2!$I$5:$I$27*([2]Hoja2!$F$5:$F$27=X$5)*([2]Hoja2!$K$5:$K$27=$C17))</f>
        <v>26</v>
      </c>
      <c r="Y17" s="93" cm="1">
        <f t="array" ref="Y17">SUM([2]Hoja2!$J$5:$J$27*([2]Hoja2!$F$5:$F$27=X$5)*([2]Hoja2!$K$5:$K$27=$C17))</f>
        <v>36400</v>
      </c>
      <c r="Z17" s="103">
        <f t="shared" si="18"/>
        <v>1400</v>
      </c>
      <c r="AA17" s="93" cm="1">
        <f t="array" ref="AA17">SUM([2]Hoja2!$I$5:$I$27*([2]Hoja2!$F$5:$F$27=AA$5)*([2]Hoja2!$K$5:$K$27=$C17))</f>
        <v>0</v>
      </c>
      <c r="AB17" s="93" cm="1">
        <f t="array" ref="AB17">SUM([2]Hoja2!$J$5:$J$27*([2]Hoja2!$F$5:$F$27=AA$5)*([2]Hoja2!$K$5:$K$27=$C17))</f>
        <v>0</v>
      </c>
      <c r="AC17" s="103">
        <f t="shared" si="19"/>
        <v>0</v>
      </c>
      <c r="AD17" s="93" cm="1">
        <f t="array" ref="AD17">SUM([2]Hoja2!$I$5:$I$27*([2]Hoja2!$F$5:$F$27=AD$5)*([2]Hoja2!$K$5:$K$27=$C17))</f>
        <v>0</v>
      </c>
      <c r="AE17" s="93" cm="1">
        <f t="array" ref="AE17">SUM([2]Hoja2!$J$5:$J$27*([2]Hoja2!$F$5:$F$27=AD$5)*([2]Hoja2!$K$5:$K$27=$C17))</f>
        <v>0</v>
      </c>
      <c r="AF17" s="103">
        <f t="shared" si="20"/>
        <v>0</v>
      </c>
      <c r="AG17" s="93" cm="1">
        <f t="array" ref="AG17">SUM([2]Hoja2!$I$5:$I$27*([2]Hoja2!$F$5:$F$27=AG$5)*([2]Hoja2!$K$5:$K$27=$C17))</f>
        <v>0</v>
      </c>
      <c r="AH17" s="93" cm="1">
        <f t="array" ref="AH17">SUM([2]Hoja2!$J$5:$J$27*([2]Hoja2!$F$5:$F$27=AG$5)*([2]Hoja2!$K$5:$K$27=$C17))</f>
        <v>0</v>
      </c>
      <c r="AI17" s="103">
        <f t="shared" si="21"/>
        <v>0</v>
      </c>
      <c r="AJ17" s="93" cm="1">
        <f t="array" ref="AJ17">SUM([2]Hoja2!$I$5:$I$27*([2]Hoja2!$F$5:$F$27=AJ$5)*([2]Hoja2!$K$5:$K$27=$C17))</f>
        <v>0</v>
      </c>
      <c r="AK17" s="93" cm="1">
        <f t="array" ref="AK17">SUM([2]Hoja2!$J$5:$J$27*([2]Hoja2!$F$5:$F$27=AJ$5)*([2]Hoja2!$K$5:$K$27=$C17))</f>
        <v>0</v>
      </c>
      <c r="AL17" s="103">
        <f t="shared" si="22"/>
        <v>0</v>
      </c>
      <c r="AM17" s="93" cm="1">
        <f t="array" ref="AM17">SUM([2]Hoja2!$I$5:$I$27*([2]Hoja2!$F$5:$F$27=AM$5)*([2]Hoja2!$K$5:$K$27=$C17))</f>
        <v>0</v>
      </c>
      <c r="AN17" s="93" cm="1">
        <f t="array" ref="AN17">SUM([2]Hoja2!$J$5:$J$27*([2]Hoja2!$F$5:$F$27=AM$5)*([2]Hoja2!$K$5:$K$27=$C17))</f>
        <v>0</v>
      </c>
      <c r="AO17" s="103">
        <f t="shared" si="23"/>
        <v>0</v>
      </c>
      <c r="AP17" s="93" cm="1">
        <f t="array" ref="AP17">SUM([2]Hoja2!$I$5:$I$27*([2]Hoja2!$F$5:$F$27=AP$5)*([2]Hoja2!$K$5:$K$27=$C17))</f>
        <v>27</v>
      </c>
      <c r="AQ17" s="93" cm="1">
        <f t="array" ref="AQ17">SUM([2]Hoja2!$J$5:$J$27*([2]Hoja2!$F$5:$F$27=AP$5)*([2]Hoja2!$K$5:$K$27=$C17))</f>
        <v>67500</v>
      </c>
      <c r="AR17" s="103">
        <f t="shared" si="24"/>
        <v>2500</v>
      </c>
      <c r="AS17" s="95">
        <f t="shared" si="7"/>
        <v>53</v>
      </c>
      <c r="AT17" s="96">
        <f t="shared" si="8"/>
        <v>103900</v>
      </c>
      <c r="AU17" s="97">
        <f t="shared" si="25"/>
        <v>1960.3773584905659</v>
      </c>
      <c r="AV17" s="96">
        <f>-IFERROR(F17/D17*AS17,0)</f>
        <v>-75094.136431048784</v>
      </c>
      <c r="AW17" s="97">
        <f t="shared" si="9"/>
        <v>-11015.52</v>
      </c>
      <c r="AX17" s="96">
        <f>$AX$18/$AS$18*$AS17</f>
        <v>-2981.1646385110957</v>
      </c>
      <c r="AY17" s="97">
        <f>$AY$18/$AS$18*$AS17</f>
        <v>-5860.4645669291349</v>
      </c>
      <c r="AZ17" s="96">
        <f>$AZ$18/$AS$18*$AS17</f>
        <v>-4684.8035433070872</v>
      </c>
      <c r="BA17" s="97">
        <f>(AT17-AS17*$AX$22)*0.03</f>
        <v>2935.4575930203755</v>
      </c>
      <c r="BB17" s="96">
        <f>AT17+SUM(AV17:AY17,BA17)</f>
        <v>11884.171956531354</v>
      </c>
      <c r="BC17" s="98">
        <f t="shared" si="27"/>
        <v>0.11438086579914682</v>
      </c>
      <c r="BD17" s="99">
        <f t="shared" si="10"/>
        <v>22429.440066767584</v>
      </c>
      <c r="BE17" s="100">
        <f t="shared" si="11"/>
        <v>0.2158752653201885</v>
      </c>
      <c r="BG17" s="101">
        <f t="shared" si="12"/>
        <v>1960.3773584905659</v>
      </c>
      <c r="BH17" s="102">
        <f>IFERROR(AV17/$AS17,0)</f>
        <v>-1416.8704986990338</v>
      </c>
      <c r="BI17" s="102">
        <f>IFERROR(AW17/$AS17,0)</f>
        <v>-207.84</v>
      </c>
      <c r="BJ17" s="102">
        <f>IFERROR(AX17/$AS17,0)</f>
        <v>-56.24838940586973</v>
      </c>
      <c r="BK17" s="102">
        <f>IFERROR(AY17/$AS17,0)</f>
        <v>-110.57480314960632</v>
      </c>
      <c r="BL17" s="102">
        <f>IFERROR(AZ17/$AS17,0)</f>
        <v>-88.392519685039389</v>
      </c>
      <c r="BM17" s="102">
        <f>IFERROR(BA17/$AS17,0)</f>
        <v>55.385992321139163</v>
      </c>
      <c r="BN17" s="102">
        <f>IFERROR(BB17/$AS17,0)</f>
        <v>224.22965955719536</v>
      </c>
      <c r="BO17" s="102">
        <f>IFERROR(BD17/$AS17,0)</f>
        <v>423.19698239184117</v>
      </c>
      <c r="BP17" s="46">
        <f t="shared" si="14"/>
        <v>198.96732283464581</v>
      </c>
    </row>
    <row r="18" spans="2:68" ht="15" thickBot="1" x14ac:dyDescent="0.35">
      <c r="C18" s="106" t="s">
        <v>117</v>
      </c>
      <c r="D18" s="107">
        <f>SUM(D7:D17)</f>
        <v>1245.7450000000001</v>
      </c>
      <c r="E18" s="108">
        <f t="shared" si="0"/>
        <v>1798.8988470896502</v>
      </c>
      <c r="F18" s="109">
        <f>SUM(F7:F17)</f>
        <v>2240969.2442676965</v>
      </c>
      <c r="G18" s="109">
        <f>SUM(G7:G17)</f>
        <v>258915.64079999999</v>
      </c>
      <c r="H18" s="109">
        <f>SUM(H7:H17)</f>
        <v>78578.999999999985</v>
      </c>
      <c r="I18" s="109">
        <f>SUM(I7:I17)</f>
        <v>154473</v>
      </c>
      <c r="J18" s="109">
        <f>SUM(J7:J17)</f>
        <v>123484.34999999999</v>
      </c>
      <c r="K18" s="109">
        <f>SUM(K7:K17)</f>
        <v>0</v>
      </c>
      <c r="L18" s="110">
        <v>0</v>
      </c>
      <c r="M18" s="112">
        <f>SUM(M7:M17)</f>
        <v>2732936.8850676967</v>
      </c>
      <c r="N18" s="112">
        <f t="shared" si="29"/>
        <v>2193.8172620140531</v>
      </c>
      <c r="O18" s="112">
        <f>SUM(O7:O17)</f>
        <v>2454979.5350676966</v>
      </c>
      <c r="P18" s="112">
        <f t="shared" si="2"/>
        <v>1970.6918631563412</v>
      </c>
      <c r="Q18" s="111">
        <f>R18/D18</f>
        <v>1968.983620243308</v>
      </c>
      <c r="R18" s="113">
        <f>SUM(R7:R17)</f>
        <v>2452851.5</v>
      </c>
      <c r="S18" s="111">
        <f>SUM(S7:S17)</f>
        <v>-210766.92583718427</v>
      </c>
      <c r="T18" s="114">
        <f t="shared" ref="T18" si="32">S18/R18</f>
        <v>-8.592730780366617E-2</v>
      </c>
      <c r="U18" s="111">
        <f>SUM(U7:U17)</f>
        <v>67190.424162815558</v>
      </c>
      <c r="V18" s="114">
        <f t="shared" si="31"/>
        <v>2.7392781080638414E-2</v>
      </c>
      <c r="X18" s="115">
        <f>SUM(X7:X17)</f>
        <v>26</v>
      </c>
      <c r="Y18" s="115">
        <f>SUM(Y7:Y17)</f>
        <v>36400</v>
      </c>
      <c r="Z18" s="116">
        <f t="shared" si="18"/>
        <v>1400</v>
      </c>
      <c r="AA18" s="115">
        <f>SUM(AA7:AA17)</f>
        <v>53</v>
      </c>
      <c r="AB18" s="115">
        <f>SUM(AB7:AB17)</f>
        <v>149900</v>
      </c>
      <c r="AC18" s="116">
        <f t="shared" si="19"/>
        <v>2828.3018867924529</v>
      </c>
      <c r="AD18" s="115">
        <f>SUM(AD7:AD17)</f>
        <v>207</v>
      </c>
      <c r="AE18" s="115">
        <f>SUM(AE7:AE17)</f>
        <v>654750</v>
      </c>
      <c r="AF18" s="116">
        <f t="shared" si="20"/>
        <v>3163.0434782608695</v>
      </c>
      <c r="AG18" s="115">
        <f>SUM(AG7:AG17)</f>
        <v>26</v>
      </c>
      <c r="AH18" s="115">
        <f>SUM(AH7:AH17)</f>
        <v>67600</v>
      </c>
      <c r="AI18" s="116">
        <f t="shared" si="21"/>
        <v>2600</v>
      </c>
      <c r="AJ18" s="115">
        <f>SUM(AJ7:AJ17)</f>
        <v>186</v>
      </c>
      <c r="AK18" s="115">
        <f>SUM(AK7:AK17)</f>
        <v>502590</v>
      </c>
      <c r="AL18" s="116">
        <f t="shared" si="22"/>
        <v>2702.0967741935483</v>
      </c>
      <c r="AM18" s="115">
        <f>SUM(AM7:AM17)</f>
        <v>53</v>
      </c>
      <c r="AN18" s="115">
        <f>SUM(AN7:AN17)</f>
        <v>147810</v>
      </c>
      <c r="AO18" s="116">
        <f t="shared" si="23"/>
        <v>2788.867924528302</v>
      </c>
      <c r="AP18" s="115">
        <f>SUM(AP7:AP17)</f>
        <v>846</v>
      </c>
      <c r="AQ18" s="115">
        <f>SUM(AQ7:AQ17)</f>
        <v>2429610</v>
      </c>
      <c r="AR18" s="116">
        <f t="shared" si="24"/>
        <v>2871.8794326241136</v>
      </c>
      <c r="AS18" s="117">
        <f>SUM(AS7:AS17)</f>
        <v>1397</v>
      </c>
      <c r="AT18" s="117">
        <f>SUM(AT7:AT17)</f>
        <v>3988660</v>
      </c>
      <c r="AU18" s="118">
        <f t="shared" si="25"/>
        <v>2855.1610594130279</v>
      </c>
      <c r="AV18" s="119">
        <f>SUM(AV7:AV17)</f>
        <v>-3203160.3310929537</v>
      </c>
      <c r="AW18" s="118">
        <f>SUM(AW7:AW17)</f>
        <v>-290352.48</v>
      </c>
      <c r="AX18" s="119">
        <f>-'Stock Libre'!N61</f>
        <v>-78579.000000000015</v>
      </c>
      <c r="AY18" s="118">
        <f>-'Stock Libre'!O61</f>
        <v>-154473.00000000003</v>
      </c>
      <c r="AZ18" s="119">
        <f>-'Stock Libre'!P61</f>
        <v>-123484.35000000002</v>
      </c>
      <c r="BA18" s="118">
        <f>SUM(BA7:BA17)</f>
        <v>114874.61617829179</v>
      </c>
      <c r="BB18" s="117">
        <f>SUM(BB7:BB17)</f>
        <v>376969.80508533807</v>
      </c>
      <c r="BC18" s="120">
        <f t="shared" si="27"/>
        <v>9.4510388221943728E-2</v>
      </c>
      <c r="BD18" s="117">
        <f>SUM(BD7:BD17)</f>
        <v>654927.1550853384</v>
      </c>
      <c r="BE18" s="121">
        <f t="shared" si="11"/>
        <v>0.16419728808305004</v>
      </c>
      <c r="BG18" s="122">
        <f t="shared" si="12"/>
        <v>2855.1610594130279</v>
      </c>
      <c r="BH18" s="123">
        <f>IFERROR(AV18/$AS18,0)</f>
        <v>-2292.8849900450637</v>
      </c>
      <c r="BI18" s="123">
        <f>IFERROR(AW18/$AS18,0)</f>
        <v>-207.83999999999997</v>
      </c>
      <c r="BJ18" s="123">
        <f>IFERROR(AX18/$AS18,0)</f>
        <v>-56.24838940586973</v>
      </c>
      <c r="BK18" s="123">
        <f>IFERROR(AY18/$AS18,0)</f>
        <v>-110.57480314960632</v>
      </c>
      <c r="BL18" s="123">
        <f>IFERROR(AZ18/$AS18,0)</f>
        <v>-88.392519685039389</v>
      </c>
      <c r="BM18" s="123">
        <f>IFERROR(BA18/$AS18,0)</f>
        <v>82.229503348813026</v>
      </c>
      <c r="BN18" s="123">
        <f>IFERROR(BB18/$AS18,0)</f>
        <v>269.84238016130143</v>
      </c>
      <c r="BO18" s="123">
        <f>IFERROR(BD18/$AS18,0)</f>
        <v>468.8097029959473</v>
      </c>
      <c r="BP18" s="46">
        <f t="shared" si="14"/>
        <v>198.96732283464587</v>
      </c>
    </row>
    <row r="19" spans="2:68" x14ac:dyDescent="0.3">
      <c r="I19" s="53"/>
      <c r="J19" s="53"/>
      <c r="N19" s="46">
        <f>N18-P18</f>
        <v>223.12539885771184</v>
      </c>
      <c r="O19" s="46"/>
    </row>
    <row r="20" spans="2:68" x14ac:dyDescent="0.3">
      <c r="M20" s="124"/>
      <c r="N20" s="124"/>
      <c r="O20" s="124"/>
      <c r="P20" s="137"/>
      <c r="Q20" s="124"/>
      <c r="R20" s="125"/>
      <c r="S20" s="124"/>
      <c r="T20" s="124"/>
      <c r="U20" s="124"/>
      <c r="V20" s="124"/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26"/>
      <c r="AN20" s="126"/>
      <c r="AO20" s="126"/>
      <c r="AP20" s="51"/>
      <c r="BB20" s="46"/>
      <c r="BH20" s="46"/>
    </row>
    <row r="21" spans="2:68" x14ac:dyDescent="0.3">
      <c r="L21" s="127"/>
      <c r="N21" s="128"/>
      <c r="O21" s="128"/>
      <c r="P21" s="128"/>
      <c r="Q21" s="128"/>
      <c r="R21" s="125"/>
      <c r="S21" s="128"/>
      <c r="T21" s="128"/>
      <c r="U21" s="128"/>
      <c r="V21" s="128"/>
      <c r="W21" s="46"/>
      <c r="X21" s="46"/>
      <c r="Y21" s="129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S21" s="53"/>
      <c r="AV21" s="53"/>
      <c r="AW21" s="130"/>
      <c r="BB21" s="131"/>
    </row>
    <row r="22" spans="2:68" x14ac:dyDescent="0.3">
      <c r="G22" s="46"/>
      <c r="L22" s="127"/>
      <c r="N22" s="128"/>
      <c r="O22" s="128"/>
      <c r="P22" s="128"/>
      <c r="Q22" s="128"/>
      <c r="R22" s="125"/>
      <c r="S22" s="128"/>
      <c r="T22" s="128"/>
      <c r="U22" s="128"/>
      <c r="V22" s="128"/>
      <c r="W22" s="46"/>
      <c r="X22" s="46"/>
      <c r="Y22" s="129"/>
      <c r="AT22" s="46"/>
      <c r="AW22" s="53" t="s">
        <v>118</v>
      </c>
      <c r="AX22">
        <v>114.17761445259386</v>
      </c>
      <c r="BA22" s="132"/>
    </row>
    <row r="23" spans="2:68" x14ac:dyDescent="0.3">
      <c r="G23" s="46"/>
      <c r="L23" s="127"/>
      <c r="N23" s="128"/>
      <c r="O23" s="128"/>
      <c r="P23" s="128"/>
      <c r="Q23" s="128"/>
      <c r="R23" s="128"/>
      <c r="S23" s="128"/>
      <c r="T23" s="128"/>
      <c r="U23" s="128"/>
      <c r="V23" s="128"/>
      <c r="W23" s="46"/>
      <c r="X23" s="46"/>
      <c r="Y23" s="87"/>
      <c r="AW23" s="53"/>
      <c r="AY23" s="46"/>
      <c r="BA23" s="53"/>
    </row>
    <row r="24" spans="2:68" x14ac:dyDescent="0.3">
      <c r="G24" s="46"/>
      <c r="L24" s="127"/>
      <c r="N24" s="128"/>
      <c r="O24" s="128"/>
      <c r="P24" s="128"/>
      <c r="Q24" s="128"/>
      <c r="S24" s="128"/>
      <c r="T24" s="128"/>
      <c r="U24" s="128"/>
      <c r="V24" s="128"/>
      <c r="W24" s="46"/>
      <c r="X24" s="46"/>
      <c r="Y24" s="87"/>
      <c r="AW24" s="53"/>
      <c r="AY24" s="53"/>
    </row>
    <row r="25" spans="2:68" x14ac:dyDescent="0.3">
      <c r="G25" s="46"/>
      <c r="L25" s="127"/>
      <c r="N25" s="128"/>
      <c r="O25" s="128"/>
      <c r="P25" s="128"/>
      <c r="Q25" s="128"/>
      <c r="R25" s="128"/>
      <c r="S25" s="128"/>
      <c r="T25" s="128"/>
      <c r="U25" s="128"/>
      <c r="V25" s="128"/>
      <c r="W25" s="46"/>
      <c r="X25" s="46"/>
      <c r="Y25" s="87"/>
    </row>
    <row r="26" spans="2:68" x14ac:dyDescent="0.3">
      <c r="G26" s="46"/>
      <c r="L26" s="127"/>
      <c r="N26" s="128"/>
      <c r="O26" s="128"/>
      <c r="P26" s="128"/>
      <c r="Q26" s="128"/>
      <c r="R26" s="128"/>
      <c r="S26" s="128"/>
      <c r="T26" s="128"/>
      <c r="U26" s="128"/>
      <c r="V26" s="128"/>
      <c r="W26" s="46"/>
      <c r="X26" s="46"/>
      <c r="Y26" s="87"/>
    </row>
    <row r="27" spans="2:68" x14ac:dyDescent="0.3">
      <c r="G27" s="46"/>
      <c r="L27" s="127"/>
      <c r="N27" s="128"/>
      <c r="O27" s="128"/>
      <c r="P27" s="128"/>
      <c r="Q27" s="128"/>
      <c r="R27" s="128"/>
      <c r="S27" s="128"/>
      <c r="T27" s="128"/>
      <c r="U27" s="128"/>
      <c r="V27" s="128"/>
      <c r="X27" s="46"/>
      <c r="Y27" s="87"/>
    </row>
    <row r="28" spans="2:68" x14ac:dyDescent="0.3">
      <c r="L28" s="127"/>
      <c r="N28" s="128"/>
      <c r="O28" s="128"/>
      <c r="P28" s="128"/>
      <c r="Q28" s="128"/>
      <c r="R28" s="128"/>
      <c r="S28" s="128"/>
      <c r="T28" s="128"/>
      <c r="U28" s="128"/>
      <c r="V28" s="128"/>
      <c r="W28" s="46"/>
      <c r="X28" s="46"/>
      <c r="Y28" s="87"/>
      <c r="AT28" s="87"/>
    </row>
    <row r="29" spans="2:68" x14ac:dyDescent="0.3">
      <c r="L29" s="127"/>
      <c r="N29" s="128"/>
      <c r="O29" s="128"/>
      <c r="P29" s="128"/>
      <c r="Q29" s="128"/>
      <c r="R29" s="128"/>
      <c r="S29" s="128"/>
      <c r="T29" s="128"/>
      <c r="U29" s="128"/>
      <c r="V29" s="128"/>
      <c r="W29" s="46"/>
      <c r="X29" s="46"/>
      <c r="Y29" s="87"/>
    </row>
    <row r="30" spans="2:68" x14ac:dyDescent="0.3">
      <c r="L30" s="127"/>
      <c r="N30" s="128"/>
      <c r="O30" s="128"/>
      <c r="P30" s="128"/>
      <c r="Q30" s="128"/>
      <c r="R30" s="128"/>
      <c r="S30" s="128"/>
      <c r="T30" s="128"/>
      <c r="U30" s="128"/>
      <c r="V30" s="128"/>
      <c r="W30" s="46"/>
      <c r="X30" s="46"/>
      <c r="Y30" s="87"/>
    </row>
    <row r="31" spans="2:68" x14ac:dyDescent="0.3">
      <c r="L31" s="127"/>
      <c r="N31" s="128"/>
      <c r="O31" s="128"/>
      <c r="P31" s="128"/>
      <c r="Q31" s="128"/>
      <c r="R31" s="128"/>
      <c r="S31" s="128"/>
      <c r="T31" s="128"/>
      <c r="U31" s="128"/>
      <c r="V31" s="128"/>
      <c r="W31" s="46"/>
      <c r="X31" s="46"/>
      <c r="Y31" s="87"/>
    </row>
    <row r="32" spans="2:68" x14ac:dyDescent="0.3">
      <c r="L32" s="127"/>
      <c r="N32" s="128"/>
      <c r="O32" s="128"/>
      <c r="P32" s="128"/>
      <c r="Q32" s="128"/>
      <c r="R32" s="128"/>
      <c r="S32" s="128"/>
      <c r="T32" s="128"/>
      <c r="U32" s="128"/>
      <c r="V32" s="128"/>
      <c r="W32" s="46"/>
      <c r="X32" s="46"/>
      <c r="Y32" s="87"/>
    </row>
    <row r="33" spans="12:25" x14ac:dyDescent="0.3">
      <c r="L33" s="133"/>
      <c r="M33" s="51"/>
      <c r="N33" s="134"/>
      <c r="O33" s="134"/>
      <c r="P33" s="134"/>
      <c r="Q33" s="134"/>
      <c r="R33" s="134"/>
      <c r="S33" s="134"/>
      <c r="T33" s="134"/>
      <c r="U33" s="134"/>
      <c r="V33" s="134"/>
      <c r="Y33" s="134"/>
    </row>
    <row r="35" spans="12:25" x14ac:dyDescent="0.3">
      <c r="N35" s="46"/>
      <c r="O35" s="46"/>
      <c r="P35" s="46"/>
      <c r="Q35" s="46"/>
      <c r="R35" s="46"/>
      <c r="S35" s="46"/>
      <c r="T35" s="46"/>
      <c r="U35" s="46"/>
      <c r="V35" s="46"/>
    </row>
    <row r="36" spans="12:25" x14ac:dyDescent="0.3">
      <c r="N36" s="46"/>
      <c r="O36" s="46"/>
      <c r="P36" s="46"/>
      <c r="Q36" s="46"/>
      <c r="R36" s="46"/>
      <c r="S36" s="46"/>
      <c r="T36" s="46"/>
      <c r="U36" s="46"/>
      <c r="V36" s="46"/>
    </row>
    <row r="37" spans="12:25" x14ac:dyDescent="0.3">
      <c r="N37" s="131"/>
      <c r="O37" s="131"/>
      <c r="P37" s="131"/>
      <c r="Q37" s="131"/>
      <c r="R37" s="131"/>
      <c r="S37" s="131"/>
      <c r="T37" s="131"/>
      <c r="U37" s="131"/>
      <c r="V37" s="131"/>
    </row>
  </sheetData>
  <mergeCells count="11">
    <mergeCell ref="BG5:BO5"/>
    <mergeCell ref="F5:V5"/>
    <mergeCell ref="AG5:AI5"/>
    <mergeCell ref="AM5:AO5"/>
    <mergeCell ref="AJ5:AL5"/>
    <mergeCell ref="AS4:BC4"/>
    <mergeCell ref="X5:Z5"/>
    <mergeCell ref="AA5:AC5"/>
    <mergeCell ref="AD5:AF5"/>
    <mergeCell ref="AP5:AR5"/>
    <mergeCell ref="AS5:BE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6EE9B-B0EE-4FD3-8088-DF8A29ED8F42}">
  <dimension ref="A3:K16"/>
  <sheetViews>
    <sheetView zoomScale="90" zoomScaleNormal="90" workbookViewId="0">
      <selection activeCell="E21" sqref="E21"/>
    </sheetView>
  </sheetViews>
  <sheetFormatPr baseColWidth="10" defaultRowHeight="14.4" x14ac:dyDescent="0.3"/>
  <cols>
    <col min="4" max="4" width="38.33203125" bestFit="1" customWidth="1"/>
    <col min="5" max="5" width="17.44140625" bestFit="1" customWidth="1"/>
    <col min="6" max="6" width="19.33203125" bestFit="1" customWidth="1"/>
    <col min="7" max="7" width="20.5546875" bestFit="1" customWidth="1"/>
    <col min="8" max="8" width="20.44140625" bestFit="1" customWidth="1"/>
    <col min="9" max="9" width="18.5546875" bestFit="1" customWidth="1"/>
    <col min="10" max="10" width="17" bestFit="1" customWidth="1"/>
    <col min="11" max="11" width="20.77734375" bestFit="1" customWidth="1"/>
  </cols>
  <sheetData>
    <row r="3" spans="1:11" x14ac:dyDescent="0.3">
      <c r="E3" s="44" t="s">
        <v>78</v>
      </c>
      <c r="F3" t="s">
        <v>81</v>
      </c>
      <c r="G3" t="s">
        <v>82</v>
      </c>
      <c r="H3" t="s">
        <v>83</v>
      </c>
      <c r="I3" t="s">
        <v>84</v>
      </c>
      <c r="J3" t="s">
        <v>85</v>
      </c>
      <c r="K3" t="s">
        <v>86</v>
      </c>
    </row>
    <row r="4" spans="1:11" x14ac:dyDescent="0.3">
      <c r="A4" s="45">
        <v>10005721</v>
      </c>
      <c r="B4" s="47" t="b">
        <f t="shared" ref="B4:B14" si="0">C4=E4</f>
        <v>1</v>
      </c>
      <c r="C4" s="45">
        <v>10005721</v>
      </c>
      <c r="D4" s="48" t="s">
        <v>87</v>
      </c>
      <c r="E4" s="45">
        <v>10005721</v>
      </c>
      <c r="F4" s="46">
        <v>561.84</v>
      </c>
      <c r="G4" s="46">
        <v>1115019.8955642278</v>
      </c>
      <c r="H4" s="46">
        <v>116772.8256</v>
      </c>
      <c r="I4" s="46">
        <v>35439.697016644655</v>
      </c>
      <c r="J4" s="46">
        <v>69668.439624481718</v>
      </c>
      <c r="K4" s="46">
        <v>55692.334469734968</v>
      </c>
    </row>
    <row r="5" spans="1:11" x14ac:dyDescent="0.3">
      <c r="A5" s="45">
        <v>10005779</v>
      </c>
      <c r="B5" s="47" t="b">
        <f t="shared" si="0"/>
        <v>1</v>
      </c>
      <c r="C5" s="45">
        <v>10005779</v>
      </c>
      <c r="D5" s="49" t="s">
        <v>88</v>
      </c>
      <c r="E5" s="45">
        <v>10005779</v>
      </c>
      <c r="F5" s="46">
        <v>235.92000000000002</v>
      </c>
      <c r="G5" s="46">
        <v>382664.69253899908</v>
      </c>
      <c r="H5" s="46">
        <v>49033.612800000003</v>
      </c>
      <c r="I5" s="46">
        <v>14881.342232961</v>
      </c>
      <c r="J5" s="46">
        <v>29254.197416004077</v>
      </c>
      <c r="K5" s="46">
        <v>23385.546682507254</v>
      </c>
    </row>
    <row r="6" spans="1:11" x14ac:dyDescent="0.3">
      <c r="A6" s="45">
        <v>10006719</v>
      </c>
      <c r="B6" s="47" t="b">
        <f t="shared" si="0"/>
        <v>1</v>
      </c>
      <c r="C6" s="45">
        <v>10006719</v>
      </c>
      <c r="D6" s="49" t="s">
        <v>89</v>
      </c>
      <c r="E6" s="45">
        <v>10006719</v>
      </c>
      <c r="F6" s="46">
        <v>63.319999999999993</v>
      </c>
      <c r="G6" s="46">
        <v>119210.81390231336</v>
      </c>
      <c r="H6" s="46">
        <v>13160.4288</v>
      </c>
      <c r="I6" s="46">
        <v>3994.0937190195418</v>
      </c>
      <c r="J6" s="46">
        <v>7851.7115139936332</v>
      </c>
      <c r="K6" s="46">
        <v>6276.5887416766673</v>
      </c>
    </row>
    <row r="7" spans="1:11" x14ac:dyDescent="0.3">
      <c r="A7" s="45">
        <v>10007050</v>
      </c>
      <c r="B7" s="47" t="b">
        <f t="shared" si="0"/>
        <v>1</v>
      </c>
      <c r="C7" s="45">
        <v>10007050</v>
      </c>
      <c r="D7" s="49" t="s">
        <v>119</v>
      </c>
      <c r="E7" s="45">
        <v>10007050</v>
      </c>
      <c r="F7" s="46">
        <v>103.325</v>
      </c>
      <c r="G7" s="46">
        <v>149195.71535371587</v>
      </c>
      <c r="H7" s="46">
        <v>21475.067999999999</v>
      </c>
      <c r="I7" s="46">
        <v>6517.5257978157642</v>
      </c>
      <c r="J7" s="46">
        <v>12812.35142424814</v>
      </c>
      <c r="K7" s="46">
        <v>10242.080412724914</v>
      </c>
    </row>
    <row r="8" spans="1:11" x14ac:dyDescent="0.3">
      <c r="A8" s="45">
        <v>10007162</v>
      </c>
      <c r="B8" s="47" t="b">
        <f t="shared" si="0"/>
        <v>1</v>
      </c>
      <c r="C8" s="45">
        <v>10007162</v>
      </c>
      <c r="D8" s="49" t="s">
        <v>90</v>
      </c>
      <c r="E8" s="45">
        <v>10007162</v>
      </c>
      <c r="F8" s="46">
        <v>171.96</v>
      </c>
      <c r="G8" s="46">
        <v>299330.38912765722</v>
      </c>
      <c r="H8" s="46">
        <v>35740.166400000002</v>
      </c>
      <c r="I8" s="46">
        <v>10846.878646914094</v>
      </c>
      <c r="J8" s="46">
        <v>21323.125583486184</v>
      </c>
      <c r="K8" s="46">
        <v>17045.518004085905</v>
      </c>
    </row>
    <row r="9" spans="1:11" x14ac:dyDescent="0.3">
      <c r="A9" s="45">
        <v>10007567</v>
      </c>
      <c r="B9" s="47" t="b">
        <f t="shared" si="0"/>
        <v>1</v>
      </c>
      <c r="C9" s="45">
        <v>10007567</v>
      </c>
      <c r="D9" s="49" t="s">
        <v>91</v>
      </c>
      <c r="E9" s="45">
        <v>10007567</v>
      </c>
      <c r="F9" s="46">
        <v>61.46</v>
      </c>
      <c r="G9" s="46">
        <v>103416.23486482797</v>
      </c>
      <c r="H9" s="46">
        <v>12773.8464</v>
      </c>
      <c r="I9" s="46">
        <v>3876.7687929712738</v>
      </c>
      <c r="J9" s="46">
        <v>7621.0705882825132</v>
      </c>
      <c r="K9" s="46">
        <v>6092.2164255124444</v>
      </c>
    </row>
    <row r="10" spans="1:11" x14ac:dyDescent="0.3">
      <c r="A10" s="45">
        <v>10007969</v>
      </c>
      <c r="B10" s="47" t="b">
        <f t="shared" si="0"/>
        <v>1</v>
      </c>
      <c r="C10" s="45">
        <v>10007969</v>
      </c>
      <c r="D10" s="49" t="s">
        <v>10</v>
      </c>
      <c r="E10" s="45">
        <v>10007969</v>
      </c>
      <c r="F10" s="46">
        <v>22.74</v>
      </c>
      <c r="G10" s="46">
        <v>31119.776736857144</v>
      </c>
      <c r="H10" s="46">
        <v>4726.2815999999993</v>
      </c>
      <c r="I10" s="46">
        <v>1434.3918378159251</v>
      </c>
      <c r="J10" s="46">
        <v>2819.771317564991</v>
      </c>
      <c r="K10" s="46">
        <v>2254.1002524593714</v>
      </c>
    </row>
    <row r="11" spans="1:11" x14ac:dyDescent="0.3">
      <c r="A11" s="45">
        <v>10009207</v>
      </c>
      <c r="B11" s="47" t="b">
        <f t="shared" si="0"/>
        <v>1</v>
      </c>
      <c r="C11" s="45">
        <v>10009239</v>
      </c>
      <c r="D11" s="49" t="s">
        <v>92</v>
      </c>
      <c r="E11" s="45">
        <v>10009239</v>
      </c>
      <c r="F11" s="46">
        <v>0</v>
      </c>
      <c r="G11" s="46">
        <v>0</v>
      </c>
      <c r="H11" s="46">
        <v>0</v>
      </c>
      <c r="I11" s="46">
        <v>0</v>
      </c>
      <c r="J11" s="46">
        <v>0</v>
      </c>
      <c r="K11" s="46">
        <v>0</v>
      </c>
    </row>
    <row r="12" spans="1:11" x14ac:dyDescent="0.3">
      <c r="A12" s="45">
        <v>10009239</v>
      </c>
      <c r="B12" s="47" t="b">
        <f t="shared" si="0"/>
        <v>1</v>
      </c>
      <c r="C12" s="45">
        <v>10009334</v>
      </c>
      <c r="D12" s="49" t="s">
        <v>93</v>
      </c>
      <c r="E12" s="45">
        <v>10009334</v>
      </c>
      <c r="F12" s="46">
        <v>0</v>
      </c>
      <c r="G12" s="46">
        <v>0</v>
      </c>
      <c r="H12" s="46">
        <v>0</v>
      </c>
      <c r="I12" s="46">
        <v>0</v>
      </c>
      <c r="J12" s="46">
        <v>0</v>
      </c>
      <c r="K12" s="46">
        <v>0</v>
      </c>
    </row>
    <row r="13" spans="1:11" x14ac:dyDescent="0.3">
      <c r="A13" s="45">
        <v>10009334</v>
      </c>
      <c r="B13" s="47" t="b">
        <f t="shared" si="0"/>
        <v>1</v>
      </c>
      <c r="C13" s="45">
        <v>10009386</v>
      </c>
      <c r="D13" s="49" t="s">
        <v>94</v>
      </c>
      <c r="E13" s="45">
        <v>10009386</v>
      </c>
      <c r="F13" s="46">
        <v>16.399999999999999</v>
      </c>
      <c r="G13" s="46">
        <v>28571.603200520622</v>
      </c>
      <c r="H13" s="46">
        <v>3408.5759999999996</v>
      </c>
      <c r="I13" s="46">
        <v>1034.477842576129</v>
      </c>
      <c r="J13" s="46">
        <v>2033.6081621840742</v>
      </c>
      <c r="K13" s="46">
        <v>1625.6483790823961</v>
      </c>
    </row>
    <row r="14" spans="1:11" x14ac:dyDescent="0.3">
      <c r="A14" s="45">
        <v>10009386</v>
      </c>
      <c r="B14" s="47" t="b">
        <f t="shared" si="0"/>
        <v>0</v>
      </c>
      <c r="D14" s="49" t="s">
        <v>95</v>
      </c>
      <c r="E14" s="45">
        <v>10009207</v>
      </c>
      <c r="F14" s="46">
        <v>8.7799999999999994</v>
      </c>
      <c r="G14" s="46">
        <v>12440.122978577514</v>
      </c>
      <c r="H14" s="46">
        <v>1824.8352</v>
      </c>
      <c r="I14" s="46">
        <v>553.82411328161049</v>
      </c>
      <c r="J14" s="46">
        <v>1088.7243697546446</v>
      </c>
      <c r="K14" s="46">
        <v>870.31663221606334</v>
      </c>
    </row>
    <row r="15" spans="1:11" x14ac:dyDescent="0.3">
      <c r="A15" s="45"/>
      <c r="B15" s="47"/>
      <c r="D15" s="49"/>
      <c r="E15" s="45" t="s">
        <v>79</v>
      </c>
      <c r="F15" s="46">
        <v>0</v>
      </c>
      <c r="G15" s="46">
        <v>0</v>
      </c>
      <c r="H15" s="46">
        <v>0</v>
      </c>
      <c r="I15" s="46">
        <v>0</v>
      </c>
      <c r="J15" s="46">
        <v>0</v>
      </c>
      <c r="K15" s="46">
        <v>0</v>
      </c>
    </row>
    <row r="16" spans="1:11" x14ac:dyDescent="0.3">
      <c r="B16" s="47"/>
      <c r="D16" s="49"/>
      <c r="E16" s="45" t="s">
        <v>80</v>
      </c>
      <c r="F16" s="46">
        <v>1245.7450000000001</v>
      </c>
      <c r="G16" s="46">
        <v>2240969.2442676965</v>
      </c>
      <c r="H16" s="46">
        <v>258915.64079999999</v>
      </c>
      <c r="I16" s="46">
        <v>78578.999999999985</v>
      </c>
      <c r="J16" s="46">
        <v>154473</v>
      </c>
      <c r="K16" s="46">
        <v>123484.34999999999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D1828-DDF1-481E-B3D0-1DEFF5DE07E3}">
  <dimension ref="A1:T61"/>
  <sheetViews>
    <sheetView topLeftCell="A23" zoomScale="70" zoomScaleNormal="70" workbookViewId="0">
      <selection activeCell="L38" sqref="L38"/>
    </sheetView>
  </sheetViews>
  <sheetFormatPr baseColWidth="10" defaultRowHeight="15.6" x14ac:dyDescent="0.3"/>
  <cols>
    <col min="1" max="1" width="18.21875" style="5" bestFit="1" customWidth="1"/>
    <col min="2" max="2" width="48.88671875" style="5" bestFit="1" customWidth="1"/>
    <col min="3" max="3" width="14.21875" style="5" customWidth="1"/>
    <col min="4" max="4" width="13.77734375" style="5" customWidth="1"/>
    <col min="5" max="5" width="13.21875" style="5" customWidth="1"/>
    <col min="6" max="9" width="11.5546875" style="5"/>
    <col min="10" max="10" width="15.6640625" style="5" bestFit="1" customWidth="1"/>
    <col min="11" max="11" width="12.6640625" style="5" bestFit="1" customWidth="1"/>
    <col min="12" max="12" width="13.109375" style="5" bestFit="1" customWidth="1"/>
    <col min="13" max="13" width="13.33203125" style="5" bestFit="1" customWidth="1"/>
    <col min="14" max="16" width="11.5546875" style="5"/>
    <col min="17" max="17" width="13.77734375" style="5" bestFit="1" customWidth="1"/>
    <col min="18" max="18" width="13.33203125" style="5" bestFit="1" customWidth="1"/>
    <col min="19" max="19" width="16.77734375" style="5" bestFit="1" customWidth="1"/>
    <col min="20" max="20" width="22.44140625" style="5" bestFit="1" customWidth="1"/>
    <col min="21" max="16384" width="11.5546875" style="5"/>
  </cols>
  <sheetData>
    <row r="1" spans="1:20" ht="16.2" thickBot="1" x14ac:dyDescent="0.35">
      <c r="A1" s="1" t="s">
        <v>0</v>
      </c>
      <c r="B1" s="1" t="s">
        <v>1</v>
      </c>
      <c r="C1" s="2" t="s">
        <v>60</v>
      </c>
      <c r="D1" s="3" t="s">
        <v>61</v>
      </c>
      <c r="E1" s="4" t="s">
        <v>62</v>
      </c>
      <c r="G1" s="19" t="s">
        <v>63</v>
      </c>
      <c r="H1" s="19" t="s">
        <v>64</v>
      </c>
      <c r="I1" s="19" t="s">
        <v>65</v>
      </c>
      <c r="J1" s="19" t="s">
        <v>66</v>
      </c>
      <c r="K1" s="20" t="s">
        <v>67</v>
      </c>
      <c r="L1" s="21" t="s">
        <v>68</v>
      </c>
      <c r="M1" s="21" t="s">
        <v>69</v>
      </c>
      <c r="N1" s="21" t="s">
        <v>70</v>
      </c>
      <c r="O1" s="21" t="s">
        <v>71</v>
      </c>
      <c r="P1" s="21" t="s">
        <v>72</v>
      </c>
      <c r="Q1" s="21" t="s">
        <v>73</v>
      </c>
      <c r="R1" s="22" t="s">
        <v>74</v>
      </c>
      <c r="S1" s="23" t="s">
        <v>75</v>
      </c>
      <c r="T1" s="23" t="s">
        <v>76</v>
      </c>
    </row>
    <row r="2" spans="1:20" x14ac:dyDescent="0.3">
      <c r="A2" s="6">
        <v>10009178</v>
      </c>
      <c r="B2" s="6" t="s">
        <v>2</v>
      </c>
      <c r="C2" s="2">
        <v>14280</v>
      </c>
      <c r="D2" s="3">
        <v>2000</v>
      </c>
      <c r="E2" s="4">
        <v>12280</v>
      </c>
      <c r="G2" s="24">
        <v>10006719</v>
      </c>
      <c r="H2" s="25">
        <f>IFERROR(INDEX([1]Resumen!$K$3:$K$63,MATCH(G2,[1]Resumen!$C$3:$C$63,0)),0)*(1+I2*J2)/1000-51.89/1000</f>
        <v>1.8826723610599079</v>
      </c>
      <c r="I2" s="26">
        <v>0.71</v>
      </c>
      <c r="J2" s="27">
        <v>-7.0000000000000007E-2</v>
      </c>
      <c r="K2" s="28">
        <f>IF(E2&lt;0,0,E2)/1000</f>
        <v>12.28</v>
      </c>
      <c r="L2" s="29">
        <f>IFERROR(H2*K2,0)*1000</f>
        <v>23119.216593815669</v>
      </c>
      <c r="M2" s="30">
        <f>207.84*K2</f>
        <v>2552.2752</v>
      </c>
      <c r="N2" s="29">
        <f t="shared" ref="N2:N33" si="0">$N$61/$K$59*K2</f>
        <v>774.59682358749171</v>
      </c>
      <c r="O2" s="29">
        <f t="shared" ref="O2:O33" si="1">$O$61/$K$59*K2</f>
        <v>1522.7261116841728</v>
      </c>
      <c r="P2" s="29">
        <f t="shared" ref="P2:P33" si="2">$P$61/$K$59*K2</f>
        <v>1217.253786288526</v>
      </c>
      <c r="Q2" s="29">
        <v>0</v>
      </c>
      <c r="R2" s="31">
        <v>0</v>
      </c>
      <c r="S2" s="32">
        <f>L2+M2+N2+O2</f>
        <v>27968.814729087335</v>
      </c>
      <c r="T2" s="32">
        <f>IFERROR(S2/K2,0)</f>
        <v>2277.5907759843108</v>
      </c>
    </row>
    <row r="3" spans="1:20" x14ac:dyDescent="0.3">
      <c r="A3" s="7">
        <v>10006668</v>
      </c>
      <c r="B3" s="7" t="s">
        <v>3</v>
      </c>
      <c r="C3" s="2">
        <v>3020</v>
      </c>
      <c r="D3" s="3">
        <v>0</v>
      </c>
      <c r="E3" s="4">
        <v>3020</v>
      </c>
      <c r="G3" s="24">
        <v>10006719</v>
      </c>
      <c r="H3" s="25">
        <f>IFERROR(INDEX([1]Resumen!$K$3:$K$63,MATCH(G3,[1]Resumen!$C$3:$C$63,0)),0)*(1+I3*J3)/1000-51.89/1000</f>
        <v>1.8826723610599079</v>
      </c>
      <c r="I3" s="27">
        <v>0.71</v>
      </c>
      <c r="J3" s="27">
        <v>-7.0000000000000007E-2</v>
      </c>
      <c r="K3" s="28">
        <f>IF(E3&lt;0,0,E3)/1000</f>
        <v>3.02</v>
      </c>
      <c r="L3" s="29">
        <f t="shared" ref="L3:L52" si="3">IFERROR(H3*K3,0)*1000</f>
        <v>5685.6705304009211</v>
      </c>
      <c r="M3" s="30">
        <f t="shared" ref="M3:M52" si="4">207.84*K3</f>
        <v>627.67679999999996</v>
      </c>
      <c r="N3" s="29">
        <f t="shared" si="0"/>
        <v>190.49531003536035</v>
      </c>
      <c r="O3" s="29">
        <f t="shared" si="1"/>
        <v>374.48150303633565</v>
      </c>
      <c r="P3" s="29">
        <f t="shared" si="2"/>
        <v>299.35720151395344</v>
      </c>
      <c r="Q3" s="29">
        <v>0</v>
      </c>
      <c r="R3" s="31">
        <v>0</v>
      </c>
      <c r="S3" s="32">
        <f t="shared" ref="S3:S58" si="5">L3+M3+N3+O3</f>
        <v>6878.3241434726169</v>
      </c>
      <c r="T3" s="32">
        <f t="shared" ref="T3:T58" si="6">IFERROR(S3/K3,0)</f>
        <v>2277.5907759843103</v>
      </c>
    </row>
    <row r="4" spans="1:20" x14ac:dyDescent="0.3">
      <c r="A4" s="7">
        <v>10006719</v>
      </c>
      <c r="B4" s="7" t="s">
        <v>4</v>
      </c>
      <c r="C4" s="2">
        <v>37900</v>
      </c>
      <c r="D4" s="3">
        <v>25000</v>
      </c>
      <c r="E4" s="4">
        <v>12900</v>
      </c>
      <c r="G4" s="24">
        <v>10006719</v>
      </c>
      <c r="H4" s="25">
        <f>IFERROR(INDEX([1]Resumen!$K$3:$K$63,MATCH(G4,[1]Resumen!$C$3:$C$63,0)),0)*(1+I4*J4)/1000-51.89/1000</f>
        <v>1.8826723610599079</v>
      </c>
      <c r="I4" s="27">
        <v>0.71</v>
      </c>
      <c r="J4" s="27">
        <v>-7.0000000000000007E-2</v>
      </c>
      <c r="K4" s="28">
        <f>IF(E4&lt;0,0,E4)/1000</f>
        <v>12.9</v>
      </c>
      <c r="L4" s="29">
        <f t="shared" si="3"/>
        <v>24286.473457672811</v>
      </c>
      <c r="M4" s="30">
        <f t="shared" si="4"/>
        <v>2681.136</v>
      </c>
      <c r="N4" s="29">
        <f t="shared" si="0"/>
        <v>813.70513227024787</v>
      </c>
      <c r="O4" s="29">
        <f t="shared" si="1"/>
        <v>1599.6064202545465</v>
      </c>
      <c r="P4" s="29">
        <f t="shared" si="2"/>
        <v>1278.7112250099337</v>
      </c>
      <c r="Q4" s="29">
        <v>0</v>
      </c>
      <c r="R4" s="31">
        <v>0</v>
      </c>
      <c r="S4" s="32">
        <f t="shared" si="5"/>
        <v>29380.921010197602</v>
      </c>
      <c r="T4" s="32">
        <f t="shared" si="6"/>
        <v>2277.5907759843103</v>
      </c>
    </row>
    <row r="5" spans="1:20" x14ac:dyDescent="0.3">
      <c r="A5" s="7">
        <v>10009265</v>
      </c>
      <c r="B5" s="7" t="s">
        <v>5</v>
      </c>
      <c r="C5" s="2">
        <v>0</v>
      </c>
      <c r="D5" s="3"/>
      <c r="E5" s="4">
        <v>0</v>
      </c>
      <c r="G5" s="24">
        <v>10006719</v>
      </c>
      <c r="H5" s="25">
        <f>IFERROR(INDEX([1]Resumen!$K$3:$K$63,MATCH(G5,[1]Resumen!$C$3:$C$63,0)),0)*(1+I5*J5)/1000-51.89/1000</f>
        <v>1.8826723610599079</v>
      </c>
      <c r="I5" s="27">
        <v>0.71</v>
      </c>
      <c r="J5" s="27">
        <v>-7.0000000000000007E-2</v>
      </c>
      <c r="K5" s="28">
        <f t="shared" ref="K5:K52" si="7">IF(E5&lt;0,0,E5)/1000</f>
        <v>0</v>
      </c>
      <c r="L5" s="29">
        <f t="shared" si="3"/>
        <v>0</v>
      </c>
      <c r="M5" s="30">
        <f t="shared" si="4"/>
        <v>0</v>
      </c>
      <c r="N5" s="29">
        <f t="shared" si="0"/>
        <v>0</v>
      </c>
      <c r="O5" s="29">
        <f t="shared" si="1"/>
        <v>0</v>
      </c>
      <c r="P5" s="29">
        <f t="shared" si="2"/>
        <v>0</v>
      </c>
      <c r="Q5" s="29">
        <v>0</v>
      </c>
      <c r="R5" s="31">
        <v>0</v>
      </c>
      <c r="S5" s="32">
        <f t="shared" si="5"/>
        <v>0</v>
      </c>
      <c r="T5" s="32">
        <f t="shared" si="6"/>
        <v>0</v>
      </c>
    </row>
    <row r="6" spans="1:20" x14ac:dyDescent="0.3">
      <c r="A6" s="7">
        <v>10006720</v>
      </c>
      <c r="B6" s="7" t="s">
        <v>6</v>
      </c>
      <c r="C6" s="2">
        <v>1900</v>
      </c>
      <c r="D6" s="3">
        <v>1900</v>
      </c>
      <c r="E6" s="4">
        <v>0</v>
      </c>
      <c r="G6" s="24">
        <v>10006719</v>
      </c>
      <c r="H6" s="25">
        <f>IFERROR(INDEX([1]Resumen!$K$3:$K$63,MATCH(G6,[1]Resumen!$C$3:$C$63,0)),0)*(1+I6*J6)/1000-51.89/1000</f>
        <v>1.8826723610599079</v>
      </c>
      <c r="I6" s="27">
        <v>0.71</v>
      </c>
      <c r="J6" s="27">
        <v>-7.0000000000000007E-2</v>
      </c>
      <c r="K6" s="28">
        <f t="shared" si="7"/>
        <v>0</v>
      </c>
      <c r="L6" s="29">
        <f t="shared" si="3"/>
        <v>0</v>
      </c>
      <c r="M6" s="30">
        <f t="shared" si="4"/>
        <v>0</v>
      </c>
      <c r="N6" s="29">
        <f t="shared" si="0"/>
        <v>0</v>
      </c>
      <c r="O6" s="29">
        <f t="shared" si="1"/>
        <v>0</v>
      </c>
      <c r="P6" s="29">
        <f t="shared" si="2"/>
        <v>0</v>
      </c>
      <c r="Q6" s="29">
        <v>0</v>
      </c>
      <c r="R6" s="31">
        <v>0</v>
      </c>
      <c r="S6" s="32">
        <f t="shared" si="5"/>
        <v>0</v>
      </c>
      <c r="T6" s="32">
        <f t="shared" si="6"/>
        <v>0</v>
      </c>
    </row>
    <row r="7" spans="1:20" x14ac:dyDescent="0.3">
      <c r="A7" s="8">
        <v>10010005</v>
      </c>
      <c r="B7" s="8" t="s">
        <v>7</v>
      </c>
      <c r="C7" s="2">
        <v>35120</v>
      </c>
      <c r="D7" s="3"/>
      <c r="E7" s="4">
        <v>35120</v>
      </c>
      <c r="G7" s="24">
        <v>10006719</v>
      </c>
      <c r="H7" s="25">
        <f>IFERROR(INDEX([1]Resumen!$K$3:$K$63,MATCH(G7,[1]Resumen!$C$3:$C$63,0)),0)*(1+I7*J7)/1000-51.89/1000</f>
        <v>1.8826723610599079</v>
      </c>
      <c r="I7" s="27">
        <v>0.71</v>
      </c>
      <c r="J7" s="27">
        <v>-7.0000000000000007E-2</v>
      </c>
      <c r="K7" s="28">
        <f t="shared" si="7"/>
        <v>35.119999999999997</v>
      </c>
      <c r="L7" s="29">
        <f t="shared" si="3"/>
        <v>66119.453320423956</v>
      </c>
      <c r="M7" s="30">
        <f t="shared" si="4"/>
        <v>7299.3407999999999</v>
      </c>
      <c r="N7" s="29">
        <f t="shared" si="0"/>
        <v>2215.296453126442</v>
      </c>
      <c r="O7" s="29">
        <f t="shared" si="1"/>
        <v>4354.8974790185785</v>
      </c>
      <c r="P7" s="29">
        <f t="shared" si="2"/>
        <v>3481.2665288642534</v>
      </c>
      <c r="Q7" s="29">
        <v>0</v>
      </c>
      <c r="R7" s="31">
        <v>0</v>
      </c>
      <c r="S7" s="32">
        <f t="shared" si="5"/>
        <v>79988.98805256898</v>
      </c>
      <c r="T7" s="32">
        <f t="shared" si="6"/>
        <v>2277.5907759843108</v>
      </c>
    </row>
    <row r="8" spans="1:20" x14ac:dyDescent="0.3">
      <c r="A8" s="7">
        <v>10006722</v>
      </c>
      <c r="B8" s="7" t="s">
        <v>8</v>
      </c>
      <c r="C8" s="2">
        <v>120</v>
      </c>
      <c r="D8" s="3">
        <v>120</v>
      </c>
      <c r="E8" s="4">
        <v>0</v>
      </c>
      <c r="G8" s="24">
        <v>10006719</v>
      </c>
      <c r="H8" s="25">
        <f>IFERROR(INDEX([1]Resumen!$K$3:$K$63,MATCH(G8,[1]Resumen!$C$3:$C$63,0)),0)*(1+I8*J8)/1000-51.89/1000</f>
        <v>1.8826723610599079</v>
      </c>
      <c r="I8" s="27">
        <v>0.71</v>
      </c>
      <c r="J8" s="27">
        <v>-7.0000000000000007E-2</v>
      </c>
      <c r="K8" s="28">
        <f t="shared" si="7"/>
        <v>0</v>
      </c>
      <c r="L8" s="29">
        <f t="shared" si="3"/>
        <v>0</v>
      </c>
      <c r="M8" s="30">
        <f t="shared" si="4"/>
        <v>0</v>
      </c>
      <c r="N8" s="29">
        <f t="shared" si="0"/>
        <v>0</v>
      </c>
      <c r="O8" s="29">
        <f t="shared" si="1"/>
        <v>0</v>
      </c>
      <c r="P8" s="29">
        <f t="shared" si="2"/>
        <v>0</v>
      </c>
      <c r="Q8" s="29">
        <v>0</v>
      </c>
      <c r="R8" s="31">
        <v>0</v>
      </c>
      <c r="S8" s="32">
        <f t="shared" si="5"/>
        <v>0</v>
      </c>
      <c r="T8" s="32">
        <f t="shared" si="6"/>
        <v>0</v>
      </c>
    </row>
    <row r="9" spans="1:20" x14ac:dyDescent="0.3">
      <c r="A9" s="7">
        <v>10009207</v>
      </c>
      <c r="B9" s="7" t="s">
        <v>9</v>
      </c>
      <c r="C9" s="2">
        <v>8780</v>
      </c>
      <c r="D9" s="3"/>
      <c r="E9" s="4">
        <v>8780</v>
      </c>
      <c r="G9" s="33">
        <v>10009207</v>
      </c>
      <c r="H9" s="25">
        <f>IFERROR(INDEX([1]Resumen!$K$3:$K$63,MATCH(G9,[1]Resumen!$C$3:$C$63,0)),0)*(1+I9*J9)/1000-51.89/1000</f>
        <v>1.4168704986990337</v>
      </c>
      <c r="I9" s="27">
        <v>0.71</v>
      </c>
      <c r="J9" s="27">
        <v>-7.0000000000000007E-2</v>
      </c>
      <c r="K9" s="28">
        <f t="shared" si="7"/>
        <v>8.7799999999999994</v>
      </c>
      <c r="L9" s="29">
        <f t="shared" si="3"/>
        <v>12440.122978577514</v>
      </c>
      <c r="M9" s="30">
        <f t="shared" si="4"/>
        <v>1824.8352</v>
      </c>
      <c r="N9" s="29">
        <f t="shared" si="0"/>
        <v>553.82411328161049</v>
      </c>
      <c r="O9" s="29">
        <f t="shared" si="1"/>
        <v>1088.7243697546446</v>
      </c>
      <c r="P9" s="29">
        <f t="shared" si="2"/>
        <v>870.31663221606334</v>
      </c>
      <c r="Q9" s="29">
        <v>0</v>
      </c>
      <c r="R9" s="31">
        <v>0</v>
      </c>
      <c r="S9" s="32">
        <f t="shared" si="5"/>
        <v>15907.50666161377</v>
      </c>
      <c r="T9" s="32">
        <f t="shared" si="6"/>
        <v>1811.7889136234364</v>
      </c>
    </row>
    <row r="10" spans="1:20" x14ac:dyDescent="0.3">
      <c r="A10" s="7">
        <v>10007969</v>
      </c>
      <c r="B10" s="7" t="s">
        <v>10</v>
      </c>
      <c r="C10" s="2">
        <v>49740</v>
      </c>
      <c r="D10" s="3">
        <v>27000</v>
      </c>
      <c r="E10" s="4">
        <v>22740</v>
      </c>
      <c r="G10" s="33">
        <v>10007969</v>
      </c>
      <c r="H10" s="25">
        <f>IFERROR(INDEX([1]Resumen!$K$3:$K$63,MATCH(G10,[1]Resumen!$C$3:$C$63,0)),0)*(1+I10*J10)/1000-51.89/1000</f>
        <v>1.3685038142857144</v>
      </c>
      <c r="I10" s="27">
        <v>0.71</v>
      </c>
      <c r="J10" s="27">
        <v>-7.0000000000000007E-2</v>
      </c>
      <c r="K10" s="28">
        <f t="shared" si="7"/>
        <v>22.74</v>
      </c>
      <c r="L10" s="29">
        <f t="shared" si="3"/>
        <v>31119.776736857144</v>
      </c>
      <c r="M10" s="30">
        <f t="shared" si="4"/>
        <v>4726.2815999999993</v>
      </c>
      <c r="N10" s="29">
        <f t="shared" si="0"/>
        <v>1434.3918378159251</v>
      </c>
      <c r="O10" s="29">
        <f t="shared" si="1"/>
        <v>2819.771317564991</v>
      </c>
      <c r="P10" s="29">
        <f t="shared" si="2"/>
        <v>2254.1002524593714</v>
      </c>
      <c r="Q10" s="29">
        <v>0</v>
      </c>
      <c r="R10" s="31">
        <v>0</v>
      </c>
      <c r="S10" s="32">
        <f t="shared" si="5"/>
        <v>40100.221492238059</v>
      </c>
      <c r="T10" s="32">
        <f t="shared" si="6"/>
        <v>1763.4222292101169</v>
      </c>
    </row>
    <row r="11" spans="1:20" x14ac:dyDescent="0.3">
      <c r="A11" s="7">
        <v>10009174</v>
      </c>
      <c r="B11" s="7" t="s">
        <v>11</v>
      </c>
      <c r="C11" s="2">
        <v>0</v>
      </c>
      <c r="D11" s="3"/>
      <c r="E11" s="4">
        <v>0</v>
      </c>
      <c r="H11" s="25"/>
      <c r="J11" s="27">
        <v>-7.0000000000000007E-2</v>
      </c>
      <c r="K11" s="28">
        <f t="shared" si="7"/>
        <v>0</v>
      </c>
      <c r="L11" s="29">
        <f t="shared" si="3"/>
        <v>0</v>
      </c>
      <c r="M11" s="30">
        <f t="shared" si="4"/>
        <v>0</v>
      </c>
      <c r="N11" s="29">
        <f t="shared" si="0"/>
        <v>0</v>
      </c>
      <c r="O11" s="29">
        <f t="shared" si="1"/>
        <v>0</v>
      </c>
      <c r="P11" s="29">
        <f t="shared" si="2"/>
        <v>0</v>
      </c>
      <c r="Q11" s="29">
        <v>0</v>
      </c>
      <c r="R11" s="31">
        <v>0</v>
      </c>
      <c r="S11" s="32">
        <f t="shared" si="5"/>
        <v>0</v>
      </c>
      <c r="T11" s="32">
        <f t="shared" si="6"/>
        <v>0</v>
      </c>
    </row>
    <row r="12" spans="1:20" x14ac:dyDescent="0.3">
      <c r="A12" s="7">
        <v>10009175</v>
      </c>
      <c r="B12" s="7" t="s">
        <v>12</v>
      </c>
      <c r="C12" s="2">
        <v>0</v>
      </c>
      <c r="D12" s="3"/>
      <c r="E12" s="4">
        <v>0</v>
      </c>
      <c r="H12" s="25"/>
      <c r="J12" s="27">
        <v>-7.0000000000000007E-2</v>
      </c>
      <c r="K12" s="28">
        <f t="shared" si="7"/>
        <v>0</v>
      </c>
      <c r="L12" s="29">
        <f t="shared" si="3"/>
        <v>0</v>
      </c>
      <c r="M12" s="30">
        <f t="shared" si="4"/>
        <v>0</v>
      </c>
      <c r="N12" s="29">
        <f t="shared" si="0"/>
        <v>0</v>
      </c>
      <c r="O12" s="29">
        <f t="shared" si="1"/>
        <v>0</v>
      </c>
      <c r="P12" s="29">
        <f t="shared" si="2"/>
        <v>0</v>
      </c>
      <c r="Q12" s="29">
        <v>0</v>
      </c>
      <c r="R12" s="31">
        <v>0</v>
      </c>
      <c r="S12" s="32">
        <f t="shared" si="5"/>
        <v>0</v>
      </c>
      <c r="T12" s="32">
        <f t="shared" si="6"/>
        <v>0</v>
      </c>
    </row>
    <row r="13" spans="1:20" x14ac:dyDescent="0.3">
      <c r="A13" s="7">
        <v>10009176</v>
      </c>
      <c r="B13" s="7" t="s">
        <v>13</v>
      </c>
      <c r="C13" s="2">
        <v>0</v>
      </c>
      <c r="D13" s="3"/>
      <c r="E13" s="4">
        <v>0</v>
      </c>
      <c r="H13" s="25"/>
      <c r="J13" s="27">
        <v>-7.0000000000000007E-2</v>
      </c>
      <c r="K13" s="28">
        <f t="shared" si="7"/>
        <v>0</v>
      </c>
      <c r="L13" s="29">
        <f t="shared" si="3"/>
        <v>0</v>
      </c>
      <c r="M13" s="30">
        <f t="shared" si="4"/>
        <v>0</v>
      </c>
      <c r="N13" s="29">
        <f t="shared" si="0"/>
        <v>0</v>
      </c>
      <c r="O13" s="29">
        <f t="shared" si="1"/>
        <v>0</v>
      </c>
      <c r="P13" s="29">
        <f t="shared" si="2"/>
        <v>0</v>
      </c>
      <c r="Q13" s="29">
        <v>0</v>
      </c>
      <c r="R13" s="31">
        <v>0</v>
      </c>
      <c r="S13" s="32">
        <f t="shared" si="5"/>
        <v>0</v>
      </c>
      <c r="T13" s="32">
        <f t="shared" si="6"/>
        <v>0</v>
      </c>
    </row>
    <row r="14" spans="1:20" x14ac:dyDescent="0.3">
      <c r="A14" s="7">
        <v>10010003</v>
      </c>
      <c r="B14" s="7" t="s">
        <v>14</v>
      </c>
      <c r="C14" s="2">
        <v>0</v>
      </c>
      <c r="D14" s="3"/>
      <c r="E14" s="4">
        <v>0</v>
      </c>
      <c r="H14" s="25"/>
      <c r="J14" s="27">
        <v>-7.0000000000000007E-2</v>
      </c>
      <c r="K14" s="28">
        <f t="shared" si="7"/>
        <v>0</v>
      </c>
      <c r="L14" s="29">
        <f t="shared" si="3"/>
        <v>0</v>
      </c>
      <c r="M14" s="30">
        <f t="shared" si="4"/>
        <v>0</v>
      </c>
      <c r="N14" s="29">
        <f t="shared" si="0"/>
        <v>0</v>
      </c>
      <c r="O14" s="29">
        <f t="shared" si="1"/>
        <v>0</v>
      </c>
      <c r="P14" s="29">
        <f t="shared" si="2"/>
        <v>0</v>
      </c>
      <c r="Q14" s="29">
        <v>0</v>
      </c>
      <c r="R14" s="31">
        <v>0</v>
      </c>
      <c r="S14" s="32">
        <f t="shared" si="5"/>
        <v>0</v>
      </c>
      <c r="T14" s="32">
        <f t="shared" si="6"/>
        <v>0</v>
      </c>
    </row>
    <row r="15" spans="1:20" x14ac:dyDescent="0.3">
      <c r="A15" s="7">
        <v>10009177</v>
      </c>
      <c r="B15" s="7" t="s">
        <v>15</v>
      </c>
      <c r="C15" s="2">
        <v>0</v>
      </c>
      <c r="D15" s="3"/>
      <c r="E15" s="4">
        <v>0</v>
      </c>
      <c r="H15" s="25"/>
      <c r="J15" s="27">
        <v>-7.0000000000000007E-2</v>
      </c>
      <c r="K15" s="28">
        <f t="shared" si="7"/>
        <v>0</v>
      </c>
      <c r="L15" s="29">
        <f t="shared" si="3"/>
        <v>0</v>
      </c>
      <c r="M15" s="30">
        <f t="shared" si="4"/>
        <v>0</v>
      </c>
      <c r="N15" s="29">
        <f t="shared" si="0"/>
        <v>0</v>
      </c>
      <c r="O15" s="29">
        <f t="shared" si="1"/>
        <v>0</v>
      </c>
      <c r="P15" s="29">
        <f t="shared" si="2"/>
        <v>0</v>
      </c>
      <c r="Q15" s="29">
        <v>0</v>
      </c>
      <c r="R15" s="31">
        <v>0</v>
      </c>
      <c r="S15" s="32">
        <f t="shared" si="5"/>
        <v>0</v>
      </c>
      <c r="T15" s="32">
        <f t="shared" si="6"/>
        <v>0</v>
      </c>
    </row>
    <row r="16" spans="1:20" x14ac:dyDescent="0.3">
      <c r="A16" s="9">
        <v>10004433</v>
      </c>
      <c r="B16" s="9" t="s">
        <v>16</v>
      </c>
      <c r="C16" s="2">
        <v>1400</v>
      </c>
      <c r="D16" s="3"/>
      <c r="E16" s="4">
        <v>1400</v>
      </c>
      <c r="G16" s="34">
        <v>10005721</v>
      </c>
      <c r="H16" s="25">
        <f>IFERROR(INDEX([1]Resumen!$K$3:$K$63,MATCH(G16,[1]Resumen!$C$3:$C$63,0)),0)*(1+I16*J16)/1000-51.89/1000</f>
        <v>1.9845861732240995</v>
      </c>
      <c r="I16" s="26">
        <v>0.67</v>
      </c>
      <c r="J16" s="27">
        <v>-7.0000000000000007E-2</v>
      </c>
      <c r="K16" s="28">
        <f t="shared" si="7"/>
        <v>1.4</v>
      </c>
      <c r="L16" s="29">
        <f t="shared" si="3"/>
        <v>2778.420642513739</v>
      </c>
      <c r="M16" s="30">
        <f t="shared" si="4"/>
        <v>290.976</v>
      </c>
      <c r="N16" s="29">
        <f t="shared" si="0"/>
        <v>88.309084122352473</v>
      </c>
      <c r="O16" s="29">
        <f t="shared" si="1"/>
        <v>173.60069677181122</v>
      </c>
      <c r="P16" s="29">
        <f t="shared" si="2"/>
        <v>138.77486162898504</v>
      </c>
      <c r="Q16" s="29">
        <v>0</v>
      </c>
      <c r="R16" s="31">
        <v>0</v>
      </c>
      <c r="S16" s="32">
        <f t="shared" si="5"/>
        <v>3331.3064234079029</v>
      </c>
      <c r="T16" s="32">
        <f t="shared" si="6"/>
        <v>2379.5045881485021</v>
      </c>
    </row>
    <row r="17" spans="1:20" x14ac:dyDescent="0.3">
      <c r="A17" s="9">
        <v>10004434</v>
      </c>
      <c r="B17" s="9" t="s">
        <v>17</v>
      </c>
      <c r="C17" s="2">
        <v>1940</v>
      </c>
      <c r="D17" s="3">
        <v>1940</v>
      </c>
      <c r="E17" s="4">
        <v>0</v>
      </c>
      <c r="G17" s="34">
        <v>10005721</v>
      </c>
      <c r="H17" s="25">
        <f>IFERROR(INDEX([1]Resumen!$K$3:$K$63,MATCH(G17,[1]Resumen!$C$3:$C$63,0)),0)*(1+I17*J17)/1000-51.89/1000</f>
        <v>1.9845861732240995</v>
      </c>
      <c r="I17" s="27">
        <v>0.67</v>
      </c>
      <c r="J17" s="27">
        <v>-7.0000000000000007E-2</v>
      </c>
      <c r="K17" s="28">
        <f t="shared" si="7"/>
        <v>0</v>
      </c>
      <c r="L17" s="29">
        <f t="shared" si="3"/>
        <v>0</v>
      </c>
      <c r="M17" s="30">
        <f t="shared" si="4"/>
        <v>0</v>
      </c>
      <c r="N17" s="29">
        <f t="shared" si="0"/>
        <v>0</v>
      </c>
      <c r="O17" s="29">
        <f t="shared" si="1"/>
        <v>0</v>
      </c>
      <c r="P17" s="29">
        <f t="shared" si="2"/>
        <v>0</v>
      </c>
      <c r="Q17" s="29">
        <v>0</v>
      </c>
      <c r="R17" s="31">
        <v>0</v>
      </c>
      <c r="S17" s="32">
        <f t="shared" si="5"/>
        <v>0</v>
      </c>
      <c r="T17" s="32">
        <f t="shared" si="6"/>
        <v>0</v>
      </c>
    </row>
    <row r="18" spans="1:20" x14ac:dyDescent="0.3">
      <c r="A18" s="9">
        <v>10004435</v>
      </c>
      <c r="B18" s="9" t="s">
        <v>18</v>
      </c>
      <c r="C18" s="2">
        <v>14400</v>
      </c>
      <c r="D18" s="3"/>
      <c r="E18" s="4">
        <v>14400</v>
      </c>
      <c r="G18" s="34">
        <v>10005721</v>
      </c>
      <c r="H18" s="25">
        <f>IFERROR(INDEX([1]Resumen!$K$3:$K$63,MATCH(G18,[1]Resumen!$C$3:$C$63,0)),0)*(1+I18*J18)/1000-51.89/1000</f>
        <v>1.9845861732240995</v>
      </c>
      <c r="I18" s="27">
        <v>0.67</v>
      </c>
      <c r="J18" s="27">
        <v>-7.0000000000000007E-2</v>
      </c>
      <c r="K18" s="28">
        <f t="shared" si="7"/>
        <v>14.4</v>
      </c>
      <c r="L18" s="29">
        <f t="shared" si="3"/>
        <v>28578.040894427035</v>
      </c>
      <c r="M18" s="30">
        <f t="shared" si="4"/>
        <v>2992.8960000000002</v>
      </c>
      <c r="N18" s="29">
        <f t="shared" si="0"/>
        <v>908.32200811562552</v>
      </c>
      <c r="O18" s="29">
        <f t="shared" si="1"/>
        <v>1785.6071667957726</v>
      </c>
      <c r="P18" s="29">
        <f t="shared" si="2"/>
        <v>1427.3985767552749</v>
      </c>
      <c r="Q18" s="29">
        <v>0</v>
      </c>
      <c r="R18" s="31">
        <v>0</v>
      </c>
      <c r="S18" s="32">
        <f t="shared" si="5"/>
        <v>34264.86606933843</v>
      </c>
      <c r="T18" s="32">
        <f t="shared" si="6"/>
        <v>2379.5045881485021</v>
      </c>
    </row>
    <row r="19" spans="1:20" x14ac:dyDescent="0.3">
      <c r="A19" s="7">
        <v>10005708</v>
      </c>
      <c r="B19" s="7" t="s">
        <v>19</v>
      </c>
      <c r="C19" s="2">
        <v>1080</v>
      </c>
      <c r="D19" s="3"/>
      <c r="E19" s="4">
        <v>1080</v>
      </c>
      <c r="G19" s="34">
        <v>10005721</v>
      </c>
      <c r="H19" s="25">
        <f>IFERROR(INDEX([1]Resumen!$K$3:$K$63,MATCH(G19,[1]Resumen!$C$3:$C$63,0)),0)*(1+I19*J19)/1000-51.89/1000</f>
        <v>1.9845861732240995</v>
      </c>
      <c r="I19" s="27">
        <v>0.67</v>
      </c>
      <c r="J19" s="27">
        <v>-7.0000000000000007E-2</v>
      </c>
      <c r="K19" s="28">
        <f t="shared" si="7"/>
        <v>1.08</v>
      </c>
      <c r="L19" s="29">
        <f t="shared" si="3"/>
        <v>2143.3530670820278</v>
      </c>
      <c r="M19" s="30">
        <f t="shared" si="4"/>
        <v>224.46720000000002</v>
      </c>
      <c r="N19" s="29">
        <f t="shared" si="0"/>
        <v>68.124150608671911</v>
      </c>
      <c r="O19" s="29">
        <f t="shared" si="1"/>
        <v>133.92053750968296</v>
      </c>
      <c r="P19" s="29">
        <f t="shared" si="2"/>
        <v>107.05489325664561</v>
      </c>
      <c r="Q19" s="29">
        <v>0</v>
      </c>
      <c r="R19" s="31">
        <v>0</v>
      </c>
      <c r="S19" s="32">
        <f t="shared" si="5"/>
        <v>2569.8649552003826</v>
      </c>
      <c r="T19" s="32">
        <f t="shared" si="6"/>
        <v>2379.5045881485021</v>
      </c>
    </row>
    <row r="20" spans="1:20" x14ac:dyDescent="0.3">
      <c r="A20" s="6">
        <v>10005721</v>
      </c>
      <c r="B20" s="6" t="s">
        <v>20</v>
      </c>
      <c r="C20" s="2">
        <v>530420</v>
      </c>
      <c r="D20" s="3"/>
      <c r="E20" s="4">
        <v>530420</v>
      </c>
      <c r="G20" s="34">
        <v>10005721</v>
      </c>
      <c r="H20" s="25">
        <f>IFERROR(INDEX([1]Resumen!$K$3:$K$63,MATCH(G20,[1]Resumen!$C$3:$C$63,0)),0)*(1+I20*J20)/1000-51.89/1000</f>
        <v>1.9845861732240995</v>
      </c>
      <c r="I20" s="27">
        <v>0.67</v>
      </c>
      <c r="J20" s="27">
        <v>-7.0000000000000007E-2</v>
      </c>
      <c r="K20" s="28">
        <f t="shared" si="7"/>
        <v>530.41999999999996</v>
      </c>
      <c r="L20" s="29">
        <f t="shared" si="3"/>
        <v>1052664.1980015268</v>
      </c>
      <c r="M20" s="30">
        <f t="shared" si="4"/>
        <v>110242.49279999999</v>
      </c>
      <c r="N20" s="29">
        <f t="shared" si="0"/>
        <v>33457.788857270141</v>
      </c>
      <c r="O20" s="29">
        <f t="shared" si="1"/>
        <v>65772.343986931504</v>
      </c>
      <c r="P20" s="29">
        <f t="shared" si="2"/>
        <v>52577.830075175887</v>
      </c>
      <c r="Q20" s="29">
        <v>0</v>
      </c>
      <c r="R20" s="31">
        <v>0</v>
      </c>
      <c r="S20" s="32">
        <f t="shared" si="5"/>
        <v>1262136.8236457282</v>
      </c>
      <c r="T20" s="32">
        <f t="shared" si="6"/>
        <v>2379.5045881485016</v>
      </c>
    </row>
    <row r="21" spans="1:20" x14ac:dyDescent="0.3">
      <c r="A21" s="7">
        <v>10005711</v>
      </c>
      <c r="B21" s="7" t="s">
        <v>21</v>
      </c>
      <c r="C21" s="2">
        <v>11340</v>
      </c>
      <c r="D21" s="3"/>
      <c r="E21" s="4">
        <v>11340</v>
      </c>
      <c r="G21" s="34">
        <v>10005721</v>
      </c>
      <c r="H21" s="25">
        <f>IFERROR(INDEX([1]Resumen!$K$3:$K$63,MATCH(G21,[1]Resumen!$C$3:$C$63,0)),0)*(1+I21*J21)/1000-51.89/1000</f>
        <v>1.9845861732240995</v>
      </c>
      <c r="I21" s="27">
        <v>0.67</v>
      </c>
      <c r="J21" s="27">
        <v>-7.0000000000000007E-2</v>
      </c>
      <c r="K21" s="28">
        <f t="shared" si="7"/>
        <v>11.34</v>
      </c>
      <c r="L21" s="29">
        <f t="shared" si="3"/>
        <v>22505.207204361286</v>
      </c>
      <c r="M21" s="30">
        <f t="shared" si="4"/>
        <v>2356.9056</v>
      </c>
      <c r="N21" s="29">
        <f t="shared" si="0"/>
        <v>715.3035813910551</v>
      </c>
      <c r="O21" s="29">
        <f t="shared" si="1"/>
        <v>1406.1656438516709</v>
      </c>
      <c r="P21" s="29">
        <f t="shared" si="2"/>
        <v>1124.0763791947788</v>
      </c>
      <c r="Q21" s="29">
        <v>0</v>
      </c>
      <c r="R21" s="31">
        <v>0</v>
      </c>
      <c r="S21" s="32">
        <f t="shared" si="5"/>
        <v>26983.582029604007</v>
      </c>
      <c r="T21" s="32">
        <f t="shared" si="6"/>
        <v>2379.5045881485016</v>
      </c>
    </row>
    <row r="22" spans="1:20" x14ac:dyDescent="0.3">
      <c r="A22" s="7">
        <v>10005718</v>
      </c>
      <c r="B22" s="7" t="s">
        <v>22</v>
      </c>
      <c r="C22" s="2">
        <v>90580</v>
      </c>
      <c r="D22" s="3">
        <v>96840</v>
      </c>
      <c r="E22" s="10">
        <v>-6260</v>
      </c>
      <c r="G22" s="34">
        <v>10005721</v>
      </c>
      <c r="H22" s="25">
        <f>IFERROR(INDEX([1]Resumen!$K$3:$K$63,MATCH(G22,[1]Resumen!$C$3:$C$63,0)),0)*(1+I22*J22)/1000-51.89/1000</f>
        <v>1.9845861732240995</v>
      </c>
      <c r="I22" s="27">
        <v>0.67</v>
      </c>
      <c r="J22" s="27">
        <v>-7.0000000000000007E-2</v>
      </c>
      <c r="K22" s="28">
        <f t="shared" si="7"/>
        <v>0</v>
      </c>
      <c r="L22" s="29">
        <f t="shared" si="3"/>
        <v>0</v>
      </c>
      <c r="M22" s="30">
        <f t="shared" si="4"/>
        <v>0</v>
      </c>
      <c r="N22" s="29">
        <f t="shared" si="0"/>
        <v>0</v>
      </c>
      <c r="O22" s="29">
        <f t="shared" si="1"/>
        <v>0</v>
      </c>
      <c r="P22" s="29">
        <f t="shared" si="2"/>
        <v>0</v>
      </c>
      <c r="Q22" s="29">
        <v>0</v>
      </c>
      <c r="R22" s="31">
        <v>0</v>
      </c>
      <c r="S22" s="32">
        <f t="shared" si="5"/>
        <v>0</v>
      </c>
      <c r="T22" s="32">
        <f t="shared" si="6"/>
        <v>0</v>
      </c>
    </row>
    <row r="23" spans="1:20" x14ac:dyDescent="0.3">
      <c r="A23" s="11">
        <v>10009971</v>
      </c>
      <c r="B23" s="11" t="s">
        <v>23</v>
      </c>
      <c r="C23" s="2">
        <v>0</v>
      </c>
      <c r="D23" s="3"/>
      <c r="E23" s="4">
        <v>0</v>
      </c>
      <c r="G23" s="34">
        <v>10005721</v>
      </c>
      <c r="H23" s="25">
        <f>IFERROR(INDEX([1]Resumen!$K$3:$K$63,MATCH(G23,[1]Resumen!$C$3:$C$63,0)),0)*(1+I23*J23)/1000-51.89/1000</f>
        <v>1.9845861732240995</v>
      </c>
      <c r="I23" s="27">
        <v>0.67</v>
      </c>
      <c r="J23" s="27">
        <v>-7.0000000000000007E-2</v>
      </c>
      <c r="K23" s="28">
        <f t="shared" si="7"/>
        <v>0</v>
      </c>
      <c r="L23" s="29">
        <f t="shared" si="3"/>
        <v>0</v>
      </c>
      <c r="M23" s="30">
        <f t="shared" si="4"/>
        <v>0</v>
      </c>
      <c r="N23" s="29">
        <f t="shared" si="0"/>
        <v>0</v>
      </c>
      <c r="O23" s="29">
        <f t="shared" si="1"/>
        <v>0</v>
      </c>
      <c r="P23" s="29">
        <f t="shared" si="2"/>
        <v>0</v>
      </c>
      <c r="Q23" s="29">
        <v>0</v>
      </c>
      <c r="R23" s="31">
        <v>0</v>
      </c>
      <c r="S23" s="32">
        <f t="shared" si="5"/>
        <v>0</v>
      </c>
      <c r="T23" s="32">
        <f t="shared" si="6"/>
        <v>0</v>
      </c>
    </row>
    <row r="24" spans="1:20" x14ac:dyDescent="0.3">
      <c r="A24" s="11">
        <v>10009972</v>
      </c>
      <c r="B24" s="11" t="s">
        <v>24</v>
      </c>
      <c r="C24" s="2">
        <v>20220</v>
      </c>
      <c r="D24" s="3">
        <v>20220</v>
      </c>
      <c r="E24" s="4">
        <v>0</v>
      </c>
      <c r="G24" s="34">
        <v>10005721</v>
      </c>
      <c r="H24" s="25">
        <f>IFERROR(INDEX([1]Resumen!$K$3:$K$63,MATCH(G24,[1]Resumen!$C$3:$C$63,0)),0)*(1+I24*J24)/1000-51.89/1000</f>
        <v>1.9845861732240995</v>
      </c>
      <c r="I24" s="27">
        <v>0.67</v>
      </c>
      <c r="J24" s="27">
        <v>-7.0000000000000007E-2</v>
      </c>
      <c r="K24" s="28">
        <f t="shared" si="7"/>
        <v>0</v>
      </c>
      <c r="L24" s="29">
        <f t="shared" si="3"/>
        <v>0</v>
      </c>
      <c r="M24" s="30">
        <f t="shared" si="4"/>
        <v>0</v>
      </c>
      <c r="N24" s="29">
        <f t="shared" si="0"/>
        <v>0</v>
      </c>
      <c r="O24" s="29">
        <f t="shared" si="1"/>
        <v>0</v>
      </c>
      <c r="P24" s="29">
        <f t="shared" si="2"/>
        <v>0</v>
      </c>
      <c r="Q24" s="29">
        <v>0</v>
      </c>
      <c r="R24" s="31">
        <v>0</v>
      </c>
      <c r="S24" s="32">
        <f t="shared" si="5"/>
        <v>0</v>
      </c>
      <c r="T24" s="32">
        <f t="shared" si="6"/>
        <v>0</v>
      </c>
    </row>
    <row r="25" spans="1:20" x14ac:dyDescent="0.3">
      <c r="A25" s="11">
        <v>10010063</v>
      </c>
      <c r="B25" s="11" t="s">
        <v>25</v>
      </c>
      <c r="C25" s="2">
        <v>0</v>
      </c>
      <c r="D25" s="3">
        <v>0</v>
      </c>
      <c r="E25" s="4">
        <v>0</v>
      </c>
      <c r="G25" s="34">
        <v>10005721</v>
      </c>
      <c r="H25" s="25">
        <f>IFERROR(INDEX([1]Resumen!$K$3:$K$63,MATCH(G25,[1]Resumen!$C$3:$C$63,0)),0)*(1+I25*J25)/1000-51.89/1000</f>
        <v>1.9845861732240995</v>
      </c>
      <c r="I25" s="27">
        <v>0.67</v>
      </c>
      <c r="J25" s="27">
        <v>-7.0000000000000007E-2</v>
      </c>
      <c r="K25" s="28">
        <f t="shared" si="7"/>
        <v>0</v>
      </c>
      <c r="L25" s="29">
        <f t="shared" si="3"/>
        <v>0</v>
      </c>
      <c r="M25" s="30">
        <f t="shared" si="4"/>
        <v>0</v>
      </c>
      <c r="N25" s="29">
        <f t="shared" si="0"/>
        <v>0</v>
      </c>
      <c r="O25" s="29">
        <f t="shared" si="1"/>
        <v>0</v>
      </c>
      <c r="P25" s="29">
        <f t="shared" si="2"/>
        <v>0</v>
      </c>
      <c r="Q25" s="29">
        <v>0</v>
      </c>
      <c r="R25" s="31">
        <v>0</v>
      </c>
      <c r="S25" s="32">
        <f t="shared" si="5"/>
        <v>0</v>
      </c>
      <c r="T25" s="32">
        <f t="shared" si="6"/>
        <v>0</v>
      </c>
    </row>
    <row r="26" spans="1:20" x14ac:dyDescent="0.3">
      <c r="A26" s="6">
        <v>10009298</v>
      </c>
      <c r="B26" s="6" t="s">
        <v>26</v>
      </c>
      <c r="C26" s="2">
        <v>3200</v>
      </c>
      <c r="D26" s="3"/>
      <c r="E26" s="4">
        <v>3200</v>
      </c>
      <c r="G26" s="34">
        <v>10005721</v>
      </c>
      <c r="H26" s="25">
        <f>IFERROR(INDEX([1]Resumen!$K$3:$K$63,MATCH(G26,[1]Resumen!$C$3:$C$63,0)),0)*(1+I26*J26)/1000-51.89/1000</f>
        <v>1.9845861732240995</v>
      </c>
      <c r="I26" s="27">
        <v>0.67</v>
      </c>
      <c r="J26" s="27">
        <v>-7.0000000000000007E-2</v>
      </c>
      <c r="K26" s="28">
        <f>IF(E26&lt;0,0,E26)/1000</f>
        <v>3.2</v>
      </c>
      <c r="L26" s="29">
        <f t="shared" si="3"/>
        <v>6350.6757543171188</v>
      </c>
      <c r="M26" s="30">
        <f t="shared" si="4"/>
        <v>665.08800000000008</v>
      </c>
      <c r="N26" s="29">
        <f t="shared" si="0"/>
        <v>201.84933513680568</v>
      </c>
      <c r="O26" s="29">
        <f t="shared" si="1"/>
        <v>396.80159262128285</v>
      </c>
      <c r="P26" s="29">
        <f t="shared" si="2"/>
        <v>317.1996837233944</v>
      </c>
      <c r="Q26" s="29">
        <v>0</v>
      </c>
      <c r="R26" s="31">
        <v>0</v>
      </c>
      <c r="S26" s="32">
        <f t="shared" si="5"/>
        <v>7614.4146820752076</v>
      </c>
      <c r="T26" s="32">
        <f t="shared" si="6"/>
        <v>2379.5045881485021</v>
      </c>
    </row>
    <row r="27" spans="1:20" x14ac:dyDescent="0.3">
      <c r="A27" s="12">
        <v>10009184</v>
      </c>
      <c r="B27" s="12" t="s">
        <v>27</v>
      </c>
      <c r="C27" s="2">
        <v>93080</v>
      </c>
      <c r="D27" s="3"/>
      <c r="E27" s="4">
        <v>93080</v>
      </c>
      <c r="G27" s="35">
        <v>10005779</v>
      </c>
      <c r="H27" s="25">
        <f>IFERROR(INDEX([1]Resumen!$K$3:$K$63,MATCH(G27,[1]Resumen!$C$3:$C$63,0)),0)*(1+I27*J27)/1000-51.89/1000</f>
        <v>1.622010395638348</v>
      </c>
      <c r="I27" s="26">
        <v>0.65</v>
      </c>
      <c r="J27" s="27">
        <v>-7.0000000000000007E-2</v>
      </c>
      <c r="K27" s="28">
        <f>IF(E27&lt;0,0,E27)/1000</f>
        <v>93.08</v>
      </c>
      <c r="L27" s="29">
        <f t="shared" si="3"/>
        <v>150976.72762601744</v>
      </c>
      <c r="M27" s="30">
        <f t="shared" si="4"/>
        <v>19345.747200000002</v>
      </c>
      <c r="N27" s="29">
        <f t="shared" si="0"/>
        <v>5871.2925357918348</v>
      </c>
      <c r="O27" s="29">
        <f t="shared" si="1"/>
        <v>11541.966325371564</v>
      </c>
      <c r="P27" s="29">
        <f t="shared" si="2"/>
        <v>9226.5458003042349</v>
      </c>
      <c r="Q27" s="29">
        <v>0</v>
      </c>
      <c r="R27" s="31">
        <v>0</v>
      </c>
      <c r="S27" s="32">
        <f t="shared" si="5"/>
        <v>187735.73368718085</v>
      </c>
      <c r="T27" s="32">
        <f t="shared" si="6"/>
        <v>2016.9288105627509</v>
      </c>
    </row>
    <row r="28" spans="1:20" x14ac:dyDescent="0.3">
      <c r="A28" s="7">
        <v>10009271</v>
      </c>
      <c r="B28" s="7" t="s">
        <v>28</v>
      </c>
      <c r="C28" s="2">
        <v>40100</v>
      </c>
      <c r="D28" s="3"/>
      <c r="E28" s="4">
        <v>40100</v>
      </c>
      <c r="G28" s="35">
        <v>10005779</v>
      </c>
      <c r="H28" s="25">
        <f>IFERROR(INDEX([1]Resumen!$K$3:$K$63,MATCH(G28,[1]Resumen!$C$3:$C$63,0)),0)*(1+I28*J28)/1000-51.89/1000</f>
        <v>1.622010395638348</v>
      </c>
      <c r="I28" s="27">
        <v>0.65</v>
      </c>
      <c r="J28" s="27">
        <v>-7.0000000000000007E-2</v>
      </c>
      <c r="K28" s="28">
        <f>IF(E28&lt;0,0,E28)/1000</f>
        <v>40.1</v>
      </c>
      <c r="L28" s="29">
        <f t="shared" si="3"/>
        <v>65042.616865097756</v>
      </c>
      <c r="M28" s="30">
        <f t="shared" si="4"/>
        <v>8334.384</v>
      </c>
      <c r="N28" s="29">
        <f t="shared" si="0"/>
        <v>2529.4244809330962</v>
      </c>
      <c r="O28" s="29">
        <f t="shared" si="1"/>
        <v>4972.4199575354505</v>
      </c>
      <c r="P28" s="29">
        <f t="shared" si="2"/>
        <v>3974.908536658786</v>
      </c>
      <c r="Q28" s="29">
        <v>0</v>
      </c>
      <c r="R28" s="31">
        <v>0</v>
      </c>
      <c r="S28" s="32">
        <f t="shared" si="5"/>
        <v>80878.845303566311</v>
      </c>
      <c r="T28" s="32">
        <f t="shared" si="6"/>
        <v>2016.9288105627509</v>
      </c>
    </row>
    <row r="29" spans="1:20" x14ac:dyDescent="0.3">
      <c r="A29" s="7">
        <v>10009183</v>
      </c>
      <c r="B29" s="7" t="s">
        <v>29</v>
      </c>
      <c r="C29" s="2">
        <v>1040</v>
      </c>
      <c r="D29" s="3"/>
      <c r="E29" s="4">
        <v>1040</v>
      </c>
      <c r="G29" s="35">
        <v>10005779</v>
      </c>
      <c r="H29" s="25">
        <f>IFERROR(INDEX([1]Resumen!$K$3:$K$63,MATCH(G29,[1]Resumen!$C$3:$C$63,0)),0)*(1+I29*J29)/1000-51.89/1000</f>
        <v>1.622010395638348</v>
      </c>
      <c r="I29" s="27">
        <v>0.65</v>
      </c>
      <c r="J29" s="27">
        <v>-7.0000000000000007E-2</v>
      </c>
      <c r="K29" s="28">
        <f t="shared" si="7"/>
        <v>1.04</v>
      </c>
      <c r="L29" s="29">
        <f t="shared" si="3"/>
        <v>1686.8908114638821</v>
      </c>
      <c r="M29" s="30">
        <f t="shared" si="4"/>
        <v>216.15360000000001</v>
      </c>
      <c r="N29" s="29">
        <f t="shared" si="0"/>
        <v>65.601033919461841</v>
      </c>
      <c r="O29" s="29">
        <f t="shared" si="1"/>
        <v>128.96051760191693</v>
      </c>
      <c r="P29" s="29">
        <f t="shared" si="2"/>
        <v>103.08989721010319</v>
      </c>
      <c r="Q29" s="29">
        <v>0</v>
      </c>
      <c r="R29" s="31">
        <v>0</v>
      </c>
      <c r="S29" s="32">
        <f t="shared" si="5"/>
        <v>2097.6059629852607</v>
      </c>
      <c r="T29" s="32">
        <f t="shared" si="6"/>
        <v>2016.9288105627506</v>
      </c>
    </row>
    <row r="30" spans="1:20" x14ac:dyDescent="0.3">
      <c r="A30" s="12">
        <v>10005779</v>
      </c>
      <c r="B30" s="12" t="s">
        <v>30</v>
      </c>
      <c r="C30" s="2">
        <v>53520</v>
      </c>
      <c r="D30" s="3">
        <v>24000</v>
      </c>
      <c r="E30" s="4">
        <v>29520</v>
      </c>
      <c r="G30" s="35">
        <v>10005779</v>
      </c>
      <c r="H30" s="25">
        <f>IFERROR(INDEX([1]Resumen!$K$3:$K$63,MATCH(G30,[1]Resumen!$C$3:$C$63,0)),0)*(1+I30*J30)/1000-51.89/1000</f>
        <v>1.622010395638348</v>
      </c>
      <c r="I30" s="27">
        <v>0.65</v>
      </c>
      <c r="J30" s="27">
        <v>-7.0000000000000007E-2</v>
      </c>
      <c r="K30" s="28">
        <f t="shared" si="7"/>
        <v>29.52</v>
      </c>
      <c r="L30" s="29">
        <f t="shared" si="3"/>
        <v>47881.746879244034</v>
      </c>
      <c r="M30" s="30">
        <f t="shared" si="4"/>
        <v>6135.4368000000004</v>
      </c>
      <c r="N30" s="29">
        <f t="shared" si="0"/>
        <v>1862.0601166370323</v>
      </c>
      <c r="O30" s="29">
        <f t="shared" si="1"/>
        <v>3660.4946919313338</v>
      </c>
      <c r="P30" s="29">
        <f t="shared" si="2"/>
        <v>2926.1670823483132</v>
      </c>
      <c r="Q30" s="29">
        <v>0</v>
      </c>
      <c r="R30" s="31">
        <v>0</v>
      </c>
      <c r="S30" s="32">
        <f t="shared" si="5"/>
        <v>59539.738487812407</v>
      </c>
      <c r="T30" s="32">
        <f t="shared" si="6"/>
        <v>2016.9288105627509</v>
      </c>
    </row>
    <row r="31" spans="1:20" x14ac:dyDescent="0.3">
      <c r="A31" s="12">
        <v>10005776</v>
      </c>
      <c r="B31" s="12" t="s">
        <v>31</v>
      </c>
      <c r="C31" s="2">
        <v>130180</v>
      </c>
      <c r="D31" s="3">
        <v>58000</v>
      </c>
      <c r="E31" s="4">
        <v>72180</v>
      </c>
      <c r="G31" s="35">
        <v>10005779</v>
      </c>
      <c r="H31" s="25">
        <f>IFERROR(INDEX([1]Resumen!$K$3:$K$63,MATCH(G31,[1]Resumen!$C$3:$C$63,0)),0)*(1+I31*J31)/1000-51.89/1000</f>
        <v>1.622010395638348</v>
      </c>
      <c r="I31" s="27">
        <v>0.65</v>
      </c>
      <c r="J31" s="27">
        <v>-7.0000000000000007E-2</v>
      </c>
      <c r="K31" s="28">
        <f t="shared" si="7"/>
        <v>72.180000000000007</v>
      </c>
      <c r="L31" s="29">
        <f t="shared" si="3"/>
        <v>117076.71035717597</v>
      </c>
      <c r="M31" s="30">
        <f t="shared" si="4"/>
        <v>15001.891200000002</v>
      </c>
      <c r="N31" s="29">
        <f t="shared" si="0"/>
        <v>4552.9640656795737</v>
      </c>
      <c r="O31" s="29">
        <f t="shared" si="1"/>
        <v>8950.3559235638113</v>
      </c>
      <c r="P31" s="29">
        <f t="shared" si="2"/>
        <v>7154.8353659858158</v>
      </c>
      <c r="Q31" s="29">
        <v>0</v>
      </c>
      <c r="R31" s="31">
        <v>0</v>
      </c>
      <c r="S31" s="32">
        <f t="shared" si="5"/>
        <v>145581.92154641938</v>
      </c>
      <c r="T31" s="32">
        <f t="shared" si="6"/>
        <v>2016.9288105627511</v>
      </c>
    </row>
    <row r="32" spans="1:20" x14ac:dyDescent="0.3">
      <c r="A32" s="12">
        <v>10005781</v>
      </c>
      <c r="B32" s="12" t="s">
        <v>32</v>
      </c>
      <c r="C32" s="2">
        <v>4400</v>
      </c>
      <c r="D32" s="3">
        <v>104000</v>
      </c>
      <c r="E32" s="10">
        <v>-99600</v>
      </c>
      <c r="G32" s="35">
        <v>10005779</v>
      </c>
      <c r="H32" s="25">
        <f>IFERROR(INDEX([1]Resumen!$K$3:$K$63,MATCH(G32,[1]Resumen!$C$3:$C$63,0)),0)*(1+I32*J32)/1000-51.89/1000</f>
        <v>1.622010395638348</v>
      </c>
      <c r="I32" s="27">
        <v>0.65</v>
      </c>
      <c r="J32" s="27">
        <v>-7.0000000000000007E-2</v>
      </c>
      <c r="K32" s="28">
        <f t="shared" si="7"/>
        <v>0</v>
      </c>
      <c r="L32" s="29">
        <f t="shared" si="3"/>
        <v>0</v>
      </c>
      <c r="M32" s="30">
        <f t="shared" si="4"/>
        <v>0</v>
      </c>
      <c r="N32" s="29">
        <f t="shared" si="0"/>
        <v>0</v>
      </c>
      <c r="O32" s="29">
        <f t="shared" si="1"/>
        <v>0</v>
      </c>
      <c r="P32" s="29">
        <f t="shared" si="2"/>
        <v>0</v>
      </c>
      <c r="Q32" s="29">
        <v>0</v>
      </c>
      <c r="R32" s="31">
        <v>0</v>
      </c>
      <c r="S32" s="32">
        <f t="shared" si="5"/>
        <v>0</v>
      </c>
      <c r="T32" s="32">
        <f t="shared" si="6"/>
        <v>0</v>
      </c>
    </row>
    <row r="33" spans="1:20" x14ac:dyDescent="0.3">
      <c r="A33" s="13">
        <v>10007567</v>
      </c>
      <c r="B33" s="13" t="s">
        <v>33</v>
      </c>
      <c r="C33" s="2">
        <v>81600</v>
      </c>
      <c r="D33" s="3">
        <v>53000</v>
      </c>
      <c r="E33" s="4">
        <v>28600</v>
      </c>
      <c r="G33" s="36">
        <v>10007567</v>
      </c>
      <c r="H33" s="25">
        <f>IFERROR(INDEX([1]Resumen!$K$3:$K$63,MATCH(G33,[1]Resumen!$C$3:$C$63,0)),0)*(1+I33*J33)/1000-51.89/1000</f>
        <v>1.6826592070424338</v>
      </c>
      <c r="I33" s="26">
        <v>0.68</v>
      </c>
      <c r="J33" s="27">
        <v>-7.0000000000000007E-2</v>
      </c>
      <c r="K33" s="28">
        <f t="shared" si="7"/>
        <v>28.6</v>
      </c>
      <c r="L33" s="29">
        <f t="shared" si="3"/>
        <v>48124.053321413609</v>
      </c>
      <c r="M33" s="30">
        <f t="shared" si="4"/>
        <v>5944.2240000000002</v>
      </c>
      <c r="N33" s="29">
        <f t="shared" si="0"/>
        <v>1804.0284327852007</v>
      </c>
      <c r="O33" s="29">
        <f t="shared" si="1"/>
        <v>3546.4142340527155</v>
      </c>
      <c r="P33" s="29">
        <f t="shared" si="2"/>
        <v>2834.9721732778376</v>
      </c>
      <c r="Q33" s="29">
        <v>0</v>
      </c>
      <c r="R33" s="31">
        <v>0</v>
      </c>
      <c r="S33" s="32">
        <f t="shared" si="5"/>
        <v>59418.719988251527</v>
      </c>
      <c r="T33" s="32">
        <f t="shared" si="6"/>
        <v>2077.5776219668364</v>
      </c>
    </row>
    <row r="34" spans="1:20" x14ac:dyDescent="0.3">
      <c r="A34" s="13">
        <v>10009975</v>
      </c>
      <c r="B34" s="13" t="s">
        <v>34</v>
      </c>
      <c r="C34" s="2">
        <v>32860</v>
      </c>
      <c r="D34" s="3"/>
      <c r="E34" s="4">
        <v>32860</v>
      </c>
      <c r="G34" s="36">
        <v>10007567</v>
      </c>
      <c r="H34" s="25">
        <f>IFERROR(INDEX([1]Resumen!$K$3:$K$63,MATCH(G34,[1]Resumen!$C$3:$C$63,0)),0)*(1+I34*J34)/1000-51.89/1000</f>
        <v>1.6826592070424338</v>
      </c>
      <c r="I34" s="27">
        <v>0.68</v>
      </c>
      <c r="J34" s="27">
        <v>-7.0000000000000007E-2</v>
      </c>
      <c r="K34" s="28">
        <f t="shared" si="7"/>
        <v>32.86</v>
      </c>
      <c r="L34" s="29">
        <f t="shared" si="3"/>
        <v>55292.181543414372</v>
      </c>
      <c r="M34" s="30">
        <f t="shared" si="4"/>
        <v>6829.6224000000002</v>
      </c>
      <c r="N34" s="29">
        <f t="shared" ref="N34:N52" si="8">$N$61/$K$59*K34</f>
        <v>2072.7403601860733</v>
      </c>
      <c r="O34" s="29">
        <f t="shared" ref="O34:O52" si="9">$O$61/$K$59*K34</f>
        <v>4074.6563542297977</v>
      </c>
      <c r="P34" s="29">
        <f t="shared" ref="P34:P52" si="10">$P$61/$K$59*K34</f>
        <v>3257.2442522346064</v>
      </c>
      <c r="Q34" s="29">
        <v>0</v>
      </c>
      <c r="R34" s="31">
        <v>0</v>
      </c>
      <c r="S34" s="32">
        <f t="shared" si="5"/>
        <v>68269.200657830239</v>
      </c>
      <c r="T34" s="32">
        <f t="shared" si="6"/>
        <v>2077.5776219668364</v>
      </c>
    </row>
    <row r="35" spans="1:20" x14ac:dyDescent="0.3">
      <c r="A35" s="7">
        <v>10009185</v>
      </c>
      <c r="B35" s="7" t="s">
        <v>35</v>
      </c>
      <c r="C35" s="2">
        <v>0</v>
      </c>
      <c r="D35" s="3"/>
      <c r="E35" s="4">
        <v>0</v>
      </c>
      <c r="G35" s="36">
        <v>10007162</v>
      </c>
      <c r="H35" s="25">
        <f>IFERROR(INDEX([1]Resumen!$K$3:$K$63,MATCH(G35,[1]Resumen!$C$3:$C$63,0)),0)*(1+I35*J35)/1000-51.89/1000</f>
        <v>1.7406977734802118</v>
      </c>
      <c r="I35" s="27">
        <v>0.68</v>
      </c>
      <c r="J35" s="27">
        <v>-7.0000000000000007E-2</v>
      </c>
      <c r="K35" s="28">
        <f t="shared" si="7"/>
        <v>0</v>
      </c>
      <c r="L35" s="29">
        <f t="shared" si="3"/>
        <v>0</v>
      </c>
      <c r="M35" s="30">
        <f t="shared" si="4"/>
        <v>0</v>
      </c>
      <c r="N35" s="29">
        <f t="shared" si="8"/>
        <v>0</v>
      </c>
      <c r="O35" s="29">
        <f t="shared" si="9"/>
        <v>0</v>
      </c>
      <c r="P35" s="29">
        <f t="shared" si="10"/>
        <v>0</v>
      </c>
      <c r="Q35" s="29">
        <v>0</v>
      </c>
      <c r="R35" s="31">
        <v>0</v>
      </c>
      <c r="S35" s="32">
        <f t="shared" si="5"/>
        <v>0</v>
      </c>
      <c r="T35" s="32">
        <f t="shared" si="6"/>
        <v>0</v>
      </c>
    </row>
    <row r="36" spans="1:20" x14ac:dyDescent="0.3">
      <c r="A36" s="7">
        <v>10009186</v>
      </c>
      <c r="B36" s="7" t="s">
        <v>36</v>
      </c>
      <c r="C36" s="2">
        <v>1220</v>
      </c>
      <c r="D36" s="3"/>
      <c r="E36" s="4">
        <v>1220</v>
      </c>
      <c r="G36" s="36">
        <v>10007162</v>
      </c>
      <c r="H36" s="25">
        <f>IFERROR(INDEX([1]Resumen!$K$3:$K$63,MATCH(G36,[1]Resumen!$C$3:$C$63,0)),0)*(1+I36*J36)/1000-51.89/1000</f>
        <v>1.7406977734802118</v>
      </c>
      <c r="I36" s="27">
        <v>0.68</v>
      </c>
      <c r="J36" s="27">
        <v>-7.0000000000000007E-2</v>
      </c>
      <c r="K36" s="28">
        <f t="shared" si="7"/>
        <v>1.22</v>
      </c>
      <c r="L36" s="29">
        <f t="shared" si="3"/>
        <v>2123.6512836458587</v>
      </c>
      <c r="M36" s="30">
        <f t="shared" si="4"/>
        <v>253.56479999999999</v>
      </c>
      <c r="N36" s="29">
        <f t="shared" si="8"/>
        <v>76.955059020907157</v>
      </c>
      <c r="O36" s="29">
        <f t="shared" si="9"/>
        <v>151.28060718686407</v>
      </c>
      <c r="P36" s="29">
        <f t="shared" si="10"/>
        <v>120.93237941954412</v>
      </c>
      <c r="Q36" s="29">
        <v>0</v>
      </c>
      <c r="R36" s="31">
        <v>0</v>
      </c>
      <c r="S36" s="32">
        <f t="shared" si="5"/>
        <v>2605.4517498536302</v>
      </c>
      <c r="T36" s="32">
        <f t="shared" si="6"/>
        <v>2135.6161884046151</v>
      </c>
    </row>
    <row r="37" spans="1:20" x14ac:dyDescent="0.3">
      <c r="A37" s="7">
        <v>10009777</v>
      </c>
      <c r="B37" s="7" t="s">
        <v>37</v>
      </c>
      <c r="C37" s="2">
        <v>13240</v>
      </c>
      <c r="D37" s="3">
        <v>54000</v>
      </c>
      <c r="E37" s="10">
        <v>-40760</v>
      </c>
      <c r="G37" s="36">
        <v>10007162</v>
      </c>
      <c r="H37" s="25">
        <f>IFERROR(INDEX([1]Resumen!$K$3:$K$63,MATCH(G37,[1]Resumen!$C$3:$C$63,0)),0)*(1+I37*J37)/1000-51.89/1000</f>
        <v>1.7406977734802118</v>
      </c>
      <c r="I37" s="27">
        <v>0.68</v>
      </c>
      <c r="J37" s="27">
        <v>-7.0000000000000007E-2</v>
      </c>
      <c r="K37" s="28">
        <f t="shared" si="7"/>
        <v>0</v>
      </c>
      <c r="L37" s="29">
        <f t="shared" si="3"/>
        <v>0</v>
      </c>
      <c r="M37" s="30">
        <f t="shared" si="4"/>
        <v>0</v>
      </c>
      <c r="N37" s="29">
        <f t="shared" si="8"/>
        <v>0</v>
      </c>
      <c r="O37" s="29">
        <f t="shared" si="9"/>
        <v>0</v>
      </c>
      <c r="P37" s="29">
        <f t="shared" si="10"/>
        <v>0</v>
      </c>
      <c r="Q37" s="29">
        <v>0</v>
      </c>
      <c r="R37" s="31">
        <v>0</v>
      </c>
      <c r="S37" s="32">
        <f t="shared" si="5"/>
        <v>0</v>
      </c>
      <c r="T37" s="32">
        <f t="shared" si="6"/>
        <v>0</v>
      </c>
    </row>
    <row r="38" spans="1:20" x14ac:dyDescent="0.3">
      <c r="A38" s="7">
        <v>10009989</v>
      </c>
      <c r="B38" s="7" t="s">
        <v>38</v>
      </c>
      <c r="C38" s="2">
        <v>123740</v>
      </c>
      <c r="D38" s="3"/>
      <c r="E38" s="4">
        <v>123740</v>
      </c>
      <c r="G38" s="36">
        <v>10007162</v>
      </c>
      <c r="H38" s="25">
        <f>IFERROR(INDEX([1]Resumen!$K$3:$K$63,MATCH(G38,[1]Resumen!$C$3:$C$63,0)),0)*(1+I38*J38)/1000-51.89/1000</f>
        <v>1.7406977734802118</v>
      </c>
      <c r="I38" s="27">
        <v>0.68</v>
      </c>
      <c r="J38" s="27">
        <v>-7.0000000000000007E-2</v>
      </c>
      <c r="K38" s="28">
        <f t="shared" si="7"/>
        <v>123.74</v>
      </c>
      <c r="L38" s="29">
        <f t="shared" si="3"/>
        <v>215393.94249044138</v>
      </c>
      <c r="M38" s="30">
        <f t="shared" si="4"/>
        <v>25718.121599999999</v>
      </c>
      <c r="N38" s="29">
        <f t="shared" si="8"/>
        <v>7805.2614780713538</v>
      </c>
      <c r="O38" s="29">
        <f t="shared" si="9"/>
        <v>15343.82158467423</v>
      </c>
      <c r="P38" s="29">
        <f t="shared" si="10"/>
        <v>12265.715269979006</v>
      </c>
      <c r="Q38" s="29">
        <v>0</v>
      </c>
      <c r="R38" s="31">
        <v>0</v>
      </c>
      <c r="S38" s="32">
        <f t="shared" si="5"/>
        <v>264261.14715318696</v>
      </c>
      <c r="T38" s="32">
        <f t="shared" si="6"/>
        <v>2135.6161884046141</v>
      </c>
    </row>
    <row r="39" spans="1:20" x14ac:dyDescent="0.3">
      <c r="A39" s="14">
        <v>10009187</v>
      </c>
      <c r="B39" s="14" t="s">
        <v>39</v>
      </c>
      <c r="C39" s="2">
        <v>340</v>
      </c>
      <c r="D39" s="3"/>
      <c r="E39" s="4">
        <v>340</v>
      </c>
      <c r="G39" s="36">
        <v>10007162</v>
      </c>
      <c r="H39" s="25">
        <f>IFERROR(INDEX([1]Resumen!$K$3:$K$63,MATCH(G39,[1]Resumen!$C$3:$C$63,0)),0)*(1+I39*J39)/1000-51.89/1000</f>
        <v>1.7406977734802118</v>
      </c>
      <c r="I39" s="27">
        <v>0.68</v>
      </c>
      <c r="J39" s="27">
        <v>-7.0000000000000007E-2</v>
      </c>
      <c r="K39" s="28">
        <f t="shared" si="7"/>
        <v>0.34</v>
      </c>
      <c r="L39" s="29">
        <f t="shared" si="3"/>
        <v>591.83724298327206</v>
      </c>
      <c r="M39" s="30">
        <f t="shared" si="4"/>
        <v>70.665600000000012</v>
      </c>
      <c r="N39" s="29">
        <f t="shared" si="8"/>
        <v>21.446491858285604</v>
      </c>
      <c r="O39" s="29">
        <f t="shared" si="9"/>
        <v>42.160169216011305</v>
      </c>
      <c r="P39" s="29">
        <f t="shared" si="10"/>
        <v>33.702466395610656</v>
      </c>
      <c r="Q39" s="29">
        <v>0</v>
      </c>
      <c r="R39" s="31">
        <v>0</v>
      </c>
      <c r="S39" s="32">
        <f t="shared" si="5"/>
        <v>726.1095040575691</v>
      </c>
      <c r="T39" s="32">
        <f t="shared" si="6"/>
        <v>2135.6161884046151</v>
      </c>
    </row>
    <row r="40" spans="1:20" x14ac:dyDescent="0.3">
      <c r="A40" s="14">
        <v>10007161</v>
      </c>
      <c r="B40" s="14" t="s">
        <v>40</v>
      </c>
      <c r="C40" s="2">
        <v>44740</v>
      </c>
      <c r="D40" s="3">
        <v>15680</v>
      </c>
      <c r="E40" s="4">
        <v>29060</v>
      </c>
      <c r="G40" s="36">
        <v>10007162</v>
      </c>
      <c r="H40" s="25">
        <f>IFERROR(INDEX([1]Resumen!$K$3:$K$63,MATCH(G40,[1]Resumen!$C$3:$C$63,0)),0)*(1+I40*J40)/1000-51.89/1000</f>
        <v>1.7406977734802118</v>
      </c>
      <c r="I40" s="27">
        <v>0.68</v>
      </c>
      <c r="J40" s="27">
        <v>-7.0000000000000007E-2</v>
      </c>
      <c r="K40" s="28">
        <f t="shared" si="7"/>
        <v>29.06</v>
      </c>
      <c r="L40" s="29">
        <f t="shared" si="3"/>
        <v>50584.677297334958</v>
      </c>
      <c r="M40" s="30">
        <f t="shared" si="4"/>
        <v>6039.8303999999998</v>
      </c>
      <c r="N40" s="29">
        <f t="shared" si="8"/>
        <v>1833.0442747111165</v>
      </c>
      <c r="O40" s="29">
        <f t="shared" si="9"/>
        <v>3603.4544629920242</v>
      </c>
      <c r="P40" s="29">
        <f t="shared" si="10"/>
        <v>2880.5696278130754</v>
      </c>
      <c r="Q40" s="29">
        <v>0</v>
      </c>
      <c r="R40" s="31">
        <v>0</v>
      </c>
      <c r="S40" s="32">
        <f t="shared" si="5"/>
        <v>62061.0064350381</v>
      </c>
      <c r="T40" s="32">
        <f t="shared" si="6"/>
        <v>2135.6161884046146</v>
      </c>
    </row>
    <row r="41" spans="1:20" x14ac:dyDescent="0.3">
      <c r="A41" s="14">
        <v>10009658</v>
      </c>
      <c r="B41" s="14" t="s">
        <v>41</v>
      </c>
      <c r="C41" s="2">
        <v>2680</v>
      </c>
      <c r="D41" s="3"/>
      <c r="E41" s="4">
        <v>2680</v>
      </c>
      <c r="G41" s="36">
        <v>10007162</v>
      </c>
      <c r="H41" s="25">
        <f>IFERROR(INDEX([1]Resumen!$K$3:$K$63,MATCH(G41,[1]Resumen!$C$3:$C$63,0)),0)*(1+I41*J41)/1000-51.89/1000</f>
        <v>1.7406977734802118</v>
      </c>
      <c r="I41" s="27">
        <v>0.68</v>
      </c>
      <c r="J41" s="27">
        <v>-7.0000000000000007E-2</v>
      </c>
      <c r="K41" s="28">
        <f t="shared" si="7"/>
        <v>2.68</v>
      </c>
      <c r="L41" s="29">
        <f t="shared" si="3"/>
        <v>4665.0700329269675</v>
      </c>
      <c r="M41" s="30">
        <f t="shared" si="4"/>
        <v>557.01120000000003</v>
      </c>
      <c r="N41" s="29">
        <f t="shared" si="8"/>
        <v>169.04881817707476</v>
      </c>
      <c r="O41" s="29">
        <f t="shared" si="9"/>
        <v>332.32133382032436</v>
      </c>
      <c r="P41" s="29">
        <f t="shared" si="10"/>
        <v>265.65473511834284</v>
      </c>
      <c r="Q41" s="29">
        <v>0</v>
      </c>
      <c r="R41" s="31">
        <v>0</v>
      </c>
      <c r="S41" s="32">
        <f t="shared" si="5"/>
        <v>5723.4513849243667</v>
      </c>
      <c r="T41" s="32">
        <f t="shared" si="6"/>
        <v>2135.6161884046141</v>
      </c>
    </row>
    <row r="42" spans="1:20" x14ac:dyDescent="0.3">
      <c r="A42" s="14">
        <v>10007163</v>
      </c>
      <c r="B42" s="14" t="s">
        <v>42</v>
      </c>
      <c r="C42" s="2">
        <v>13240</v>
      </c>
      <c r="D42" s="3">
        <v>12280</v>
      </c>
      <c r="E42" s="4">
        <v>960</v>
      </c>
      <c r="G42" s="36">
        <v>10007162</v>
      </c>
      <c r="H42" s="25">
        <f>IFERROR(INDEX([1]Resumen!$K$3:$K$63,MATCH(G42,[1]Resumen!$C$3:$C$63,0)),0)*(1+I42*J42)/1000-51.89/1000</f>
        <v>1.7406977734802118</v>
      </c>
      <c r="I42" s="27">
        <v>0.68</v>
      </c>
      <c r="J42" s="27">
        <v>-7.0000000000000007E-2</v>
      </c>
      <c r="K42" s="28">
        <f t="shared" si="7"/>
        <v>0.96</v>
      </c>
      <c r="L42" s="29">
        <f t="shared" si="3"/>
        <v>1671.0698625410032</v>
      </c>
      <c r="M42" s="30">
        <f t="shared" si="4"/>
        <v>199.5264</v>
      </c>
      <c r="N42" s="29">
        <f t="shared" si="8"/>
        <v>60.554800541041701</v>
      </c>
      <c r="O42" s="29">
        <f t="shared" si="9"/>
        <v>119.04047778638484</v>
      </c>
      <c r="P42" s="29">
        <f t="shared" si="10"/>
        <v>95.159905117018312</v>
      </c>
      <c r="Q42" s="29">
        <v>0</v>
      </c>
      <c r="R42" s="31">
        <v>0</v>
      </c>
      <c r="S42" s="32">
        <f t="shared" si="5"/>
        <v>2050.1915408684299</v>
      </c>
      <c r="T42" s="32">
        <f t="shared" si="6"/>
        <v>2135.6161884046146</v>
      </c>
    </row>
    <row r="43" spans="1:20" x14ac:dyDescent="0.3">
      <c r="A43" s="14">
        <v>10007162</v>
      </c>
      <c r="B43" s="14" t="s">
        <v>43</v>
      </c>
      <c r="C43" s="2">
        <v>63680</v>
      </c>
      <c r="D43" s="3">
        <v>49720</v>
      </c>
      <c r="E43" s="4">
        <v>13960</v>
      </c>
      <c r="G43" s="36">
        <v>10007162</v>
      </c>
      <c r="H43" s="25">
        <f>IFERROR(INDEX([1]Resumen!$K$3:$K$63,MATCH(G43,[1]Resumen!$C$3:$C$63,0)),0)*(1+I43*J43)/1000-51.89/1000</f>
        <v>1.7406977734802118</v>
      </c>
      <c r="I43" s="27">
        <v>0.68</v>
      </c>
      <c r="J43" s="27">
        <v>-7.0000000000000007E-2</v>
      </c>
      <c r="K43" s="28">
        <f t="shared" si="7"/>
        <v>13.96</v>
      </c>
      <c r="L43" s="29">
        <f t="shared" si="3"/>
        <v>24300.140917783756</v>
      </c>
      <c r="M43" s="30">
        <f t="shared" si="4"/>
        <v>2901.4464000000003</v>
      </c>
      <c r="N43" s="29">
        <f t="shared" si="8"/>
        <v>880.56772453431472</v>
      </c>
      <c r="O43" s="29">
        <f t="shared" si="9"/>
        <v>1731.0469478103464</v>
      </c>
      <c r="P43" s="29">
        <f t="shared" si="10"/>
        <v>1383.7836202433082</v>
      </c>
      <c r="Q43" s="29">
        <v>0</v>
      </c>
      <c r="R43" s="31">
        <v>0</v>
      </c>
      <c r="S43" s="32">
        <f t="shared" si="5"/>
        <v>29813.201990128418</v>
      </c>
      <c r="T43" s="32">
        <f t="shared" si="6"/>
        <v>2135.6161884046141</v>
      </c>
    </row>
    <row r="44" spans="1:20" x14ac:dyDescent="0.3">
      <c r="A44" s="14">
        <v>10009336</v>
      </c>
      <c r="B44" s="14" t="s">
        <v>44</v>
      </c>
      <c r="C44" s="2">
        <v>16400</v>
      </c>
      <c r="D44" s="3"/>
      <c r="E44" s="4">
        <v>16400</v>
      </c>
      <c r="G44" s="37">
        <v>10009386</v>
      </c>
      <c r="H44" s="25">
        <f>IFERROR(INDEX([1]Resumen!$K$3:$K$63,MATCH(G44,[1]Resumen!$C$3:$C$63,0)),0)*(1+I44*J44)/1000-51.89/1000</f>
        <v>1.7421709268610135</v>
      </c>
      <c r="I44" s="27">
        <v>0.68</v>
      </c>
      <c r="J44" s="27">
        <v>-7.0000000000000007E-2</v>
      </c>
      <c r="K44" s="28">
        <f t="shared" si="7"/>
        <v>16.399999999999999</v>
      </c>
      <c r="L44" s="29">
        <f t="shared" si="3"/>
        <v>28571.603200520622</v>
      </c>
      <c r="M44" s="30">
        <f t="shared" si="4"/>
        <v>3408.5759999999996</v>
      </c>
      <c r="N44" s="29">
        <f t="shared" si="8"/>
        <v>1034.477842576129</v>
      </c>
      <c r="O44" s="29">
        <f t="shared" si="9"/>
        <v>2033.6081621840742</v>
      </c>
      <c r="P44" s="29">
        <f t="shared" si="10"/>
        <v>1625.6483790823961</v>
      </c>
      <c r="Q44" s="29">
        <v>0</v>
      </c>
      <c r="R44" s="31">
        <v>0</v>
      </c>
      <c r="S44" s="32">
        <f t="shared" si="5"/>
        <v>35048.265205280826</v>
      </c>
      <c r="T44" s="32">
        <f t="shared" si="6"/>
        <v>2137.0893417854163</v>
      </c>
    </row>
    <row r="45" spans="1:20" x14ac:dyDescent="0.3">
      <c r="A45" s="15">
        <v>10009239</v>
      </c>
      <c r="B45" s="15" t="s">
        <v>45</v>
      </c>
      <c r="C45" s="2">
        <v>48680</v>
      </c>
      <c r="D45" s="3">
        <v>215700</v>
      </c>
      <c r="E45" s="10">
        <v>-167020</v>
      </c>
      <c r="G45" s="38">
        <v>10009239</v>
      </c>
      <c r="H45" s="25">
        <f>IFERROR(INDEX([1]Resumen!$K$3:$K$63,MATCH(G45,[1]Resumen!$C$3:$C$63,0)),0)*(1+I45*J45)/1000-51.89/1000</f>
        <v>3.2548777446902504</v>
      </c>
      <c r="I45" s="26">
        <v>0.56000000000000005</v>
      </c>
      <c r="J45" s="27">
        <v>-7.0000000000000007E-2</v>
      </c>
      <c r="K45" s="28">
        <f t="shared" si="7"/>
        <v>0</v>
      </c>
      <c r="L45" s="29">
        <f t="shared" si="3"/>
        <v>0</v>
      </c>
      <c r="M45" s="30">
        <f t="shared" si="4"/>
        <v>0</v>
      </c>
      <c r="N45" s="29">
        <f t="shared" si="8"/>
        <v>0</v>
      </c>
      <c r="O45" s="29">
        <f t="shared" si="9"/>
        <v>0</v>
      </c>
      <c r="P45" s="29">
        <f t="shared" si="10"/>
        <v>0</v>
      </c>
      <c r="Q45" s="29">
        <v>0</v>
      </c>
      <c r="R45" s="31">
        <v>0</v>
      </c>
      <c r="S45" s="32">
        <f t="shared" si="5"/>
        <v>0</v>
      </c>
      <c r="T45" s="32">
        <f t="shared" si="6"/>
        <v>0</v>
      </c>
    </row>
    <row r="46" spans="1:20" x14ac:dyDescent="0.3">
      <c r="A46" s="15">
        <v>10009251</v>
      </c>
      <c r="B46" s="15" t="s">
        <v>46</v>
      </c>
      <c r="C46" s="2">
        <v>300</v>
      </c>
      <c r="D46" s="3">
        <v>300</v>
      </c>
      <c r="E46" s="4">
        <v>0</v>
      </c>
      <c r="G46" s="38">
        <v>10009239</v>
      </c>
      <c r="H46" s="25">
        <f>IFERROR(INDEX([1]Resumen!$K$3:$K$63,MATCH(G46,[1]Resumen!$C$3:$C$63,0)),0)*(1+I46*J46)/1000-51.89/1000</f>
        <v>3.2548777446902504</v>
      </c>
      <c r="I46" s="26">
        <v>0.56000000000000005</v>
      </c>
      <c r="J46" s="27">
        <v>-7.0000000000000007E-2</v>
      </c>
      <c r="K46" s="28">
        <f t="shared" si="7"/>
        <v>0</v>
      </c>
      <c r="L46" s="29">
        <f t="shared" si="3"/>
        <v>0</v>
      </c>
      <c r="M46" s="30">
        <f t="shared" si="4"/>
        <v>0</v>
      </c>
      <c r="N46" s="29">
        <f t="shared" si="8"/>
        <v>0</v>
      </c>
      <c r="O46" s="29">
        <f t="shared" si="9"/>
        <v>0</v>
      </c>
      <c r="P46" s="29">
        <f t="shared" si="10"/>
        <v>0</v>
      </c>
      <c r="Q46" s="29">
        <v>0</v>
      </c>
      <c r="R46" s="31">
        <v>0</v>
      </c>
      <c r="S46" s="32">
        <f t="shared" si="5"/>
        <v>0</v>
      </c>
      <c r="T46" s="32">
        <f t="shared" si="6"/>
        <v>0</v>
      </c>
    </row>
    <row r="47" spans="1:20" x14ac:dyDescent="0.3">
      <c r="A47" s="8">
        <v>10009241</v>
      </c>
      <c r="B47" s="8" t="s">
        <v>47</v>
      </c>
      <c r="C47" s="2">
        <v>260</v>
      </c>
      <c r="D47" s="3">
        <v>260</v>
      </c>
      <c r="E47" s="4">
        <v>0</v>
      </c>
      <c r="G47" s="39">
        <v>10009334</v>
      </c>
      <c r="H47" s="25">
        <f>IFERROR(INDEX([1]Resumen!$K$3:$K$63,MATCH(G47,[1]Resumen!$C$3:$C$63,0)),0)*(1+I47*J47)/1000-51.89/1000</f>
        <v>2.8244285114873775</v>
      </c>
      <c r="I47" s="26">
        <v>0.68</v>
      </c>
      <c r="J47" s="27">
        <v>-7.0000000000000007E-2</v>
      </c>
      <c r="K47" s="28">
        <f t="shared" si="7"/>
        <v>0</v>
      </c>
      <c r="L47" s="29">
        <f t="shared" si="3"/>
        <v>0</v>
      </c>
      <c r="M47" s="30">
        <f t="shared" si="4"/>
        <v>0</v>
      </c>
      <c r="N47" s="29">
        <f t="shared" si="8"/>
        <v>0</v>
      </c>
      <c r="O47" s="29">
        <f t="shared" si="9"/>
        <v>0</v>
      </c>
      <c r="P47" s="29">
        <f t="shared" si="10"/>
        <v>0</v>
      </c>
      <c r="Q47" s="29">
        <v>0</v>
      </c>
      <c r="R47" s="31">
        <v>0</v>
      </c>
      <c r="S47" s="32">
        <f t="shared" si="5"/>
        <v>0</v>
      </c>
      <c r="T47" s="32">
        <f t="shared" si="6"/>
        <v>0</v>
      </c>
    </row>
    <row r="48" spans="1:20" x14ac:dyDescent="0.3">
      <c r="A48" s="8">
        <v>10009331</v>
      </c>
      <c r="B48" s="8" t="s">
        <v>48</v>
      </c>
      <c r="C48" s="2">
        <v>113198</v>
      </c>
      <c r="D48" s="3">
        <v>120824</v>
      </c>
      <c r="E48" s="10">
        <v>-7626</v>
      </c>
      <c r="G48" s="39">
        <v>10009334</v>
      </c>
      <c r="H48" s="25">
        <f>IFERROR(INDEX([1]Resumen!$K$3:$K$63,MATCH(G48,[1]Resumen!$C$3:$C$63,0)),0)*(1+I48*J48)/1000-51.89/1000</f>
        <v>2.8244285114873775</v>
      </c>
      <c r="I48" s="26">
        <v>0.68</v>
      </c>
      <c r="J48" s="27">
        <v>-7.0000000000000007E-2</v>
      </c>
      <c r="K48" s="28">
        <f t="shared" si="7"/>
        <v>0</v>
      </c>
      <c r="L48" s="29">
        <f t="shared" si="3"/>
        <v>0</v>
      </c>
      <c r="M48" s="30">
        <f t="shared" si="4"/>
        <v>0</v>
      </c>
      <c r="N48" s="29">
        <f t="shared" si="8"/>
        <v>0</v>
      </c>
      <c r="O48" s="29">
        <f t="shared" si="9"/>
        <v>0</v>
      </c>
      <c r="P48" s="29">
        <f t="shared" si="10"/>
        <v>0</v>
      </c>
      <c r="Q48" s="29">
        <v>0</v>
      </c>
      <c r="R48" s="31">
        <v>0</v>
      </c>
      <c r="S48" s="32">
        <f t="shared" si="5"/>
        <v>0</v>
      </c>
      <c r="T48" s="32">
        <f t="shared" si="6"/>
        <v>0</v>
      </c>
    </row>
    <row r="49" spans="1:20" x14ac:dyDescent="0.3">
      <c r="A49" s="8">
        <v>10009334</v>
      </c>
      <c r="B49" s="8" t="s">
        <v>49</v>
      </c>
      <c r="C49" s="2">
        <v>14176</v>
      </c>
      <c r="D49" s="3">
        <v>14176</v>
      </c>
      <c r="E49" s="4">
        <v>0</v>
      </c>
      <c r="G49" s="39">
        <v>10009334</v>
      </c>
      <c r="H49" s="25">
        <f>IFERROR(INDEX([1]Resumen!$K$3:$K$63,MATCH(G49,[1]Resumen!$C$3:$C$63,0)),0)*(1+I49*J49)/1000-51.89/1000</f>
        <v>2.8244285114873775</v>
      </c>
      <c r="I49" s="26">
        <v>0.68</v>
      </c>
      <c r="J49" s="27">
        <v>-7.0000000000000007E-2</v>
      </c>
      <c r="K49" s="28">
        <f t="shared" si="7"/>
        <v>0</v>
      </c>
      <c r="L49" s="29">
        <f t="shared" si="3"/>
        <v>0</v>
      </c>
      <c r="M49" s="30">
        <f t="shared" si="4"/>
        <v>0</v>
      </c>
      <c r="N49" s="29">
        <f t="shared" si="8"/>
        <v>0</v>
      </c>
      <c r="O49" s="29">
        <f t="shared" si="9"/>
        <v>0</v>
      </c>
      <c r="P49" s="29">
        <f t="shared" si="10"/>
        <v>0</v>
      </c>
      <c r="Q49" s="29">
        <v>0</v>
      </c>
      <c r="R49" s="31">
        <v>0</v>
      </c>
      <c r="S49" s="32">
        <f t="shared" si="5"/>
        <v>0</v>
      </c>
      <c r="T49" s="32">
        <f t="shared" si="6"/>
        <v>0</v>
      </c>
    </row>
    <row r="50" spans="1:20" x14ac:dyDescent="0.3">
      <c r="A50" s="7">
        <v>10007050</v>
      </c>
      <c r="B50" s="7" t="s">
        <v>50</v>
      </c>
      <c r="C50" s="2">
        <v>15700</v>
      </c>
      <c r="D50" s="3">
        <v>54000</v>
      </c>
      <c r="E50" s="10">
        <v>-38300</v>
      </c>
      <c r="G50" s="38">
        <v>10007050</v>
      </c>
      <c r="H50" s="25">
        <f>IFERROR(INDEX([1]Resumen!$K$3:$K$63,MATCH(G50,[1]Resumen!$C$3:$C$63,0)),0)*(1+I50*J50)/1000-51.89/1000</f>
        <v>1.4439459506771439</v>
      </c>
      <c r="I50" s="26">
        <v>0.68</v>
      </c>
      <c r="J50" s="27">
        <v>-7.0000000000000007E-2</v>
      </c>
      <c r="K50" s="28">
        <f t="shared" si="7"/>
        <v>0</v>
      </c>
      <c r="L50" s="29">
        <f t="shared" si="3"/>
        <v>0</v>
      </c>
      <c r="M50" s="30">
        <f t="shared" si="4"/>
        <v>0</v>
      </c>
      <c r="N50" s="29">
        <f t="shared" si="8"/>
        <v>0</v>
      </c>
      <c r="O50" s="29">
        <f t="shared" si="9"/>
        <v>0</v>
      </c>
      <c r="P50" s="29">
        <f t="shared" si="10"/>
        <v>0</v>
      </c>
      <c r="Q50" s="29">
        <v>0</v>
      </c>
      <c r="R50" s="31">
        <v>0</v>
      </c>
      <c r="S50" s="32">
        <f t="shared" si="5"/>
        <v>0</v>
      </c>
      <c r="T50" s="32">
        <f t="shared" si="6"/>
        <v>0</v>
      </c>
    </row>
    <row r="51" spans="1:20" x14ac:dyDescent="0.3">
      <c r="A51" s="7">
        <v>10009337</v>
      </c>
      <c r="B51" s="7" t="s">
        <v>51</v>
      </c>
      <c r="C51" s="2">
        <v>57395</v>
      </c>
      <c r="D51" s="3"/>
      <c r="E51" s="4">
        <v>57395</v>
      </c>
      <c r="G51" s="38">
        <v>10007050</v>
      </c>
      <c r="H51" s="25">
        <f>IFERROR(INDEX([1]Resumen!$K$3:$K$63,MATCH(G51,[1]Resumen!$C$3:$C$63,0)),0)*(1+I51*J51)/1000-51.89/1000</f>
        <v>1.4439459506771439</v>
      </c>
      <c r="I51" s="26">
        <v>0.68</v>
      </c>
      <c r="J51" s="27">
        <v>-7.0000000000000007E-2</v>
      </c>
      <c r="K51" s="28">
        <f t="shared" si="7"/>
        <v>57.395000000000003</v>
      </c>
      <c r="L51" s="29">
        <f t="shared" si="3"/>
        <v>82875.277839114671</v>
      </c>
      <c r="M51" s="30">
        <f>207.84*K51</f>
        <v>11928.9768</v>
      </c>
      <c r="N51" s="29">
        <f t="shared" si="8"/>
        <v>3620.3570594303005</v>
      </c>
      <c r="O51" s="29">
        <f t="shared" si="9"/>
        <v>7117.0085651557902</v>
      </c>
      <c r="P51" s="29">
        <f t="shared" si="10"/>
        <v>5689.2737022825695</v>
      </c>
      <c r="Q51" s="29">
        <v>0</v>
      </c>
      <c r="R51" s="31">
        <v>0</v>
      </c>
      <c r="S51" s="32">
        <f t="shared" si="5"/>
        <v>105541.62026370077</v>
      </c>
      <c r="T51" s="32">
        <f t="shared" si="6"/>
        <v>1838.8643656015465</v>
      </c>
    </row>
    <row r="52" spans="1:20" x14ac:dyDescent="0.3">
      <c r="A52" s="7">
        <v>10009332</v>
      </c>
      <c r="B52" s="7" t="s">
        <v>52</v>
      </c>
      <c r="C52" s="2">
        <v>45930</v>
      </c>
      <c r="D52" s="3"/>
      <c r="E52" s="4">
        <v>45930</v>
      </c>
      <c r="G52" s="38">
        <v>10007050</v>
      </c>
      <c r="H52" s="25">
        <f>IFERROR(INDEX([1]Resumen!$K$3:$K$63,MATCH(G52,[1]Resumen!$C$3:$C$63,0)),0)*(1+I52*J52)/1000-51.89/1000</f>
        <v>1.4439459506771439</v>
      </c>
      <c r="I52" s="26">
        <v>0.68</v>
      </c>
      <c r="J52" s="27">
        <v>-7.0000000000000007E-2</v>
      </c>
      <c r="K52" s="28">
        <f t="shared" si="7"/>
        <v>45.93</v>
      </c>
      <c r="L52" s="29">
        <f>IFERROR(H52*K52,0)*1000</f>
        <v>66320.437514601217</v>
      </c>
      <c r="M52" s="30">
        <f>207.84*K52</f>
        <v>9546.0912000000008</v>
      </c>
      <c r="N52" s="29">
        <f t="shared" si="8"/>
        <v>2897.1687383854637</v>
      </c>
      <c r="O52" s="29">
        <f t="shared" si="9"/>
        <v>5695.3428590923495</v>
      </c>
      <c r="P52" s="29">
        <f t="shared" si="10"/>
        <v>4552.8067104423453</v>
      </c>
      <c r="Q52" s="29">
        <v>0</v>
      </c>
      <c r="R52" s="31">
        <v>0</v>
      </c>
      <c r="S52" s="32">
        <f t="shared" si="5"/>
        <v>84459.040312079014</v>
      </c>
      <c r="T52" s="32">
        <f t="shared" si="6"/>
        <v>1838.8643656015461</v>
      </c>
    </row>
    <row r="53" spans="1:20" x14ac:dyDescent="0.3">
      <c r="A53" s="16">
        <v>10007152</v>
      </c>
      <c r="B53" s="7" t="s">
        <v>53</v>
      </c>
      <c r="C53" s="2">
        <v>0</v>
      </c>
      <c r="D53" s="3"/>
      <c r="E53" s="4">
        <v>0</v>
      </c>
      <c r="K53" s="28"/>
      <c r="L53" s="29"/>
      <c r="M53" s="30"/>
      <c r="N53" s="29"/>
      <c r="O53" s="29"/>
      <c r="P53" s="29"/>
      <c r="Q53" s="29">
        <v>0</v>
      </c>
      <c r="R53" s="31">
        <v>0</v>
      </c>
      <c r="S53" s="32">
        <f t="shared" si="5"/>
        <v>0</v>
      </c>
      <c r="T53" s="32">
        <f t="shared" si="6"/>
        <v>0</v>
      </c>
    </row>
    <row r="54" spans="1:20" x14ac:dyDescent="0.3">
      <c r="A54" s="16">
        <v>10007151</v>
      </c>
      <c r="B54" s="7" t="s">
        <v>54</v>
      </c>
      <c r="C54" s="2">
        <v>0</v>
      </c>
      <c r="D54" s="3"/>
      <c r="E54" s="4">
        <v>0</v>
      </c>
      <c r="K54" s="28"/>
      <c r="L54" s="29"/>
      <c r="M54" s="30"/>
      <c r="N54" s="29"/>
      <c r="O54" s="29"/>
      <c r="P54" s="29"/>
      <c r="Q54" s="29">
        <v>0</v>
      </c>
      <c r="R54" s="31">
        <v>0</v>
      </c>
      <c r="S54" s="32">
        <f t="shared" si="5"/>
        <v>0</v>
      </c>
      <c r="T54" s="32">
        <f t="shared" si="6"/>
        <v>0</v>
      </c>
    </row>
    <row r="55" spans="1:20" x14ac:dyDescent="0.3">
      <c r="A55" s="16">
        <v>10007051</v>
      </c>
      <c r="B55" s="7" t="s">
        <v>55</v>
      </c>
      <c r="C55" s="2">
        <v>0</v>
      </c>
      <c r="D55" s="3"/>
      <c r="E55" s="4">
        <v>0</v>
      </c>
      <c r="K55" s="28"/>
      <c r="L55" s="29"/>
      <c r="M55" s="30"/>
      <c r="N55" s="29"/>
      <c r="O55" s="29"/>
      <c r="P55" s="29"/>
      <c r="Q55" s="29">
        <v>0</v>
      </c>
      <c r="R55" s="31">
        <v>0</v>
      </c>
      <c r="S55" s="32">
        <f t="shared" si="5"/>
        <v>0</v>
      </c>
      <c r="T55" s="32">
        <f t="shared" si="6"/>
        <v>0</v>
      </c>
    </row>
    <row r="56" spans="1:20" x14ac:dyDescent="0.3">
      <c r="A56" s="16">
        <v>10009650</v>
      </c>
      <c r="B56" s="7" t="s">
        <v>56</v>
      </c>
      <c r="C56" s="2">
        <v>184620</v>
      </c>
      <c r="D56" s="3"/>
      <c r="E56" s="4">
        <f>+C56</f>
        <v>184620</v>
      </c>
      <c r="K56" s="28"/>
      <c r="L56" s="29"/>
      <c r="M56" s="30"/>
      <c r="N56" s="29"/>
      <c r="O56" s="29"/>
      <c r="P56" s="29"/>
      <c r="Q56" s="29">
        <v>0</v>
      </c>
      <c r="R56" s="31">
        <v>0</v>
      </c>
      <c r="S56" s="32">
        <f t="shared" si="5"/>
        <v>0</v>
      </c>
      <c r="T56" s="32">
        <f t="shared" si="6"/>
        <v>0</v>
      </c>
    </row>
    <row r="57" spans="1:20" x14ac:dyDescent="0.3">
      <c r="A57" s="16">
        <v>10009828</v>
      </c>
      <c r="B57" s="7" t="s">
        <v>57</v>
      </c>
      <c r="C57" s="2">
        <v>0</v>
      </c>
      <c r="D57" s="3"/>
      <c r="E57" s="4">
        <v>0</v>
      </c>
      <c r="K57" s="28"/>
      <c r="L57" s="29"/>
      <c r="M57" s="30"/>
      <c r="N57" s="29"/>
      <c r="O57" s="29"/>
      <c r="P57" s="29"/>
      <c r="Q57" s="29">
        <v>0</v>
      </c>
      <c r="R57" s="31">
        <v>0</v>
      </c>
      <c r="S57" s="32">
        <f t="shared" si="5"/>
        <v>0</v>
      </c>
      <c r="T57" s="32">
        <f t="shared" si="6"/>
        <v>0</v>
      </c>
    </row>
    <row r="58" spans="1:20" ht="16.2" thickBot="1" x14ac:dyDescent="0.35">
      <c r="A58" s="17"/>
      <c r="B58" s="9" t="s">
        <v>58</v>
      </c>
      <c r="C58" s="2">
        <v>0</v>
      </c>
      <c r="D58" s="3"/>
      <c r="E58" s="4">
        <v>0</v>
      </c>
      <c r="K58" s="28"/>
      <c r="L58" s="29"/>
      <c r="M58" s="30"/>
      <c r="N58" s="29"/>
      <c r="O58" s="29"/>
      <c r="P58" s="29"/>
      <c r="Q58" s="29">
        <v>0</v>
      </c>
      <c r="R58" s="31">
        <v>0</v>
      </c>
      <c r="S58" s="32">
        <f t="shared" si="5"/>
        <v>0</v>
      </c>
      <c r="T58" s="32">
        <f t="shared" si="6"/>
        <v>0</v>
      </c>
    </row>
    <row r="59" spans="1:20" ht="16.2" thickBot="1" x14ac:dyDescent="0.35">
      <c r="A59" s="18"/>
      <c r="B59" s="18" t="s">
        <v>59</v>
      </c>
      <c r="C59" s="2">
        <f>SUM(C2:C58)</f>
        <v>2021759</v>
      </c>
      <c r="D59" s="3">
        <f>SUM(D2:D58)</f>
        <v>950960</v>
      </c>
      <c r="E59" s="4">
        <f>SUM(E2:E58)</f>
        <v>1070799</v>
      </c>
      <c r="K59" s="40">
        <f>SUM(K2:K58)</f>
        <v>1245.7450000000003</v>
      </c>
      <c r="L59" s="41">
        <f>SUM(L2:L58)</f>
        <v>2240969.244267697</v>
      </c>
      <c r="M59" s="41">
        <f t="shared" ref="M59:Q59" si="11">SUM(M2:M58)</f>
        <v>258915.64079999994</v>
      </c>
      <c r="N59" s="41">
        <f t="shared" si="11"/>
        <v>78578.999999999985</v>
      </c>
      <c r="O59" s="41">
        <f t="shared" si="11"/>
        <v>154472.99999999997</v>
      </c>
      <c r="P59" s="41">
        <f t="shared" si="11"/>
        <v>123484.34999999996</v>
      </c>
      <c r="Q59" s="41">
        <f t="shared" si="11"/>
        <v>0</v>
      </c>
      <c r="R59" s="42">
        <v>0</v>
      </c>
      <c r="S59" s="43">
        <f>SUM(S2:S58)</f>
        <v>2732936.8850676967</v>
      </c>
      <c r="T59" s="43">
        <f>IFERROR(S59/K59,0)</f>
        <v>2193.8172620140526</v>
      </c>
    </row>
    <row r="60" spans="1:20" ht="16.2" thickBot="1" x14ac:dyDescent="0.35">
      <c r="K60"/>
      <c r="L60"/>
      <c r="M60"/>
      <c r="N60"/>
      <c r="O60"/>
      <c r="P60"/>
      <c r="Q60"/>
      <c r="R60"/>
      <c r="S60"/>
      <c r="T60"/>
    </row>
    <row r="61" spans="1:20" ht="16.2" thickBot="1" x14ac:dyDescent="0.35">
      <c r="K61"/>
      <c r="L61"/>
      <c r="M61" t="s">
        <v>77</v>
      </c>
      <c r="N61" s="41">
        <v>78579.000000000015</v>
      </c>
      <c r="O61" s="41">
        <v>154473.00000000003</v>
      </c>
      <c r="P61" s="41">
        <v>123484.35000000002</v>
      </c>
      <c r="Q61"/>
      <c r="R61"/>
      <c r="S61"/>
      <c r="T6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 AL 15-6-2026</vt:lpstr>
      <vt:lpstr>TD</vt:lpstr>
      <vt:lpstr>Stock Libre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Jerecson Frank Ali Encalada (PFRO)</dc:creator>
  <cp:lastModifiedBy>Rodrigo Sebastian Martinez Montalvo (PFRO)</cp:lastModifiedBy>
  <dcterms:created xsi:type="dcterms:W3CDTF">2026-06-15T15:03:25Z</dcterms:created>
  <dcterms:modified xsi:type="dcterms:W3CDTF">2026-06-15T22:59:05Z</dcterms:modified>
</cp:coreProperties>
</file>