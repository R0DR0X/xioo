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MEN AL 15-6-2026" sheetId="1" state="visible" r:id="rId3"/>
    <sheet name="TD" sheetId="2" state="visible" r:id="rId4"/>
    <sheet name="Stock Libre" sheetId="3" state="visible" r:id="rId5"/>
  </sheets>
  <externalReferences>
    <externalReference r:id="rId6"/>
    <externalReference r:id="rId7"/>
  </externalReferenc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<sst xmlns="http://schemas.openxmlformats.org/spreadsheetml/2006/main" count="180" uniqueCount="125">
  <si>
    <t xml:space="preserve">PERU FROST</t>
  </si>
  <si>
    <t xml:space="preserve">AVANCE COMERCIAL AL 15-6-2026</t>
  </si>
  <si>
    <t xml:space="preserve">RENTABILIDAD DEL INVENTARIO</t>
  </si>
  <si>
    <t xml:space="preserve">POR DEFINIR</t>
  </si>
  <si>
    <t xml:space="preserve">TOTAL PROYECTADO JUNIO 2026</t>
  </si>
  <si>
    <t xml:space="preserve">UNITARIOS POR TM</t>
  </si>
  <si>
    <t xml:space="preserve">Código</t>
  </si>
  <si>
    <t xml:space="preserve">Producto</t>
  </si>
  <si>
    <t xml:space="preserve">TM en 
Stock Libre</t>
  </si>
  <si>
    <t xml:space="preserve">CU</t>
  </si>
  <si>
    <t xml:space="preserve">Costo Ventas</t>
  </si>
  <si>
    <t xml:space="preserve">Gasto Ventas</t>
  </si>
  <si>
    <t xml:space="preserve">Gasto ADM</t>
  </si>
  <si>
    <t xml:space="preserve">Gasto Fin</t>
  </si>
  <si>
    <t xml:space="preserve">Depreciación</t>
  </si>
  <si>
    <t xml:space="preserve">Utilidad Neta</t>
  </si>
  <si>
    <t xml:space="preserve">Margen Neto</t>
  </si>
  <si>
    <t xml:space="preserve">Venta Equilibrio 
a Utd Neta</t>
  </si>
  <si>
    <t xml:space="preserve">Precio Equilibrio 
x TM a Utd Neta</t>
  </si>
  <si>
    <t xml:space="preserve">Venta Equilibro 
a EBITDA</t>
  </si>
  <si>
    <t xml:space="preserve">Precio Equilibrio 
x TM a EBITDA</t>
  </si>
  <si>
    <t xml:space="preserve">Precio Mercado</t>
  </si>
  <si>
    <t xml:space="preserve">Venta total</t>
  </si>
  <si>
    <t xml:space="preserve">Utilidad</t>
  </si>
  <si>
    <t xml:space="preserve">Mg Neto</t>
  </si>
  <si>
    <t xml:space="preserve">EBITDA</t>
  </si>
  <si>
    <t xml:space="preserve">Mg EBITDA</t>
  </si>
  <si>
    <t xml:space="preserve">TM</t>
  </si>
  <si>
    <t xml:space="preserve">Venta</t>
  </si>
  <si>
    <t xml:space="preserve">Precio x TM</t>
  </si>
  <si>
    <t xml:space="preserve">Gasto Adm</t>
  </si>
  <si>
    <t xml:space="preserve">Drawback</t>
  </si>
  <si>
    <t xml:space="preserve">Utilidad 
Neta</t>
  </si>
  <si>
    <t xml:space="preserve">Mg Neto %</t>
  </si>
  <si>
    <t xml:space="preserve">MG 
EBITDA</t>
  </si>
  <si>
    <t xml:space="preserve">POTA FILETE CONGELADO</t>
  </si>
  <si>
    <t xml:space="preserve">POTA NUCAS CONGELADAS</t>
  </si>
  <si>
    <t xml:space="preserve">POTA ALAS CONGELADAS</t>
  </si>
  <si>
    <t xml:space="preserve">POTA RECORTES COCIDOS</t>
  </si>
  <si>
    <t xml:space="preserve">POTA REJOS CONGELADOS</t>
  </si>
  <si>
    <t xml:space="preserve">POTA REPRODUCTORES</t>
  </si>
  <si>
    <t xml:space="preserve">POTA CONOS</t>
  </si>
  <si>
    <t xml:space="preserve">POTA FILETE DARUMA</t>
  </si>
  <si>
    <t xml:space="preserve">POTA ALAS COCIDAS</t>
  </si>
  <si>
    <t xml:space="preserve">VENTOSAS</t>
  </si>
  <si>
    <t xml:space="preserve">OTROS</t>
  </si>
  <si>
    <t xml:space="preserve">TOTAL</t>
  </si>
  <si>
    <t xml:space="preserve">flete x tm</t>
  </si>
  <si>
    <t xml:space="preserve">CÓDIGO</t>
  </si>
  <si>
    <t xml:space="preserve">Suma de TM en Stock</t>
  </si>
  <si>
    <t xml:space="preserve">Suma de Costo Ventas</t>
  </si>
  <si>
    <t xml:space="preserve">Suma de Gasto Ventas</t>
  </si>
  <si>
    <t xml:space="preserve">Suma de Gasto ADM</t>
  </si>
  <si>
    <t xml:space="preserve">Suma de Gasto Fin</t>
  </si>
  <si>
    <t xml:space="preserve">Suma de Depreciación</t>
  </si>
  <si>
    <t xml:space="preserve">(vacío)</t>
  </si>
  <si>
    <t xml:space="preserve">Total Resultado</t>
  </si>
  <si>
    <t xml:space="preserve">CODIGO</t>
  </si>
  <si>
    <t xml:space="preserve">PRODUCTO</t>
  </si>
  <si>
    <t xml:space="preserve">TOTAL STOCK</t>
  </si>
  <si>
    <t xml:space="preserve">POR EMBARCAR</t>
  </si>
  <si>
    <t xml:space="preserve">STOCK LIBRE</t>
  </si>
  <si>
    <t xml:space="preserve">CU X TM</t>
  </si>
  <si>
    <t xml:space="preserve">% MP</t>
  </si>
  <si>
    <t xml:space="preserve">incremento MP</t>
  </si>
  <si>
    <t xml:space="preserve">TM en Stock</t>
  </si>
  <si>
    <t xml:space="preserve">Venta Equilibrio</t>
  </si>
  <si>
    <t xml:space="preserve">Precio Equilibrio x TM</t>
  </si>
  <si>
    <t xml:space="preserve">POTA ALAS FR C/P C/C (B) S/COD BL10 S20</t>
  </si>
  <si>
    <t xml:space="preserve">POTA ALAS FR C/P C/C &lt;0.5 BL10 S20</t>
  </si>
  <si>
    <t xml:space="preserve">POTA ALAS FR C/P C/C 0.5-1 BL10 S20</t>
  </si>
  <si>
    <t xml:space="preserve">POTA ALAS FR C/P C/C 0.3 - 0.5 BL10 S20</t>
  </si>
  <si>
    <t xml:space="preserve">POTA ALAS FR C/P C/C 1-2 BL10 S20  </t>
  </si>
  <si>
    <t xml:space="preserve">POTA ALAS FR C/P C/C 1-2 BL10 S20  ENTERA</t>
  </si>
  <si>
    <t xml:space="preserve">POTA ALAS FR C/P C/C 2up</t>
  </si>
  <si>
    <t xml:space="preserve">POTA LABIOS FR S/COD BL10 S20</t>
  </si>
  <si>
    <t xml:space="preserve">POTA ENTERA &lt; 1KG</t>
  </si>
  <si>
    <t xml:space="preserve">TUBO ALETA 0.1-0.5 KG</t>
  </si>
  <si>
    <t xml:space="preserve">TUBO ALETA 0.5-1.0 KG</t>
  </si>
  <si>
    <t xml:space="preserve">TUBO ALETA 1.0-1.5 kg</t>
  </si>
  <si>
    <t xml:space="preserve">TUBO ALETA 1.0-2.0 KG</t>
  </si>
  <si>
    <t xml:space="preserve">POTA FILETE C/M C/T FR 0.5-1.0 BL10 S20  </t>
  </si>
  <si>
    <t xml:space="preserve">POTA FILETE C/M C/T FR 1-2 BL10 S20  </t>
  </si>
  <si>
    <t xml:space="preserve"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</si>
  <si>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</si>
  <si>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</si>
  <si>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</si>
  <si>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 xml:space="preserve">POTA FILETE C/M C/T FR 1-2 AA BL10 S20  </t>
  </si>
  <si>
    <t xml:space="preserve">POTA FILETE C/M C/T FR 0.5-1.0 AAA  BL10 S20  </t>
  </si>
  <si>
    <t xml:space="preserve">POTA FILETE C/M C/T FR 1-2 AAA BL10 S20  </t>
  </si>
  <si>
    <t xml:space="preserve">POTA FILETE C/M C/T FR 2-4 AAA BL10 S20  </t>
  </si>
  <si>
    <t xml:space="preserve">POTA FILETE SM ST 1-2 CM/ESP </t>
  </si>
  <si>
    <t xml:space="preserve">POTA NUCAS FR ABIERTAS 0.1 - 0.3 BL10 S2</t>
  </si>
  <si>
    <t xml:space="preserve">POTA NUCAS FR CERRADA 0.1 - 0.3 BL10 S2</t>
  </si>
  <si>
    <t xml:space="preserve">POTA NUCAS FR CERRADA &lt;0.1 BL10 S2</t>
  </si>
  <si>
    <t xml:space="preserve">POTA NUCAS FR ABIERTAS 0.5-1 BL10 S20</t>
  </si>
  <si>
    <t xml:space="preserve">POTA NUCAS FR ABIERTAS 0.3-0.5 BL10 S20</t>
  </si>
  <si>
    <t xml:space="preserve">POTA NUCAS FR ABIERTAS 1-2 BL10 S20</t>
  </si>
  <si>
    <t xml:space="preserve">POTA REJOS OR FR LIMPIOS S/COD BL10 S20</t>
  </si>
  <si>
    <t xml:space="preserve">POTA REJOS OR FR LIMPIOS &lt;60 cm BL10 S20</t>
  </si>
  <si>
    <t xml:space="preserve">POTA REJOS FR C/U C/V S/OR &lt;0.1 BL10</t>
  </si>
  <si>
    <t xml:space="preserve">POTA REJOS FR C/U C/V S/OR 0.1-0.3 BL10</t>
  </si>
  <si>
    <t xml:space="preserve">POTA REJOS FR  C/U C/V S/OR 0.3-0.5BL10</t>
  </si>
  <si>
    <t xml:space="preserve">POTA REJOS FR  C/U C/V S/OR 0.5-1.0 BL10</t>
  </si>
  <si>
    <t xml:space="preserve">POTA REJOS FR C/B S/U S/V S/OR 0.3-0.5 BL10</t>
  </si>
  <si>
    <t xml:space="preserve">POTA REJOS FR C/B S/U S/V S/OR 0.5-1 BL1 0</t>
  </si>
  <si>
    <t xml:space="preserve">POTA REJOS FR C/B C/U C/V S/OR 1.0  up BL 10S20</t>
  </si>
  <si>
    <t xml:space="preserve">POTA REJOS FR C/B S/U S/V S/OR 2-UP BL10</t>
  </si>
  <si>
    <t xml:space="preserve">POTA REJOS FR C/B S/U S/V S/OR 1-2 BL10  </t>
  </si>
  <si>
    <t xml:space="preserve">VENTOSAS DE REJOS</t>
  </si>
  <si>
    <t xml:space="preserve">POTA FILETE PRE COCIDO S/M S/T C/P S/COD  </t>
  </si>
  <si>
    <t xml:space="preserve">POTA FILETE PRE COCIDO S/M S/T C/P 0.6-1.0</t>
  </si>
  <si>
    <t xml:space="preserve">POTA ALAS PRE COC S/COD BL10 S20</t>
  </si>
  <si>
    <t xml:space="preserve">POTA ALAS PRE COC 0.3up BL9 S18</t>
  </si>
  <si>
    <t xml:space="preserve">POTA ALAS PRE COC B BL9 S18</t>
  </si>
  <si>
    <t xml:space="preserve">POTA RECORTES PRE COC BL10 S20</t>
  </si>
  <si>
    <t xml:space="preserve">POTA RECORTES LAM PRE COC (M) BL7.5 S15</t>
  </si>
  <si>
    <t xml:space="preserve">POTA RECORTES LAM PRE COC (T) BL7.5 S15</t>
  </si>
  <si>
    <t xml:space="preserve">RECORTE FR MEMBRANA</t>
  </si>
  <si>
    <t xml:space="preserve">RECORTE FR TELILLA</t>
  </si>
  <si>
    <t xml:space="preserve">RECORTE FR</t>
  </si>
  <si>
    <t xml:space="preserve">FILETE cm ct PARA REPROCESO</t>
  </si>
  <si>
    <t xml:space="preserve">PICOS LIMPIOS</t>
  </si>
  <si>
    <t xml:space="preserve">FILETE S/M S/T FR 1.0 - 2.0 CM/ESP BL10 S20</t>
  </si>
  <si>
    <t xml:space="preserve">totales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</si>
</sst>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_-;\-* #,##0_-;_-* \-??_-;_-@_-"/>
    <numFmt numFmtId="166" formatCode="0\ %"/>
    <numFmt numFmtId="167" formatCode="0.0%"/>
    <numFmt numFmtId="168" formatCode="_-* #,##0.00_-;\-* #,##0.00_-;_-* \-??_-;_-@_-"/>
    <numFmt numFmtId="169" formatCode="dd\-mmm"/>
    <numFmt numFmtId="170" formatCode="0"/>
    <numFmt numFmtId="171" formatCode="_-* #,##0.0000_-;\-* #,##0.0000_-;_-* \-??_-;_-@_-"/>
    <numFmt numFmtId="172" formatCode="#,##0.00"/>
    <numFmt numFmtId="173" formatCode="#,##0"/>
    <numFmt numFmtId="174" formatCode="0.000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color theme="1"/>
      <name val="Cambria"/>
      <family val="1"/>
      <charset val="1"/>
    </font>
    <font>
      <b val="true"/>
      <sz val="11"/>
      <color rgb="FFFF0000"/>
      <name val="Cambria"/>
      <family val="1"/>
      <charset val="1"/>
    </font>
    <font>
      <b val="true"/>
      <sz val="12"/>
      <name val="Aptos Narrow"/>
      <family val="2"/>
      <charset val="1"/>
    </font>
    <font>
      <sz val="11"/>
      <color theme="1"/>
      <name val="Cambria"/>
      <family val="1"/>
      <charset val="1"/>
    </font>
    <font>
      <sz val="12"/>
      <color rgb="FFFF0000"/>
      <name val="Aptos Narrow"/>
      <family val="2"/>
      <charset val="1"/>
    </font>
    <font>
      <b val="true"/>
      <sz val="12"/>
      <color rgb="FFFF0000"/>
      <name val="Aptos Narrow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7" tint="0.7999"/>
        <bgColor rgb="FFC1E5F5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AEEFB"/>
      </patternFill>
    </fill>
    <fill>
      <patternFill patternType="solid">
        <fgColor theme="9" tint="0.7999"/>
        <bgColor rgb="FFC2F1C8"/>
      </patternFill>
    </fill>
    <fill>
      <patternFill patternType="solid">
        <fgColor theme="6" tint="0.7999"/>
        <bgColor rgb="FFD9F2D0"/>
      </patternFill>
    </fill>
    <fill>
      <patternFill patternType="solid">
        <fgColor theme="7" tint="0.3999"/>
        <bgColor rgb="FF96DCF8"/>
      </patternFill>
    </fill>
    <fill>
      <patternFill patternType="solid">
        <fgColor theme="9" tint="0.5999"/>
        <bgColor rgb="FFC2F1C8"/>
      </patternFill>
    </fill>
    <fill>
      <patternFill patternType="solid">
        <fgColor theme="0" tint="-0.15"/>
        <bgColor rgb="FFF2CFEE"/>
      </patternFill>
    </fill>
    <fill>
      <patternFill patternType="solid">
        <fgColor theme="5" tint="0.7999"/>
        <bgColor rgb="FFF2CFEE"/>
      </patternFill>
    </fill>
    <fill>
      <patternFill patternType="solid">
        <fgColor theme="0"/>
        <bgColor rgb="FFFBE3D6"/>
      </patternFill>
    </fill>
    <fill>
      <patternFill patternType="solid">
        <fgColor theme="8" tint="0.7999"/>
        <bgColor rgb="FFD9D9D9"/>
      </patternFill>
    </fill>
    <fill>
      <patternFill patternType="solid">
        <fgColor theme="5" tint="0.3999"/>
        <bgColor rgb="FFF6C6AD"/>
      </patternFill>
    </fill>
    <fill>
      <patternFill patternType="solid">
        <fgColor theme="7" tint="0.5999"/>
        <bgColor rgb="FFC1E5F5"/>
      </patternFill>
    </fill>
    <fill>
      <patternFill patternType="solid">
        <fgColor theme="5" tint="0.5999"/>
        <bgColor rgb="FFF2CFEE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6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7" borderId="1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6" borderId="16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3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4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3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1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3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13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3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1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1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3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E5A2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F2D0"/>
      <rgbColor rgb="FFC2F1C8"/>
      <rgbColor rgb="FFC1E5F5"/>
      <rgbColor rgb="FF96DCF8"/>
      <rgbColor rgb="FFF2AA84"/>
      <rgbColor rgb="FFF2CFEE"/>
      <rgbColor rgb="FFF6C6AD"/>
      <rgbColor rgb="FF3366FF"/>
      <rgbColor rgb="FF61CBF4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Documentos/UNIVERSIDAD%20PSICOLOGIA/PSICOTERAPIAS/RESUMEN%20VENTAS%20EXPORTACION%202025%20al%2015-6-2026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Documentos/UNIVERSIDAD%20PSICOLOGIA/PSICOTERAPIAS/Ajuste%20Stock%20Abril%202026%20v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talle1"/>
      <sheetName val="FLETES"/>
      <sheetName val="Hoja1"/>
      <sheetName val="Hoja2"/>
      <sheetName val="2026"/>
      <sheetName val="PROGRAMACION"/>
      <sheetName val="2025 TOTAS FP"/>
      <sheetName val="EECC GLOBAL"/>
      <sheetName val="FP CHINA"/>
      <sheetName val="Tabla"/>
      <sheetName val="Sanming237"/>
    </sheetNames>
    <sheetDataSet>
      <sheetData sheetId="0"/>
      <sheetData sheetId="1"/>
      <sheetData sheetId="2"/>
      <sheetData sheetId="3">
        <row r="5">
          <cell r="F5">
            <v>46174</v>
          </cell>
        </row>
        <row r="5">
          <cell r="I5">
            <v>26</v>
          </cell>
          <cell r="J5">
            <v>36400</v>
          </cell>
          <cell r="K5" t="str">
            <v>OTROS</v>
          </cell>
        </row>
        <row r="6">
          <cell r="F6">
            <v>46182</v>
          </cell>
        </row>
        <row r="6">
          <cell r="I6">
            <v>27</v>
          </cell>
          <cell r="J6">
            <v>116100</v>
          </cell>
          <cell r="K6" t="str">
            <v>POTA ALAS COCIDAS</v>
          </cell>
        </row>
        <row r="7">
          <cell r="F7">
            <v>46182</v>
          </cell>
        </row>
        <row r="7">
          <cell r="I7">
            <v>26</v>
          </cell>
          <cell r="J7">
            <v>33800</v>
          </cell>
          <cell r="K7" t="str">
            <v>POTA NUCAS CONGELADAS</v>
          </cell>
        </row>
        <row r="8">
          <cell r="F8">
            <v>46185</v>
          </cell>
        </row>
        <row r="8">
          <cell r="I8">
            <v>72</v>
          </cell>
          <cell r="J8">
            <v>151200</v>
          </cell>
          <cell r="K8" t="str">
            <v>POTA ALAS CONGELADAS</v>
          </cell>
        </row>
        <row r="9">
          <cell r="F9">
            <v>46185</v>
          </cell>
        </row>
        <row r="9">
          <cell r="I9">
            <v>108</v>
          </cell>
          <cell r="J9">
            <v>421200</v>
          </cell>
          <cell r="K9" t="str">
            <v>POTA FILETE DARUMA</v>
          </cell>
        </row>
        <row r="10">
          <cell r="F10">
            <v>46185</v>
          </cell>
        </row>
        <row r="10">
          <cell r="I10">
            <v>27</v>
          </cell>
          <cell r="J10">
            <v>82350</v>
          </cell>
          <cell r="K10" t="str">
            <v>POTA REJOS CONGELADOS</v>
          </cell>
        </row>
        <row r="11">
          <cell r="F11">
            <v>46188</v>
          </cell>
        </row>
        <row r="11">
          <cell r="I11">
            <v>26</v>
          </cell>
          <cell r="J11">
            <v>67600</v>
          </cell>
          <cell r="K11" t="str">
            <v>POTA REJOS CONGELADOS</v>
          </cell>
        </row>
        <row r="12">
          <cell r="F12">
            <v>46192</v>
          </cell>
        </row>
        <row r="12">
          <cell r="I12">
            <v>54</v>
          </cell>
          <cell r="J12">
            <v>232200</v>
          </cell>
          <cell r="K12" t="str">
            <v>POTA ALAS COCIDAS</v>
          </cell>
        </row>
        <row r="13">
          <cell r="F13">
            <v>46192</v>
          </cell>
        </row>
        <row r="13">
          <cell r="I13">
            <v>27</v>
          </cell>
          <cell r="J13">
            <v>59400</v>
          </cell>
          <cell r="K13" t="str">
            <v>POTA ALAS CONGELADAS</v>
          </cell>
        </row>
        <row r="14">
          <cell r="F14">
            <v>46192</v>
          </cell>
        </row>
        <row r="14">
          <cell r="I14">
            <v>27</v>
          </cell>
          <cell r="J14">
            <v>46710</v>
          </cell>
          <cell r="K14" t="str">
            <v>POTA CONOS</v>
          </cell>
        </row>
        <row r="15">
          <cell r="F15">
            <v>46192</v>
          </cell>
        </row>
        <row r="15">
          <cell r="I15">
            <v>78</v>
          </cell>
          <cell r="J15">
            <v>164280</v>
          </cell>
          <cell r="K15" t="str">
            <v>POTA FILETE CONGELADO</v>
          </cell>
        </row>
        <row r="16">
          <cell r="F16">
            <v>46195</v>
          </cell>
        </row>
        <row r="16">
          <cell r="I16">
            <v>53</v>
          </cell>
          <cell r="J16">
            <v>147810</v>
          </cell>
          <cell r="K16" t="str">
            <v>POTA REPRODUCTORES</v>
          </cell>
        </row>
        <row r="17">
          <cell r="F17" t="str">
            <v>POR DEFINIR</v>
          </cell>
        </row>
        <row r="17">
          <cell r="I17">
            <v>48</v>
          </cell>
          <cell r="J17">
            <v>81600</v>
          </cell>
          <cell r="K17" t="str">
            <v>POTA FILETE CONGELADO</v>
          </cell>
        </row>
        <row r="18">
          <cell r="F18" t="str">
            <v>POR DEFINIR</v>
          </cell>
        </row>
        <row r="18">
          <cell r="I18">
            <v>27</v>
          </cell>
          <cell r="J18">
            <v>105300</v>
          </cell>
          <cell r="K18" t="str">
            <v>POTA FILETE DARUMA</v>
          </cell>
        </row>
        <row r="19">
          <cell r="F19" t="str">
            <v>POR DEFINIR</v>
          </cell>
        </row>
        <row r="19">
          <cell r="I19">
            <v>78</v>
          </cell>
          <cell r="J19">
            <v>102700</v>
          </cell>
          <cell r="K19" t="str">
            <v>POTA NUCAS CONGELADAS</v>
          </cell>
        </row>
        <row r="20">
          <cell r="F20" t="str">
            <v>POR DEFINIR</v>
          </cell>
        </row>
        <row r="20">
          <cell r="I20">
            <v>52</v>
          </cell>
          <cell r="J20">
            <v>135200</v>
          </cell>
          <cell r="K20" t="str">
            <v>POTA REJOS CONGELADOS</v>
          </cell>
        </row>
        <row r="21">
          <cell r="F21" t="str">
            <v>POR DEFINIR</v>
          </cell>
        </row>
        <row r="21">
          <cell r="I21">
            <v>81</v>
          </cell>
          <cell r="J21">
            <v>329400</v>
          </cell>
          <cell r="K21" t="str">
            <v>POTA ALAS COCIDAS</v>
          </cell>
        </row>
        <row r="22">
          <cell r="F22" t="str">
            <v>POR DEFINIR</v>
          </cell>
        </row>
        <row r="22">
          <cell r="I22">
            <v>41</v>
          </cell>
          <cell r="J22">
            <v>85340</v>
          </cell>
          <cell r="K22" t="str">
            <v>POTA FILETE CONGELADO</v>
          </cell>
        </row>
        <row r="23">
          <cell r="F23" t="str">
            <v>POR DEFINIR</v>
          </cell>
        </row>
        <row r="23">
          <cell r="I23">
            <v>270</v>
          </cell>
          <cell r="J23">
            <v>1066500</v>
          </cell>
          <cell r="K23" t="str">
            <v>POTA FILETE DARUMA</v>
          </cell>
        </row>
        <row r="24">
          <cell r="F24" t="str">
            <v>POR DEFINIR</v>
          </cell>
        </row>
        <row r="24">
          <cell r="I24">
            <v>27</v>
          </cell>
          <cell r="J24">
            <v>67500</v>
          </cell>
          <cell r="K24" t="str">
            <v>OTROS</v>
          </cell>
        </row>
        <row r="25">
          <cell r="F25" t="str">
            <v>POR DEFINIR</v>
          </cell>
        </row>
        <row r="25">
          <cell r="I25">
            <v>114</v>
          </cell>
          <cell r="J25">
            <v>152320</v>
          </cell>
          <cell r="K25" t="str">
            <v>POTA NUCAS CONGELADAS</v>
          </cell>
        </row>
        <row r="26">
          <cell r="F26" t="str">
            <v>POR DEFINIR</v>
          </cell>
        </row>
        <row r="26">
          <cell r="I26">
            <v>54</v>
          </cell>
          <cell r="J26">
            <v>136350</v>
          </cell>
          <cell r="K26" t="str">
            <v>POTA RECORTES COCIDOS</v>
          </cell>
        </row>
        <row r="27">
          <cell r="F27" t="str">
            <v>POR DEFINIR</v>
          </cell>
        </row>
        <row r="27">
          <cell r="I27">
            <v>54</v>
          </cell>
          <cell r="J27">
            <v>167400</v>
          </cell>
          <cell r="K27" t="str">
            <v>POTA REJOS CONGELADOS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K3">
            <v>2126.23065827932</v>
          </cell>
        </row>
        <row r="4">
          <cell r="K4">
            <v>2094.63611692601</v>
          </cell>
        </row>
        <row r="5">
          <cell r="K5">
            <v>1946.62027761428</v>
          </cell>
        </row>
        <row r="6">
          <cell r="K6">
            <v>2025.34244618655</v>
          </cell>
        </row>
        <row r="7">
          <cell r="K7">
            <v>2107.15119288635</v>
          </cell>
        </row>
        <row r="8">
          <cell r="C8">
            <v>10005721</v>
          </cell>
        </row>
        <row r="8">
          <cell r="K8">
            <v>2136.68678336387</v>
          </cell>
        </row>
        <row r="9">
          <cell r="K9">
            <v>1974.71978697415</v>
          </cell>
        </row>
        <row r="10">
          <cell r="K10">
            <v>1840.55642056797</v>
          </cell>
        </row>
        <row r="11">
          <cell r="C11">
            <v>10005779</v>
          </cell>
        </row>
        <row r="11">
          <cell r="K11">
            <v>1753.69344749958</v>
          </cell>
        </row>
        <row r="12">
          <cell r="K12">
            <v>1782.56409434187</v>
          </cell>
        </row>
        <row r="13">
          <cell r="K13">
            <v>1915.88691844407</v>
          </cell>
        </row>
        <row r="14">
          <cell r="C14">
            <v>10006719</v>
          </cell>
        </row>
        <row r="14">
          <cell r="K14">
            <v>2035.73856788373</v>
          </cell>
        </row>
        <row r="15">
          <cell r="C15">
            <v>10006720</v>
          </cell>
        </row>
        <row r="15">
          <cell r="K15">
            <v>1529.27573112526</v>
          </cell>
        </row>
        <row r="16">
          <cell r="K16">
            <v>1866.91666666667</v>
          </cell>
        </row>
        <row r="17">
          <cell r="K17">
            <v>1532.48942090589</v>
          </cell>
        </row>
        <row r="18">
          <cell r="K18">
            <v>1275.09950579163</v>
          </cell>
        </row>
        <row r="21">
          <cell r="K21">
            <v>1931.12800654429</v>
          </cell>
        </row>
        <row r="22">
          <cell r="K22">
            <v>1772.12990036488</v>
          </cell>
        </row>
        <row r="23">
          <cell r="C23">
            <v>10007162</v>
          </cell>
        </row>
        <row r="23">
          <cell r="K23">
            <v>1882.17951856385</v>
          </cell>
        </row>
        <row r="24">
          <cell r="C24">
            <v>10007969</v>
          </cell>
        </row>
        <row r="24">
          <cell r="K24">
            <v>1494.67937944409</v>
          </cell>
        </row>
        <row r="25">
          <cell r="K25">
            <v>1490.79158163265</v>
          </cell>
        </row>
        <row r="26">
          <cell r="K26">
            <v>1367.0473271805</v>
          </cell>
        </row>
        <row r="27">
          <cell r="K27">
            <v>1758.0827207757</v>
          </cell>
        </row>
        <row r="28">
          <cell r="K28">
            <v>1838.93571755725</v>
          </cell>
        </row>
        <row r="29">
          <cell r="C29">
            <v>10005781</v>
          </cell>
        </row>
        <row r="29">
          <cell r="K29">
            <v>1856.34584587274</v>
          </cell>
        </row>
        <row r="30">
          <cell r="K30">
            <v>1788.71150844786</v>
          </cell>
        </row>
        <row r="31">
          <cell r="K31">
            <v>2014.30392367067</v>
          </cell>
        </row>
        <row r="32">
          <cell r="C32">
            <v>10009207</v>
          </cell>
        </row>
        <row r="32">
          <cell r="K32">
            <v>1545.57560633382</v>
          </cell>
        </row>
        <row r="33">
          <cell r="K33">
            <v>3641.29464285714</v>
          </cell>
        </row>
        <row r="34">
          <cell r="C34">
            <v>10009239</v>
          </cell>
        </row>
        <row r="34">
          <cell r="K34">
            <v>3441.68166599735</v>
          </cell>
        </row>
        <row r="35">
          <cell r="K35">
            <v>1956.38461538462</v>
          </cell>
        </row>
        <row r="36">
          <cell r="K36">
            <v>3381.32058336714</v>
          </cell>
        </row>
        <row r="39">
          <cell r="K39">
            <v>1836.2230548455</v>
          </cell>
        </row>
        <row r="43">
          <cell r="C43">
            <v>10009334</v>
          </cell>
        </row>
        <row r="43">
          <cell r="K43">
            <v>3020.07403558104</v>
          </cell>
        </row>
        <row r="44">
          <cell r="K44">
            <v>1504.53923414462</v>
          </cell>
        </row>
        <row r="45">
          <cell r="K45">
            <v>2737.63484521898</v>
          </cell>
        </row>
        <row r="46">
          <cell r="C46">
            <v>10009386</v>
          </cell>
        </row>
        <row r="46">
          <cell r="K46">
            <v>1883.72629867809</v>
          </cell>
        </row>
        <row r="47">
          <cell r="C47">
            <v>10007050</v>
          </cell>
        </row>
        <row r="47">
          <cell r="K47">
            <v>1570.59633628428</v>
          </cell>
        </row>
        <row r="48">
          <cell r="K48">
            <v>1878.16553097233</v>
          </cell>
        </row>
        <row r="50">
          <cell r="K50">
            <v>14619.0692051979</v>
          </cell>
        </row>
        <row r="51">
          <cell r="K51">
            <v>48443.9880507842</v>
          </cell>
        </row>
        <row r="52">
          <cell r="K52">
            <v>12634.3815513627</v>
          </cell>
        </row>
        <row r="55">
          <cell r="K55">
            <v>1849.50510204082</v>
          </cell>
        </row>
        <row r="56">
          <cell r="K56">
            <v>1784.02062793132</v>
          </cell>
        </row>
        <row r="58">
          <cell r="K58">
            <v>2043.36320805775</v>
          </cell>
        </row>
        <row r="59">
          <cell r="K59">
            <v>2049.91149401842</v>
          </cell>
        </row>
        <row r="60">
          <cell r="C60">
            <v>10007567</v>
          </cell>
        </row>
        <row r="60">
          <cell r="K60">
            <v>1821.2402425897</v>
          </cell>
        </row>
        <row r="61">
          <cell r="K61">
            <v>1783.79839127504</v>
          </cell>
        </row>
        <row r="62">
          <cell r="K62">
            <v>1333.24417569816</v>
          </cell>
        </row>
        <row r="63">
          <cell r="K63">
            <v>1945.14829598407</v>
          </cell>
        </row>
      </sheetData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1" createdVersion="3">
  <cacheSource type="worksheet">
    <worksheetSource ref="G1:T52" sheet="Stock Libre"/>
  </cacheSource>
  <cacheFields count="14">
    <cacheField name="CÓDIGO" numFmtId="0">
      <sharedItems containsString="0" containsBlank="1" containsNumber="1" containsInteger="1" minValue="10005721" maxValue="10009386" count="12">
        <n v="10005721"/>
        <n v="10005779"/>
        <n v="10006719"/>
        <n v="10007050"/>
        <n v="10007162"/>
        <n v="10007567"/>
        <n v="10007969"/>
        <n v="10009207"/>
        <n v="10009239"/>
        <n v="10009334"/>
        <n v="10009386"/>
        <m/>
      </sharedItems>
    </cacheField>
    <cacheField name="CU X TM" numFmtId="0">
      <sharedItems containsString="0" containsBlank="1" containsNumber="1" minValue="1.36850381428571" maxValue="3.25487774469025" count="12">
        <n v="1.36850381428571"/>
        <n v="1.41687049869903"/>
        <n v="1.44394595067714"/>
        <n v="1.62201039563835"/>
        <n v="1.68265920704243"/>
        <n v="1.74069777348021"/>
        <n v="1.74217092686101"/>
        <n v="1.88267236105991"/>
        <n v="1.9845861732241"/>
        <n v="2.82442851148738"/>
        <n v="3.25487774469025"/>
        <m/>
      </sharedItems>
    </cacheField>
    <cacheField name="% MP" numFmtId="0">
      <sharedItems containsString="0" containsBlank="1" containsNumber="1" minValue="0.56" maxValue="0.71" count="6">
        <n v="0.56"/>
        <n v="0.65"/>
        <n v="0.67"/>
        <n v="0.68"/>
        <n v="0.71"/>
        <m/>
      </sharedItems>
    </cacheField>
    <cacheField name="incremento MP" numFmtId="0">
      <sharedItems containsSemiMixedTypes="0" containsString="0" containsNumber="1" minValue="-0.07" maxValue="-0.07" count="1">
        <n v="-0.07"/>
      </sharedItems>
    </cacheField>
    <cacheField name="TM en Stock" numFmtId="0">
      <sharedItems containsSemiMixedTypes="0" containsString="0" containsNumber="1" minValue="0" maxValue="530.42" count="30">
        <n v="0"/>
        <n v="0.34"/>
        <n v="0.96"/>
        <n v="1.04"/>
        <n v="1.08"/>
        <n v="1.22"/>
        <n v="1.4"/>
        <n v="2.68"/>
        <n v="3.02"/>
        <n v="3.2"/>
        <n v="8.78"/>
        <n v="11.34"/>
        <n v="12.28"/>
        <n v="12.9"/>
        <n v="13.96"/>
        <n v="14.4"/>
        <n v="16.4"/>
        <n v="22.74"/>
        <n v="28.6"/>
        <n v="29.06"/>
        <n v="29.52"/>
        <n v="32.86"/>
        <n v="35.12"/>
        <n v="40.1"/>
        <n v="45.93"/>
        <n v="57.395"/>
        <n v="72.18"/>
        <n v="93.08"/>
        <n v="123.74"/>
        <n v="530.42"/>
      </sharedItems>
    </cacheField>
    <cacheField name="Costo Ventas" numFmtId="0">
      <sharedItems containsSemiMixedTypes="0" containsString="0" containsNumber="1" minValue="0" maxValue="1052664.19800153" count="30">
        <n v="0"/>
        <n v="591.837242983272"/>
        <n v="1671.069862541"/>
        <n v="1686.89081146388"/>
        <n v="2123.65128364586"/>
        <n v="2143.35306708203"/>
        <n v="2778.42064251374"/>
        <n v="4665.07003292697"/>
        <n v="5685.67053040092"/>
        <n v="6350.67575431712"/>
        <n v="12440.1229785775"/>
        <n v="22505.2072043613"/>
        <n v="23119.2165938157"/>
        <n v="24286.4734576728"/>
        <n v="24300.1409177838"/>
        <n v="28571.6032005206"/>
        <n v="28578.040894427"/>
        <n v="31119.7767368571"/>
        <n v="47881.746879244"/>
        <n v="48124.0533214136"/>
        <n v="50584.677297335"/>
        <n v="55292.1815434144"/>
        <n v="65042.6168650978"/>
        <n v="66119.453320424"/>
        <n v="66320.4375146012"/>
        <n v="82875.2778391147"/>
        <n v="117076.710357176"/>
        <n v="150976.727626017"/>
        <n v="215393.942490441"/>
        <n v="1052664.19800153"/>
      </sharedItems>
    </cacheField>
    <cacheField name="Gasto Ventas" numFmtId="0">
      <sharedItems containsSemiMixedTypes="0" containsString="0" containsNumber="1" minValue="0" maxValue="110242.4928" count="30">
        <n v="0"/>
        <n v="70.6656"/>
        <n v="199.5264"/>
        <n v="216.1536"/>
        <n v="224.4672"/>
        <n v="253.5648"/>
        <n v="290.976"/>
        <n v="557.0112"/>
        <n v="627.6768"/>
        <n v="665.088"/>
        <n v="1824.8352"/>
        <n v="2356.9056"/>
        <n v="2552.2752"/>
        <n v="2681.136"/>
        <n v="2901.4464"/>
        <n v="2992.896"/>
        <n v="3408.576"/>
        <n v="4726.2816"/>
        <n v="5944.224"/>
        <n v="6039.8304"/>
        <n v="6135.4368"/>
        <n v="6829.6224"/>
        <n v="7299.3408"/>
        <n v="8334.384"/>
        <n v="9546.0912"/>
        <n v="11928.9768"/>
        <n v="15001.8912"/>
        <n v="19345.7472"/>
        <n v="25718.1216"/>
        <n v="110242.4928"/>
      </sharedItems>
    </cacheField>
    <cacheField name="Gasto ADM" numFmtId="0">
      <sharedItems containsSemiMixedTypes="0" containsString="0" containsNumber="1" minValue="0" maxValue="33457.7888572701" count="30">
        <n v="0"/>
        <n v="21.4464918582856"/>
        <n v="60.5548005410417"/>
        <n v="65.6010339194618"/>
        <n v="68.1241506086719"/>
        <n v="76.9550590209072"/>
        <n v="88.3090841223525"/>
        <n v="169.048818177075"/>
        <n v="190.49531003536"/>
        <n v="201.849335136806"/>
        <n v="553.824113281611"/>
        <n v="715.303581391055"/>
        <n v="774.596823587492"/>
        <n v="813.705132270248"/>
        <n v="880.567724534315"/>
        <n v="908.322008115626"/>
        <n v="1034.47784257613"/>
        <n v="1434.39183781593"/>
        <n v="1804.0284327852"/>
        <n v="1833.04427471112"/>
        <n v="1862.06011663703"/>
        <n v="2072.74036018607"/>
        <n v="2215.29645312644"/>
        <n v="2529.4244809331"/>
        <n v="2897.16873838546"/>
        <n v="3620.3570594303"/>
        <n v="4552.96406567957"/>
        <n v="5871.29253579184"/>
        <n v="7805.26147807135"/>
        <n v="33457.7888572701"/>
      </sharedItems>
    </cacheField>
    <cacheField name="Gasto Fin" numFmtId="0">
      <sharedItems containsSemiMixedTypes="0" containsString="0" containsNumber="1" minValue="0" maxValue="65772.3439869315" count="30">
        <n v="0"/>
        <n v="42.1601692160113"/>
        <n v="119.040477786385"/>
        <n v="128.960517601917"/>
        <n v="133.920537509683"/>
        <n v="151.280607186864"/>
        <n v="173.600696771811"/>
        <n v="332.321333820324"/>
        <n v="374.481503036336"/>
        <n v="396.801592621283"/>
        <n v="1088.72436975464"/>
        <n v="1406.16564385167"/>
        <n v="1522.72611168417"/>
        <n v="1599.60642025455"/>
        <n v="1731.04694781035"/>
        <n v="1785.60716679577"/>
        <n v="2033.60816218407"/>
        <n v="2819.77131756499"/>
        <n v="3546.41423405272"/>
        <n v="3603.45446299202"/>
        <n v="3660.49469193133"/>
        <n v="4074.6563542298"/>
        <n v="4354.89747901858"/>
        <n v="4972.41995753545"/>
        <n v="5695.34285909235"/>
        <n v="7117.00856515579"/>
        <n v="8950.35592356381"/>
        <n v="11541.9663253716"/>
        <n v="15343.8215846742"/>
        <n v="65772.3439869315"/>
      </sharedItems>
    </cacheField>
    <cacheField name="Depreciación" numFmtId="0">
      <sharedItems containsSemiMixedTypes="0" containsString="0" containsNumber="1" minValue="0" maxValue="52577.8300751759" count="30">
        <n v="0"/>
        <n v="33.7024663956107"/>
        <n v="95.1599051170183"/>
        <n v="103.089897210103"/>
        <n v="107.054893256646"/>
        <n v="120.932379419544"/>
        <n v="138.774861628985"/>
        <n v="265.654735118343"/>
        <n v="299.357201513953"/>
        <n v="317.199683723394"/>
        <n v="870.316632216063"/>
        <n v="1124.07637919478"/>
        <n v="1217.25378628853"/>
        <n v="1278.71122500993"/>
        <n v="1383.78362024331"/>
        <n v="1427.39857675528"/>
        <n v="1625.6483790824"/>
        <n v="2254.10025245937"/>
        <n v="2834.97217327784"/>
        <n v="2880.56962781308"/>
        <n v="2926.16708234831"/>
        <n v="3257.24425223461"/>
        <n v="3481.26652886425"/>
        <n v="3974.90853665879"/>
        <n v="4552.80671044235"/>
        <n v="5689.27370228257"/>
        <n v="7154.83536598582"/>
        <n v="9226.54580030424"/>
        <n v="12265.715269979"/>
        <n v="52577.8300751759"/>
      </sharedItems>
    </cacheField>
    <cacheField name="Utilidad Neta" numFmtId="0">
      <sharedItems containsSemiMixedTypes="0" containsString="0" containsNumber="1" containsInteger="1" minValue="0" maxValue="0" count="1">
        <n v="0"/>
      </sharedItems>
    </cacheField>
    <cacheField name="Margen Neto" numFmtId="0">
      <sharedItems containsSemiMixedTypes="0" containsString="0" containsNumber="1" containsInteger="1" minValue="0" maxValue="0" count="1">
        <n v="0"/>
      </sharedItems>
    </cacheField>
    <cacheField name="Venta Equilibrio" numFmtId="0">
      <sharedItems containsSemiMixedTypes="0" containsString="0" containsNumber="1" minValue="0" maxValue="1262136.82364573" count="30">
        <n v="0"/>
        <n v="726.109504057569"/>
        <n v="2050.19154086843"/>
        <n v="2097.60596298526"/>
        <n v="2569.86495520038"/>
        <n v="2605.45174985363"/>
        <n v="3331.3064234079"/>
        <n v="5723.45138492437"/>
        <n v="6878.32414347262"/>
        <n v="7614.41468207521"/>
        <n v="15907.5066616138"/>
        <n v="26983.582029604"/>
        <n v="27968.8147290873"/>
        <n v="29380.9210101976"/>
        <n v="29813.2019901284"/>
        <n v="34264.8660693384"/>
        <n v="35048.2652052808"/>
        <n v="40100.2214922381"/>
        <n v="59418.7199882515"/>
        <n v="59539.7384878124"/>
        <n v="62061.0064350381"/>
        <n v="68269.2006578302"/>
        <n v="79988.988052569"/>
        <n v="80878.8453035663"/>
        <n v="84459.040312079"/>
        <n v="105541.620263701"/>
        <n v="145581.921546419"/>
        <n v="187735.733687181"/>
        <n v="264261.147153187"/>
        <n v="1262136.82364573"/>
      </sharedItems>
    </cacheField>
    <cacheField name="Precio Equilibrio x TM" numFmtId="0">
      <sharedItems containsSemiMixedTypes="0" containsString="0" containsNumber="1" minValue="0" maxValue="2379.5045881485" count="11">
        <n v="0"/>
        <n v="1763.42222921012"/>
        <n v="1811.78891362344"/>
        <n v="1838.86436560155"/>
        <n v="2016.92881056275"/>
        <n v="2077.57762196684"/>
        <n v="2135.61618840461"/>
        <n v="2135.61618840462"/>
        <n v="2137.08934178542"/>
        <n v="2277.59077598431"/>
        <n v="2379.504588148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2"/>
    <x v="7"/>
    <x v="4"/>
    <x v="0"/>
    <x v="12"/>
    <x v="12"/>
    <x v="12"/>
    <x v="12"/>
    <x v="12"/>
    <x v="12"/>
    <x v="0"/>
    <x v="0"/>
    <x v="12"/>
    <x v="9"/>
  </r>
  <r>
    <x v="2"/>
    <x v="7"/>
    <x v="4"/>
    <x v="0"/>
    <x v="8"/>
    <x v="8"/>
    <x v="8"/>
    <x v="8"/>
    <x v="8"/>
    <x v="8"/>
    <x v="0"/>
    <x v="0"/>
    <x v="8"/>
    <x v="9"/>
  </r>
  <r>
    <x v="2"/>
    <x v="7"/>
    <x v="4"/>
    <x v="0"/>
    <x v="13"/>
    <x v="13"/>
    <x v="13"/>
    <x v="13"/>
    <x v="13"/>
    <x v="13"/>
    <x v="0"/>
    <x v="0"/>
    <x v="13"/>
    <x v="9"/>
  </r>
  <r>
    <x v="2"/>
    <x v="7"/>
    <x v="4"/>
    <x v="0"/>
    <x v="0"/>
    <x v="0"/>
    <x v="0"/>
    <x v="0"/>
    <x v="0"/>
    <x v="0"/>
    <x v="0"/>
    <x v="0"/>
    <x v="0"/>
    <x v="0"/>
  </r>
  <r>
    <x v="2"/>
    <x v="7"/>
    <x v="4"/>
    <x v="0"/>
    <x v="0"/>
    <x v="0"/>
    <x v="0"/>
    <x v="0"/>
    <x v="0"/>
    <x v="0"/>
    <x v="0"/>
    <x v="0"/>
    <x v="0"/>
    <x v="0"/>
  </r>
  <r>
    <x v="2"/>
    <x v="7"/>
    <x v="4"/>
    <x v="0"/>
    <x v="22"/>
    <x v="23"/>
    <x v="22"/>
    <x v="22"/>
    <x v="22"/>
    <x v="22"/>
    <x v="0"/>
    <x v="0"/>
    <x v="22"/>
    <x v="9"/>
  </r>
  <r>
    <x v="2"/>
    <x v="7"/>
    <x v="4"/>
    <x v="0"/>
    <x v="0"/>
    <x v="0"/>
    <x v="0"/>
    <x v="0"/>
    <x v="0"/>
    <x v="0"/>
    <x v="0"/>
    <x v="0"/>
    <x v="0"/>
    <x v="0"/>
  </r>
  <r>
    <x v="7"/>
    <x v="1"/>
    <x v="4"/>
    <x v="0"/>
    <x v="10"/>
    <x v="10"/>
    <x v="10"/>
    <x v="10"/>
    <x v="10"/>
    <x v="10"/>
    <x v="0"/>
    <x v="0"/>
    <x v="10"/>
    <x v="2"/>
  </r>
  <r>
    <x v="6"/>
    <x v="0"/>
    <x v="4"/>
    <x v="0"/>
    <x v="17"/>
    <x v="17"/>
    <x v="17"/>
    <x v="17"/>
    <x v="17"/>
    <x v="17"/>
    <x v="0"/>
    <x v="0"/>
    <x v="17"/>
    <x v="1"/>
  </r>
  <r>
    <x v="11"/>
    <x v="11"/>
    <x v="5"/>
    <x v="0"/>
    <x v="0"/>
    <x v="0"/>
    <x v="0"/>
    <x v="0"/>
    <x v="0"/>
    <x v="0"/>
    <x v="0"/>
    <x v="0"/>
    <x v="0"/>
    <x v="0"/>
  </r>
  <r>
    <x v="11"/>
    <x v="11"/>
    <x v="5"/>
    <x v="0"/>
    <x v="0"/>
    <x v="0"/>
    <x v="0"/>
    <x v="0"/>
    <x v="0"/>
    <x v="0"/>
    <x v="0"/>
    <x v="0"/>
    <x v="0"/>
    <x v="0"/>
  </r>
  <r>
    <x v="11"/>
    <x v="11"/>
    <x v="5"/>
    <x v="0"/>
    <x v="0"/>
    <x v="0"/>
    <x v="0"/>
    <x v="0"/>
    <x v="0"/>
    <x v="0"/>
    <x v="0"/>
    <x v="0"/>
    <x v="0"/>
    <x v="0"/>
  </r>
  <r>
    <x v="11"/>
    <x v="11"/>
    <x v="5"/>
    <x v="0"/>
    <x v="0"/>
    <x v="0"/>
    <x v="0"/>
    <x v="0"/>
    <x v="0"/>
    <x v="0"/>
    <x v="0"/>
    <x v="0"/>
    <x v="0"/>
    <x v="0"/>
  </r>
  <r>
    <x v="11"/>
    <x v="11"/>
    <x v="5"/>
    <x v="0"/>
    <x v="0"/>
    <x v="0"/>
    <x v="0"/>
    <x v="0"/>
    <x v="0"/>
    <x v="0"/>
    <x v="0"/>
    <x v="0"/>
    <x v="0"/>
    <x v="0"/>
  </r>
  <r>
    <x v="0"/>
    <x v="8"/>
    <x v="2"/>
    <x v="0"/>
    <x v="6"/>
    <x v="6"/>
    <x v="6"/>
    <x v="6"/>
    <x v="6"/>
    <x v="6"/>
    <x v="0"/>
    <x v="0"/>
    <x v="6"/>
    <x v="10"/>
  </r>
  <r>
    <x v="0"/>
    <x v="8"/>
    <x v="2"/>
    <x v="0"/>
    <x v="0"/>
    <x v="0"/>
    <x v="0"/>
    <x v="0"/>
    <x v="0"/>
    <x v="0"/>
    <x v="0"/>
    <x v="0"/>
    <x v="0"/>
    <x v="0"/>
  </r>
  <r>
    <x v="0"/>
    <x v="8"/>
    <x v="2"/>
    <x v="0"/>
    <x v="15"/>
    <x v="16"/>
    <x v="15"/>
    <x v="15"/>
    <x v="15"/>
    <x v="15"/>
    <x v="0"/>
    <x v="0"/>
    <x v="15"/>
    <x v="10"/>
  </r>
  <r>
    <x v="0"/>
    <x v="8"/>
    <x v="2"/>
    <x v="0"/>
    <x v="4"/>
    <x v="5"/>
    <x v="4"/>
    <x v="4"/>
    <x v="4"/>
    <x v="4"/>
    <x v="0"/>
    <x v="0"/>
    <x v="4"/>
    <x v="10"/>
  </r>
  <r>
    <x v="0"/>
    <x v="8"/>
    <x v="2"/>
    <x v="0"/>
    <x v="29"/>
    <x v="29"/>
    <x v="29"/>
    <x v="29"/>
    <x v="29"/>
    <x v="29"/>
    <x v="0"/>
    <x v="0"/>
    <x v="29"/>
    <x v="10"/>
  </r>
  <r>
    <x v="0"/>
    <x v="8"/>
    <x v="2"/>
    <x v="0"/>
    <x v="11"/>
    <x v="11"/>
    <x v="11"/>
    <x v="11"/>
    <x v="11"/>
    <x v="11"/>
    <x v="0"/>
    <x v="0"/>
    <x v="11"/>
    <x v="10"/>
  </r>
  <r>
    <x v="0"/>
    <x v="8"/>
    <x v="2"/>
    <x v="0"/>
    <x v="0"/>
    <x v="0"/>
    <x v="0"/>
    <x v="0"/>
    <x v="0"/>
    <x v="0"/>
    <x v="0"/>
    <x v="0"/>
    <x v="0"/>
    <x v="0"/>
  </r>
  <r>
    <x v="0"/>
    <x v="8"/>
    <x v="2"/>
    <x v="0"/>
    <x v="0"/>
    <x v="0"/>
    <x v="0"/>
    <x v="0"/>
    <x v="0"/>
    <x v="0"/>
    <x v="0"/>
    <x v="0"/>
    <x v="0"/>
    <x v="0"/>
  </r>
  <r>
    <x v="0"/>
    <x v="8"/>
    <x v="2"/>
    <x v="0"/>
    <x v="0"/>
    <x v="0"/>
    <x v="0"/>
    <x v="0"/>
    <x v="0"/>
    <x v="0"/>
    <x v="0"/>
    <x v="0"/>
    <x v="0"/>
    <x v="0"/>
  </r>
  <r>
    <x v="0"/>
    <x v="8"/>
    <x v="2"/>
    <x v="0"/>
    <x v="0"/>
    <x v="0"/>
    <x v="0"/>
    <x v="0"/>
    <x v="0"/>
    <x v="0"/>
    <x v="0"/>
    <x v="0"/>
    <x v="0"/>
    <x v="0"/>
  </r>
  <r>
    <x v="0"/>
    <x v="8"/>
    <x v="2"/>
    <x v="0"/>
    <x v="9"/>
    <x v="9"/>
    <x v="9"/>
    <x v="9"/>
    <x v="9"/>
    <x v="9"/>
    <x v="0"/>
    <x v="0"/>
    <x v="9"/>
    <x v="10"/>
  </r>
  <r>
    <x v="1"/>
    <x v="3"/>
    <x v="1"/>
    <x v="0"/>
    <x v="27"/>
    <x v="27"/>
    <x v="27"/>
    <x v="27"/>
    <x v="27"/>
    <x v="27"/>
    <x v="0"/>
    <x v="0"/>
    <x v="27"/>
    <x v="4"/>
  </r>
  <r>
    <x v="1"/>
    <x v="3"/>
    <x v="1"/>
    <x v="0"/>
    <x v="23"/>
    <x v="22"/>
    <x v="23"/>
    <x v="23"/>
    <x v="23"/>
    <x v="23"/>
    <x v="0"/>
    <x v="0"/>
    <x v="23"/>
    <x v="4"/>
  </r>
  <r>
    <x v="1"/>
    <x v="3"/>
    <x v="1"/>
    <x v="0"/>
    <x v="3"/>
    <x v="3"/>
    <x v="3"/>
    <x v="3"/>
    <x v="3"/>
    <x v="3"/>
    <x v="0"/>
    <x v="0"/>
    <x v="3"/>
    <x v="4"/>
  </r>
  <r>
    <x v="1"/>
    <x v="3"/>
    <x v="1"/>
    <x v="0"/>
    <x v="20"/>
    <x v="18"/>
    <x v="20"/>
    <x v="20"/>
    <x v="20"/>
    <x v="20"/>
    <x v="0"/>
    <x v="0"/>
    <x v="19"/>
    <x v="4"/>
  </r>
  <r>
    <x v="1"/>
    <x v="3"/>
    <x v="1"/>
    <x v="0"/>
    <x v="26"/>
    <x v="26"/>
    <x v="26"/>
    <x v="26"/>
    <x v="26"/>
    <x v="26"/>
    <x v="0"/>
    <x v="0"/>
    <x v="26"/>
    <x v="4"/>
  </r>
  <r>
    <x v="1"/>
    <x v="3"/>
    <x v="1"/>
    <x v="0"/>
    <x v="0"/>
    <x v="0"/>
    <x v="0"/>
    <x v="0"/>
    <x v="0"/>
    <x v="0"/>
    <x v="0"/>
    <x v="0"/>
    <x v="0"/>
    <x v="0"/>
  </r>
  <r>
    <x v="5"/>
    <x v="4"/>
    <x v="3"/>
    <x v="0"/>
    <x v="18"/>
    <x v="19"/>
    <x v="18"/>
    <x v="18"/>
    <x v="18"/>
    <x v="18"/>
    <x v="0"/>
    <x v="0"/>
    <x v="18"/>
    <x v="5"/>
  </r>
  <r>
    <x v="5"/>
    <x v="4"/>
    <x v="3"/>
    <x v="0"/>
    <x v="21"/>
    <x v="21"/>
    <x v="21"/>
    <x v="21"/>
    <x v="21"/>
    <x v="21"/>
    <x v="0"/>
    <x v="0"/>
    <x v="21"/>
    <x v="5"/>
  </r>
  <r>
    <x v="4"/>
    <x v="5"/>
    <x v="3"/>
    <x v="0"/>
    <x v="0"/>
    <x v="0"/>
    <x v="0"/>
    <x v="0"/>
    <x v="0"/>
    <x v="0"/>
    <x v="0"/>
    <x v="0"/>
    <x v="0"/>
    <x v="0"/>
  </r>
  <r>
    <x v="4"/>
    <x v="5"/>
    <x v="3"/>
    <x v="0"/>
    <x v="5"/>
    <x v="4"/>
    <x v="5"/>
    <x v="5"/>
    <x v="5"/>
    <x v="5"/>
    <x v="0"/>
    <x v="0"/>
    <x v="5"/>
    <x v="7"/>
  </r>
  <r>
    <x v="4"/>
    <x v="5"/>
    <x v="3"/>
    <x v="0"/>
    <x v="0"/>
    <x v="0"/>
    <x v="0"/>
    <x v="0"/>
    <x v="0"/>
    <x v="0"/>
    <x v="0"/>
    <x v="0"/>
    <x v="0"/>
    <x v="0"/>
  </r>
  <r>
    <x v="4"/>
    <x v="5"/>
    <x v="3"/>
    <x v="0"/>
    <x v="28"/>
    <x v="28"/>
    <x v="28"/>
    <x v="28"/>
    <x v="28"/>
    <x v="28"/>
    <x v="0"/>
    <x v="0"/>
    <x v="28"/>
    <x v="6"/>
  </r>
  <r>
    <x v="4"/>
    <x v="5"/>
    <x v="3"/>
    <x v="0"/>
    <x v="1"/>
    <x v="1"/>
    <x v="1"/>
    <x v="1"/>
    <x v="1"/>
    <x v="1"/>
    <x v="0"/>
    <x v="0"/>
    <x v="1"/>
    <x v="7"/>
  </r>
  <r>
    <x v="4"/>
    <x v="5"/>
    <x v="3"/>
    <x v="0"/>
    <x v="19"/>
    <x v="20"/>
    <x v="19"/>
    <x v="19"/>
    <x v="19"/>
    <x v="19"/>
    <x v="0"/>
    <x v="0"/>
    <x v="20"/>
    <x v="6"/>
  </r>
  <r>
    <x v="4"/>
    <x v="5"/>
    <x v="3"/>
    <x v="0"/>
    <x v="7"/>
    <x v="7"/>
    <x v="7"/>
    <x v="7"/>
    <x v="7"/>
    <x v="7"/>
    <x v="0"/>
    <x v="0"/>
    <x v="7"/>
    <x v="6"/>
  </r>
  <r>
    <x v="4"/>
    <x v="5"/>
    <x v="3"/>
    <x v="0"/>
    <x v="2"/>
    <x v="2"/>
    <x v="2"/>
    <x v="2"/>
    <x v="2"/>
    <x v="2"/>
    <x v="0"/>
    <x v="0"/>
    <x v="2"/>
    <x v="6"/>
  </r>
  <r>
    <x v="4"/>
    <x v="5"/>
    <x v="3"/>
    <x v="0"/>
    <x v="14"/>
    <x v="14"/>
    <x v="14"/>
    <x v="14"/>
    <x v="14"/>
    <x v="14"/>
    <x v="0"/>
    <x v="0"/>
    <x v="14"/>
    <x v="6"/>
  </r>
  <r>
    <x v="10"/>
    <x v="6"/>
    <x v="3"/>
    <x v="0"/>
    <x v="16"/>
    <x v="15"/>
    <x v="16"/>
    <x v="16"/>
    <x v="16"/>
    <x v="16"/>
    <x v="0"/>
    <x v="0"/>
    <x v="16"/>
    <x v="8"/>
  </r>
  <r>
    <x v="8"/>
    <x v="10"/>
    <x v="0"/>
    <x v="0"/>
    <x v="0"/>
    <x v="0"/>
    <x v="0"/>
    <x v="0"/>
    <x v="0"/>
    <x v="0"/>
    <x v="0"/>
    <x v="0"/>
    <x v="0"/>
    <x v="0"/>
  </r>
  <r>
    <x v="8"/>
    <x v="10"/>
    <x v="0"/>
    <x v="0"/>
    <x v="0"/>
    <x v="0"/>
    <x v="0"/>
    <x v="0"/>
    <x v="0"/>
    <x v="0"/>
    <x v="0"/>
    <x v="0"/>
    <x v="0"/>
    <x v="0"/>
  </r>
  <r>
    <x v="9"/>
    <x v="9"/>
    <x v="3"/>
    <x v="0"/>
    <x v="0"/>
    <x v="0"/>
    <x v="0"/>
    <x v="0"/>
    <x v="0"/>
    <x v="0"/>
    <x v="0"/>
    <x v="0"/>
    <x v="0"/>
    <x v="0"/>
  </r>
  <r>
    <x v="9"/>
    <x v="9"/>
    <x v="3"/>
    <x v="0"/>
    <x v="0"/>
    <x v="0"/>
    <x v="0"/>
    <x v="0"/>
    <x v="0"/>
    <x v="0"/>
    <x v="0"/>
    <x v="0"/>
    <x v="0"/>
    <x v="0"/>
  </r>
  <r>
    <x v="9"/>
    <x v="9"/>
    <x v="3"/>
    <x v="0"/>
    <x v="0"/>
    <x v="0"/>
    <x v="0"/>
    <x v="0"/>
    <x v="0"/>
    <x v="0"/>
    <x v="0"/>
    <x v="0"/>
    <x v="0"/>
    <x v="0"/>
  </r>
  <r>
    <x v="3"/>
    <x v="2"/>
    <x v="3"/>
    <x v="0"/>
    <x v="0"/>
    <x v="0"/>
    <x v="0"/>
    <x v="0"/>
    <x v="0"/>
    <x v="0"/>
    <x v="0"/>
    <x v="0"/>
    <x v="0"/>
    <x v="0"/>
  </r>
  <r>
    <x v="3"/>
    <x v="2"/>
    <x v="3"/>
    <x v="0"/>
    <x v="25"/>
    <x v="25"/>
    <x v="25"/>
    <x v="25"/>
    <x v="25"/>
    <x v="25"/>
    <x v="0"/>
    <x v="0"/>
    <x v="25"/>
    <x v="3"/>
  </r>
  <r>
    <x v="3"/>
    <x v="2"/>
    <x v="3"/>
    <x v="0"/>
    <x v="24"/>
    <x v="24"/>
    <x v="24"/>
    <x v="24"/>
    <x v="24"/>
    <x v="24"/>
    <x v="0"/>
    <x v="0"/>
    <x v="24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E3:K16" firstHeaderRow="0" firstDataRow="1" firstDataCol="1"/>
  <pivotFields count="14">
    <pivotField axis="axisRow" showAll="0">
      <items count="13">
        <item x="0"/>
        <item x="1"/>
        <item x="2"/>
        <item x="3"/>
        <item x="4"/>
        <item x="5"/>
        <item x="6"/>
        <item x="8"/>
        <item x="9"/>
        <item x="10"/>
        <item x="7"/>
        <item x="1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/>
    <i t="grand">
      <x/>
    </i>
  </rowItems>
  <colFields count="1">
    <field x="-2"/>
  </colFields>
  <colItems count="6">
    <i/>
    <i/>
    <i/>
    <i/>
    <i/>
    <i/>
  </colItems>
  <dataFields count="6">
    <dataField name="Suma de TM en Stock" fld="4" subtotal="sum" numFmtId="165"/>
    <dataField name="Suma de Costo Ventas" fld="5" subtotal="sum" numFmtId="165"/>
    <dataField name="Suma de Gasto Ventas" fld="6" subtotal="sum" numFmtId="165"/>
    <dataField name="Suma de Gasto ADM" fld="7" subtotal="sum" numFmtId="165"/>
    <dataField name="Suma de Gasto Fin" fld="8" subtotal="sum" numFmtId="165"/>
    <dataField name="Suma de Depreciación" fld="9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T3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6" topLeftCell="BF7" activePane="bottomRight" state="frozen"/>
      <selection pane="topLeft" activeCell="A1" activeCellId="0" sqref="A1"/>
      <selection pane="topRight" activeCell="BF1" activeCellId="0" sqref="BF1"/>
      <selection pane="bottomLeft" activeCell="A7" activeCellId="0" sqref="A7"/>
      <selection pane="bottomRight" activeCell="BL10" activeCellId="0" sqref="BL10"/>
    </sheetView>
  </sheetViews>
  <sheetFormatPr defaultColWidth="10.59765625" defaultRowHeight="14.25" customHeight="false" zeroHeight="false" outlineLevelRow="0" outlineLevelCol="2"/>
  <cols>
    <col collapsed="false" customWidth="true" hidden="false" outlineLevel="0" max="1" min="1" style="1" width="7.78"/>
    <col collapsed="false" customWidth="true" hidden="true" outlineLevel="1" max="2" min="2" style="1" width="14.34"/>
    <col collapsed="false" customWidth="true" hidden="false" outlineLevel="0" max="3" min="3" style="1" width="34.11"/>
    <col collapsed="false" customWidth="true" hidden="false" outlineLevel="1" max="5" min="4" style="1" width="12.89"/>
    <col collapsed="false" customWidth="true" hidden="true" outlineLevel="2" max="7" min="6" style="1" width="13.56"/>
    <col collapsed="false" customWidth="true" hidden="true" outlineLevel="2" max="8" min="8" style="1" width="11.78"/>
    <col collapsed="false" customWidth="false" hidden="true" outlineLevel="2" max="9" min="9" style="1" width="10.56"/>
    <col collapsed="false" customWidth="true" hidden="true" outlineLevel="2" max="10" min="10" style="1" width="14.11"/>
    <col collapsed="false" customWidth="true" hidden="true" outlineLevel="2" max="11" min="11" style="1" width="13.78"/>
    <col collapsed="false" customWidth="true" hidden="true" outlineLevel="2" max="12" min="12" style="1" width="13.44"/>
    <col collapsed="false" customWidth="true" hidden="true" outlineLevel="2" max="13" min="13" style="1" width="17.33"/>
    <col collapsed="false" customWidth="true" hidden="true" outlineLevel="2" max="16" min="14" style="1" width="16"/>
    <col collapsed="false" customWidth="true" hidden="true" outlineLevel="2" max="22" min="17" style="1" width="17.56"/>
    <col collapsed="true" customWidth="true" hidden="false" outlineLevel="1" max="23" min="23" style="1" width="9.66"/>
    <col collapsed="false" customWidth="true" hidden="false" outlineLevel="1" max="25" min="24" style="1" width="11.55"/>
    <col collapsed="false" customWidth="true" hidden="false" outlineLevel="1" max="41" min="26" style="1" width="12.67"/>
    <col collapsed="false" customWidth="true" hidden="false" outlineLevel="1" max="43" min="42" style="1" width="11.55"/>
    <col collapsed="false" customWidth="true" hidden="false" outlineLevel="1" max="44" min="44" style="1" width="12.67"/>
    <col collapsed="false" customWidth="true" hidden="false" outlineLevel="0" max="47" min="47" style="1" width="12.67"/>
    <col collapsed="false" customWidth="true" hidden="false" outlineLevel="1" max="53" min="48" style="1" width="12.67"/>
    <col collapsed="false" customWidth="true" hidden="false" outlineLevel="0" max="54" min="54" style="1" width="12"/>
    <col collapsed="false" customWidth="true" hidden="false" outlineLevel="0" max="59" min="59" style="1" width="14.78"/>
    <col collapsed="false" customWidth="true" hidden="false" outlineLevel="0" max="60" min="60" style="1" width="12.67"/>
    <col collapsed="false" customWidth="true" hidden="false" outlineLevel="0" max="61" min="61" style="1" width="12.45"/>
    <col collapsed="false" customWidth="true" hidden="false" outlineLevel="0" max="64" min="64" style="1" width="12.67"/>
    <col collapsed="false" customWidth="true" hidden="false" outlineLevel="0" max="67" min="67" style="1" width="12.67"/>
  </cols>
  <sheetData>
    <row r="2" customFormat="false" ht="15" hidden="false" customHeight="false" outlineLevel="0" collapsed="false">
      <c r="C2" s="2" t="s">
        <v>0</v>
      </c>
    </row>
    <row r="3" customFormat="false" ht="14.25" hidden="false" customHeight="false" outlineLevel="0" collapsed="false">
      <c r="C3" s="3" t="s">
        <v>1</v>
      </c>
      <c r="G3" s="4"/>
      <c r="M3" s="5"/>
      <c r="N3" s="4"/>
      <c r="O3" s="4"/>
      <c r="P3" s="4"/>
    </row>
    <row r="4" customFormat="false" ht="14.25" hidden="false" customHeight="false" outlineLevel="0" collapsed="false">
      <c r="C4" s="3"/>
      <c r="G4" s="6"/>
      <c r="M4" s="6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8"/>
      <c r="BE4" s="8"/>
    </row>
    <row r="5" customFormat="false" ht="14.25" hidden="false" customHeight="false" outlineLevel="0" collapsed="false">
      <c r="F5" s="9" t="s">
        <v>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X5" s="10" t="n">
        <v>46174</v>
      </c>
      <c r="Y5" s="10"/>
      <c r="Z5" s="10"/>
      <c r="AA5" s="10" t="n">
        <v>46182</v>
      </c>
      <c r="AB5" s="10"/>
      <c r="AC5" s="10"/>
      <c r="AD5" s="10" t="n">
        <v>46185</v>
      </c>
      <c r="AE5" s="10"/>
      <c r="AF5" s="10"/>
      <c r="AG5" s="10" t="n">
        <v>46188</v>
      </c>
      <c r="AH5" s="10"/>
      <c r="AI5" s="10"/>
      <c r="AJ5" s="10" t="n">
        <v>46192</v>
      </c>
      <c r="AK5" s="10"/>
      <c r="AL5" s="10"/>
      <c r="AM5" s="10" t="n">
        <v>46195</v>
      </c>
      <c r="AN5" s="10"/>
      <c r="AO5" s="10"/>
      <c r="AP5" s="10" t="s">
        <v>3</v>
      </c>
      <c r="AQ5" s="10"/>
      <c r="AR5" s="10"/>
      <c r="AS5" s="11" t="s">
        <v>4</v>
      </c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G5" s="12" t="s">
        <v>5</v>
      </c>
      <c r="BH5" s="12"/>
      <c r="BI5" s="12"/>
      <c r="BJ5" s="12"/>
      <c r="BK5" s="12"/>
      <c r="BL5" s="12"/>
      <c r="BM5" s="12"/>
      <c r="BN5" s="12"/>
      <c r="BO5" s="12"/>
    </row>
    <row r="6" s="13" customFormat="true" ht="31.3" hidden="false" customHeight="false" outlineLevel="0" collapsed="false">
      <c r="B6" s="14" t="s">
        <v>6</v>
      </c>
      <c r="C6" s="15" t="s">
        <v>7</v>
      </c>
      <c r="D6" s="16" t="s">
        <v>8</v>
      </c>
      <c r="E6" s="17" t="s">
        <v>9</v>
      </c>
      <c r="F6" s="18" t="s">
        <v>10</v>
      </c>
      <c r="G6" s="19" t="s">
        <v>11</v>
      </c>
      <c r="H6" s="19" t="s">
        <v>12</v>
      </c>
      <c r="I6" s="19" t="s">
        <v>13</v>
      </c>
      <c r="J6" s="19" t="s">
        <v>14</v>
      </c>
      <c r="K6" s="19" t="s">
        <v>15</v>
      </c>
      <c r="L6" s="20" t="s">
        <v>16</v>
      </c>
      <c r="M6" s="21" t="s">
        <v>17</v>
      </c>
      <c r="N6" s="21" t="s">
        <v>18</v>
      </c>
      <c r="O6" s="21" t="s">
        <v>19</v>
      </c>
      <c r="P6" s="21" t="s">
        <v>20</v>
      </c>
      <c r="Q6" s="22" t="s">
        <v>21</v>
      </c>
      <c r="R6" s="22" t="s">
        <v>22</v>
      </c>
      <c r="S6" s="22" t="s">
        <v>23</v>
      </c>
      <c r="T6" s="22" t="s">
        <v>24</v>
      </c>
      <c r="U6" s="22" t="s">
        <v>25</v>
      </c>
      <c r="V6" s="22" t="s">
        <v>26</v>
      </c>
      <c r="X6" s="23" t="s">
        <v>27</v>
      </c>
      <c r="Y6" s="24" t="s">
        <v>28</v>
      </c>
      <c r="Z6" s="25" t="s">
        <v>29</v>
      </c>
      <c r="AA6" s="23" t="s">
        <v>27</v>
      </c>
      <c r="AB6" s="24" t="s">
        <v>28</v>
      </c>
      <c r="AC6" s="25" t="s">
        <v>29</v>
      </c>
      <c r="AD6" s="23" t="s">
        <v>27</v>
      </c>
      <c r="AE6" s="24" t="s">
        <v>28</v>
      </c>
      <c r="AF6" s="25" t="s">
        <v>29</v>
      </c>
      <c r="AG6" s="23" t="s">
        <v>27</v>
      </c>
      <c r="AH6" s="24" t="s">
        <v>28</v>
      </c>
      <c r="AI6" s="25" t="s">
        <v>29</v>
      </c>
      <c r="AJ6" s="23" t="s">
        <v>27</v>
      </c>
      <c r="AK6" s="24" t="s">
        <v>28</v>
      </c>
      <c r="AL6" s="25" t="s">
        <v>29</v>
      </c>
      <c r="AM6" s="23" t="s">
        <v>27</v>
      </c>
      <c r="AN6" s="24" t="s">
        <v>28</v>
      </c>
      <c r="AO6" s="25" t="s">
        <v>29</v>
      </c>
      <c r="AP6" s="23" t="s">
        <v>27</v>
      </c>
      <c r="AQ6" s="24" t="s">
        <v>28</v>
      </c>
      <c r="AR6" s="25" t="s">
        <v>29</v>
      </c>
      <c r="AS6" s="26" t="s">
        <v>27</v>
      </c>
      <c r="AT6" s="27" t="s">
        <v>28</v>
      </c>
      <c r="AU6" s="27" t="s">
        <v>29</v>
      </c>
      <c r="AV6" s="27" t="s">
        <v>10</v>
      </c>
      <c r="AW6" s="27" t="s">
        <v>11</v>
      </c>
      <c r="AX6" s="27" t="s">
        <v>30</v>
      </c>
      <c r="AY6" s="28" t="s">
        <v>13</v>
      </c>
      <c r="AZ6" s="27" t="s">
        <v>14</v>
      </c>
      <c r="BA6" s="27" t="s">
        <v>31</v>
      </c>
      <c r="BB6" s="28" t="s">
        <v>32</v>
      </c>
      <c r="BC6" s="27" t="s">
        <v>33</v>
      </c>
      <c r="BD6" s="27" t="s">
        <v>25</v>
      </c>
      <c r="BE6" s="28" t="s">
        <v>34</v>
      </c>
      <c r="BG6" s="29" t="s">
        <v>29</v>
      </c>
      <c r="BH6" s="29" t="s">
        <v>10</v>
      </c>
      <c r="BI6" s="29" t="s">
        <v>11</v>
      </c>
      <c r="BJ6" s="29" t="s">
        <v>30</v>
      </c>
      <c r="BK6" s="30" t="s">
        <v>13</v>
      </c>
      <c r="BL6" s="29" t="s">
        <v>14</v>
      </c>
      <c r="BM6" s="29" t="s">
        <v>31</v>
      </c>
      <c r="BN6" s="30" t="s">
        <v>32</v>
      </c>
      <c r="BO6" s="30" t="s">
        <v>25</v>
      </c>
    </row>
    <row r="7" customFormat="false" ht="14.25" hidden="false" customHeight="false" outlineLevel="0" collapsed="false">
      <c r="B7" s="31" t="n">
        <v>10005721</v>
      </c>
      <c r="C7" s="32" t="s">
        <v>35</v>
      </c>
      <c r="D7" s="33" t="n">
        <f aca="false">TD!F4</f>
        <v>561.84</v>
      </c>
      <c r="E7" s="34" t="n">
        <f aca="false">IFERROR(F7/D7,0)</f>
        <v>1984.5861732241</v>
      </c>
      <c r="F7" s="35" t="n">
        <f aca="false">TD!G4</f>
        <v>1115019.89556423</v>
      </c>
      <c r="G7" s="4" t="n">
        <f aca="false">TD!H4</f>
        <v>116772.8256</v>
      </c>
      <c r="H7" s="4" t="n">
        <f aca="false">TD!I4</f>
        <v>35439.6970166447</v>
      </c>
      <c r="I7" s="4" t="n">
        <f aca="false">TD!J4</f>
        <v>69668.4396244817</v>
      </c>
      <c r="J7" s="4" t="n">
        <f aca="false">TD!K4</f>
        <v>55692.334469735</v>
      </c>
      <c r="K7" s="35" t="n">
        <v>0</v>
      </c>
      <c r="L7" s="36" t="n">
        <v>0</v>
      </c>
      <c r="M7" s="37" t="n">
        <f aca="false">F7+G7+H7+I7</f>
        <v>1336900.85780535</v>
      </c>
      <c r="N7" s="38" t="n">
        <f aca="false">IFERROR(M7/D7,0)</f>
        <v>2379.5045881485</v>
      </c>
      <c r="O7" s="38" t="n">
        <f aca="false">F7+G7+H7-J7</f>
        <v>1211540.08371114</v>
      </c>
      <c r="P7" s="38" t="n">
        <f aca="false">IFERROR(O7/D7,0)</f>
        <v>2156.37918929079</v>
      </c>
      <c r="Q7" s="39" t="n">
        <v>2000</v>
      </c>
      <c r="R7" s="39" t="n">
        <f aca="false">Q7*D7</f>
        <v>1123680</v>
      </c>
      <c r="S7" s="39" t="n">
        <f aca="false">R7-M7+(Q7-$AX$22)*D7*0.03</f>
        <v>-181434.944332476</v>
      </c>
      <c r="T7" s="40" t="n">
        <f aca="false">IFERROR(S7/R7,0)</f>
        <v>-0.16146495829104</v>
      </c>
      <c r="U7" s="39" t="n">
        <f aca="false">R7-(M7-J7-I7)+(Q7-$AX$22)*D7*0.03</f>
        <v>-56074.1702382594</v>
      </c>
      <c r="V7" s="40" t="n">
        <f aca="false">IFERROR(U7/R7,0)</f>
        <v>-0.0499022588621844</v>
      </c>
      <c r="X7" s="41" t="n">
        <f aca="false" t="array" ref="X7:X7">SUM([1]Hoja2!$I$5:$I$27*([1]Hoja2!$F$5:$F$27=X$5)*([1]Hoja2!$K$5:$K$27=$C7))</f>
        <v>0</v>
      </c>
      <c r="Y7" s="41" t="n">
        <f aca="false" t="array" ref="Y7:Y7">SUM([1]Hoja2!$J$5:$J$27*([1]Hoja2!$F$5:$F$27=X$5)*([1]Hoja2!$K$5:$K$27=$C7))</f>
        <v>0</v>
      </c>
      <c r="Z7" s="42" t="n">
        <f aca="false">IFERROR(Y7/X7,0)</f>
        <v>0</v>
      </c>
      <c r="AA7" s="41" t="n">
        <f aca="false" t="array" ref="AA7:AA7">SUM([1]Hoja2!$I$5:$I$27*([1]Hoja2!$F$5:$F$27=AA$5)*([1]Hoja2!$K$5:$K$27=$C7))</f>
        <v>0</v>
      </c>
      <c r="AB7" s="41" t="n">
        <f aca="false" t="array" ref="AB7:AB7">SUM([1]Hoja2!$J$5:$J$27*([1]Hoja2!$F$5:$F$27=AA$5)*([1]Hoja2!$K$5:$K$27=$C7))</f>
        <v>0</v>
      </c>
      <c r="AC7" s="42" t="n">
        <f aca="false">IFERROR(AB7/AA7,0)</f>
        <v>0</v>
      </c>
      <c r="AD7" s="41" t="n">
        <f aca="false" t="array" ref="AD7:AD7">SUM([1]Hoja2!$I$5:$I$27*([1]Hoja2!$F$5:$F$27=AD$5)*([1]Hoja2!$K$5:$K$27=$C7))</f>
        <v>0</v>
      </c>
      <c r="AE7" s="41" t="n">
        <f aca="false" t="array" ref="AE7:AE7">SUM([1]Hoja2!$J$5:$J$27*([1]Hoja2!$F$5:$F$27=AD$5)*([1]Hoja2!$K$5:$K$27=$C7))</f>
        <v>0</v>
      </c>
      <c r="AF7" s="42" t="n">
        <f aca="false">IFERROR(AE7/AD7,0)</f>
        <v>0</v>
      </c>
      <c r="AG7" s="41" t="n">
        <f aca="false" t="array" ref="AG7:AG7">SUM([1]Hoja2!$I$5:$I$27*([1]Hoja2!$F$5:$F$27=AG$5)*([1]Hoja2!$K$5:$K$27=$C7))</f>
        <v>0</v>
      </c>
      <c r="AH7" s="41" t="n">
        <f aca="false" t="array" ref="AH7:AH7">SUM([1]Hoja2!$J$5:$J$27*([1]Hoja2!$F$5:$F$27=AG$5)*([1]Hoja2!$K$5:$K$27=$C7))</f>
        <v>0</v>
      </c>
      <c r="AI7" s="42" t="n">
        <f aca="false">IFERROR(AH7/AG7,0)</f>
        <v>0</v>
      </c>
      <c r="AJ7" s="41" t="n">
        <f aca="false" t="array" ref="AJ7:AJ7">SUM([1]Hoja2!$I$5:$I$27*([1]Hoja2!$F$5:$F$27=AJ$5)*([1]Hoja2!$K$5:$K$27=$C7))</f>
        <v>78</v>
      </c>
      <c r="AK7" s="41" t="n">
        <f aca="false" t="array" ref="AK7:AK7">SUM([1]Hoja2!$J$5:$J$27*([1]Hoja2!$F$5:$F$27=AJ$5)*([1]Hoja2!$K$5:$K$27=$C7))</f>
        <v>164280</v>
      </c>
      <c r="AL7" s="42" t="n">
        <f aca="false">IFERROR(AK7/AJ7,0)</f>
        <v>2106.15384615385</v>
      </c>
      <c r="AM7" s="41" t="n">
        <f aca="false" t="array" ref="AM7:AM7">SUM([1]Hoja2!$I$5:$I$27*([1]Hoja2!$F$5:$F$27=AM$5)*([1]Hoja2!$K$5:$K$27=$C7))</f>
        <v>0</v>
      </c>
      <c r="AN7" s="41" t="n">
        <f aca="false" t="array" ref="AN7:AN7">SUM([1]Hoja2!$J$5:$J$27*([1]Hoja2!$F$5:$F$27=AM$5)*([1]Hoja2!$K$5:$K$27=$C7))</f>
        <v>0</v>
      </c>
      <c r="AO7" s="42" t="n">
        <f aca="false">IFERROR(AN7/AM7,0)</f>
        <v>0</v>
      </c>
      <c r="AP7" s="41" t="n">
        <f aca="false" t="array" ref="AP7:AP7">SUM([1]Hoja2!$I$5:$I$27*([1]Hoja2!$F$5:$F$27=AP$5)*([1]Hoja2!$K$5:$K$27=$C7))</f>
        <v>89</v>
      </c>
      <c r="AQ7" s="41" t="n">
        <f aca="false" t="array" ref="AQ7:AQ7">SUM([1]Hoja2!$J$5:$J$27*([1]Hoja2!$F$5:$F$27=AP$5)*([1]Hoja2!$K$5:$K$27=$C7))</f>
        <v>166940</v>
      </c>
      <c r="AR7" s="42" t="n">
        <f aca="false">IFERROR(AQ7/AP7,0)</f>
        <v>1875.73033707865</v>
      </c>
      <c r="AS7" s="43" t="n">
        <f aca="false">X7+AA7+AD7+AG7+AJ7+AM7+AP7</f>
        <v>167</v>
      </c>
      <c r="AT7" s="44" t="n">
        <f aca="false">Y7+AB7+AE7+AH7+AK7+AN7+AQ7</f>
        <v>331220</v>
      </c>
      <c r="AU7" s="45" t="n">
        <f aca="false">IFERROR(AT7/AS7,0)</f>
        <v>1983.35329341317</v>
      </c>
      <c r="AV7" s="44" t="n">
        <f aca="false">-IFERROR(F7/D7*AS7,0)</f>
        <v>-331425.890928425</v>
      </c>
      <c r="AW7" s="45" t="n">
        <f aca="false">-207.84*AS7</f>
        <v>-34709.28</v>
      </c>
      <c r="AX7" s="44" t="n">
        <f aca="false">$AX$18/$AS$18*$AS7</f>
        <v>-9393.48103078025</v>
      </c>
      <c r="AY7" s="45" t="n">
        <f aca="false">$AY$18/$AS$18*$AS7</f>
        <v>-18465.9921259843</v>
      </c>
      <c r="AZ7" s="44" t="n">
        <f aca="false">$AZ$18/$AS$18*$AS7</f>
        <v>-14761.5507874016</v>
      </c>
      <c r="BA7" s="45" t="n">
        <f aca="false">(AT7-AS7*$AX$22)*0.03</f>
        <v>9364.57015159251</v>
      </c>
      <c r="BB7" s="44" t="n">
        <f aca="false">AT7+SUM(AV7:AY7,BA7)</f>
        <v>-53410.0739335966</v>
      </c>
      <c r="BC7" s="46" t="n">
        <f aca="false">IFERROR(BB7/AT7,0)</f>
        <v>-0.16125256305053</v>
      </c>
      <c r="BD7" s="47" t="n">
        <f aca="false">AT7+AV7+AW7+AX7+BA7-AZ7</f>
        <v>-20182.5310202107</v>
      </c>
      <c r="BE7" s="48" t="n">
        <f aca="false">IFERROR(BD7/AT7,0)</f>
        <v>-0.0609339140758732</v>
      </c>
      <c r="BG7" s="49" t="n">
        <f aca="false">AU7</f>
        <v>1983.35329341317</v>
      </c>
      <c r="BH7" s="50" t="n">
        <f aca="false">IFERROR(AV7/$AS7,0)</f>
        <v>-1984.5861732241</v>
      </c>
      <c r="BI7" s="50" t="n">
        <f aca="false">IFERROR(AW7/$AS7,0)</f>
        <v>-207.84</v>
      </c>
      <c r="BJ7" s="50" t="n">
        <f aca="false">IFERROR(AX7/$AS7,0)</f>
        <v>-56.2483894058697</v>
      </c>
      <c r="BK7" s="50" t="n">
        <f aca="false">IFERROR(AY7/$AS7,0)</f>
        <v>-110.574803149606</v>
      </c>
      <c r="BL7" s="50" t="n">
        <f aca="false">IFERROR(AZ7/$AS7,0)</f>
        <v>-88.3925196850394</v>
      </c>
      <c r="BM7" s="50" t="n">
        <f aca="false">IFERROR(BA7/$AS7,0)</f>
        <v>56.0752703688174</v>
      </c>
      <c r="BN7" s="50" t="n">
        <f aca="false">IFERROR(BB7/$AS7,0)</f>
        <v>-319.820801997584</v>
      </c>
      <c r="BO7" s="50" t="n">
        <f aca="false">IFERROR(BD7/$AS7,0)</f>
        <v>-120.853479162938</v>
      </c>
      <c r="BP7" s="4" t="n">
        <f aca="false">BO7-BN7</f>
        <v>198.967322834646</v>
      </c>
      <c r="BQ7" s="6"/>
      <c r="BS7" s="4"/>
      <c r="BT7" s="6"/>
    </row>
    <row r="8" customFormat="false" ht="14.25" hidden="false" customHeight="false" outlineLevel="0" collapsed="false">
      <c r="B8" s="31" t="n">
        <v>10005779</v>
      </c>
      <c r="C8" s="51" t="s">
        <v>36</v>
      </c>
      <c r="D8" s="33" t="n">
        <f aca="false">TD!F5</f>
        <v>235.92</v>
      </c>
      <c r="E8" s="34" t="n">
        <f aca="false">IFERROR(F8/D8,0)</f>
        <v>1622.01039563835</v>
      </c>
      <c r="F8" s="4" t="n">
        <f aca="false">TD!G5</f>
        <v>382664.692538999</v>
      </c>
      <c r="G8" s="4" t="n">
        <f aca="false">TD!H5</f>
        <v>49033.6128</v>
      </c>
      <c r="H8" s="4" t="n">
        <f aca="false">TD!I5</f>
        <v>14881.342232961</v>
      </c>
      <c r="I8" s="4" t="n">
        <f aca="false">TD!J5</f>
        <v>29254.1974160041</v>
      </c>
      <c r="J8" s="4" t="n">
        <f aca="false">TD!K5</f>
        <v>23385.5466825073</v>
      </c>
      <c r="K8" s="35" t="n">
        <v>0</v>
      </c>
      <c r="L8" s="36" t="n">
        <v>0</v>
      </c>
      <c r="M8" s="37" t="n">
        <f aca="false">F8+G8+H8+I8</f>
        <v>475833.844987964</v>
      </c>
      <c r="N8" s="38" t="n">
        <f aca="false">IFERROR(M8/D8,0)</f>
        <v>2016.92881056275</v>
      </c>
      <c r="O8" s="38" t="n">
        <f aca="false">F8+G8+H8-J8</f>
        <v>423194.100889453</v>
      </c>
      <c r="P8" s="38" t="n">
        <f aca="false">IFERROR(O8/D8,0)</f>
        <v>1793.80341170504</v>
      </c>
      <c r="Q8" s="39" t="n">
        <v>1350</v>
      </c>
      <c r="R8" s="39" t="n">
        <f aca="false">Q8*D8</f>
        <v>318492</v>
      </c>
      <c r="S8" s="39" t="n">
        <f aca="false">R8-M8+(Q8-$AX$22)*D8*0.03</f>
        <v>-148595.188472014</v>
      </c>
      <c r="T8" s="40" t="n">
        <f aca="false">IFERROR(S8/R8,0)</f>
        <v>-0.466558621478762</v>
      </c>
      <c r="U8" s="39" t="n">
        <f aca="false">R8-(M8-J8-I8)+(Q8-$AX$22)*D8*0.03</f>
        <v>-95955.4443735025</v>
      </c>
      <c r="V8" s="40" t="n">
        <f aca="false">IFERROR(U8/R8,0)</f>
        <v>-0.301280548250827</v>
      </c>
      <c r="X8" s="41" t="n">
        <f aca="false" t="array" ref="X8:X8">SUM([1]Hoja2!$I$5:$I$27*([1]Hoja2!$F$5:$F$27=X$5)*([1]Hoja2!$K$5:$K$27=$C8))</f>
        <v>0</v>
      </c>
      <c r="Y8" s="41" t="n">
        <f aca="false" t="array" ref="Y8:Y8">SUM([1]Hoja2!$J$5:$J$27*([1]Hoja2!$F$5:$F$27=X$5)*([1]Hoja2!$K$5:$K$27=$C8))</f>
        <v>0</v>
      </c>
      <c r="Z8" s="52" t="n">
        <f aca="false">IFERROR(Y8/X8,0)</f>
        <v>0</v>
      </c>
      <c r="AA8" s="41" t="n">
        <f aca="false" t="array" ref="AA8:AA8">SUM([1]Hoja2!$I$5:$I$27*([1]Hoja2!$F$5:$F$27=AA$5)*([1]Hoja2!$K$5:$K$27=$C8))</f>
        <v>26</v>
      </c>
      <c r="AB8" s="41" t="n">
        <f aca="false" t="array" ref="AB8:AB8">SUM([1]Hoja2!$J$5:$J$27*([1]Hoja2!$F$5:$F$27=AA$5)*([1]Hoja2!$K$5:$K$27=$C8))</f>
        <v>33800</v>
      </c>
      <c r="AC8" s="52" t="n">
        <f aca="false">IFERROR(AB8/AA8,0)</f>
        <v>1300</v>
      </c>
      <c r="AD8" s="41" t="n">
        <f aca="false" t="array" ref="AD8:AD8">SUM([1]Hoja2!$I$5:$I$27*([1]Hoja2!$F$5:$F$27=AD$5)*([1]Hoja2!$K$5:$K$27=$C8))</f>
        <v>0</v>
      </c>
      <c r="AE8" s="41" t="n">
        <f aca="false" t="array" ref="AE8:AE8">SUM([1]Hoja2!$J$5:$J$27*([1]Hoja2!$F$5:$F$27=AD$5)*([1]Hoja2!$K$5:$K$27=$C8))</f>
        <v>0</v>
      </c>
      <c r="AF8" s="52" t="n">
        <f aca="false">IFERROR(AE8/AD8,0)</f>
        <v>0</v>
      </c>
      <c r="AG8" s="41" t="n">
        <f aca="false" t="array" ref="AG8:AG8">SUM([1]Hoja2!$I$5:$I$27*([1]Hoja2!$F$5:$F$27=AG$5)*([1]Hoja2!$K$5:$K$27=$C8))</f>
        <v>0</v>
      </c>
      <c r="AH8" s="41" t="n">
        <f aca="false" t="array" ref="AH8:AH8">SUM([1]Hoja2!$J$5:$J$27*([1]Hoja2!$F$5:$F$27=AG$5)*([1]Hoja2!$K$5:$K$27=$C8))</f>
        <v>0</v>
      </c>
      <c r="AI8" s="52" t="n">
        <f aca="false">IFERROR(AH8/AG8,0)</f>
        <v>0</v>
      </c>
      <c r="AJ8" s="41" t="n">
        <f aca="false" t="array" ref="AJ8:AJ8">SUM([1]Hoja2!$I$5:$I$27*([1]Hoja2!$F$5:$F$27=AJ$5)*([1]Hoja2!$K$5:$K$27=$C8))</f>
        <v>0</v>
      </c>
      <c r="AK8" s="41" t="n">
        <f aca="false" t="array" ref="AK8:AK8">SUM([1]Hoja2!$J$5:$J$27*([1]Hoja2!$F$5:$F$27=AJ$5)*([1]Hoja2!$K$5:$K$27=$C8))</f>
        <v>0</v>
      </c>
      <c r="AL8" s="52" t="n">
        <f aca="false">IFERROR(AK8/AJ8,0)</f>
        <v>0</v>
      </c>
      <c r="AM8" s="41" t="n">
        <f aca="false" t="array" ref="AM8:AM8">SUM([1]Hoja2!$I$5:$I$27*([1]Hoja2!$F$5:$F$27=AM$5)*([1]Hoja2!$K$5:$K$27=$C8))</f>
        <v>0</v>
      </c>
      <c r="AN8" s="41" t="n">
        <f aca="false" t="array" ref="AN8:AN8">SUM([1]Hoja2!$J$5:$J$27*([1]Hoja2!$F$5:$F$27=AM$5)*([1]Hoja2!$K$5:$K$27=$C8))</f>
        <v>0</v>
      </c>
      <c r="AO8" s="52" t="n">
        <f aca="false">IFERROR(AN8/AM8,0)</f>
        <v>0</v>
      </c>
      <c r="AP8" s="41" t="n">
        <f aca="false" t="array" ref="AP8:AP8">SUM([1]Hoja2!$I$5:$I$27*([1]Hoja2!$F$5:$F$27=AP$5)*([1]Hoja2!$K$5:$K$27=$C8))</f>
        <v>192</v>
      </c>
      <c r="AQ8" s="41" t="n">
        <f aca="false" t="array" ref="AQ8:AQ8">SUM([1]Hoja2!$J$5:$J$27*([1]Hoja2!$F$5:$F$27=AP$5)*([1]Hoja2!$K$5:$K$27=$C8))</f>
        <v>255020</v>
      </c>
      <c r="AR8" s="52" t="n">
        <f aca="false">IFERROR(AQ8/AP8,0)</f>
        <v>1328.22916666667</v>
      </c>
      <c r="AS8" s="43" t="n">
        <f aca="false">X8+AA8+AD8+AG8+AJ8+AM8+AP8</f>
        <v>218</v>
      </c>
      <c r="AT8" s="44" t="n">
        <f aca="false">Y8+AB8+AE8+AH8+AK8+AN8+AQ8</f>
        <v>288820</v>
      </c>
      <c r="AU8" s="45" t="n">
        <f aca="false">IFERROR(AT8/AS8,0)</f>
        <v>1324.8623853211</v>
      </c>
      <c r="AV8" s="44" t="n">
        <f aca="false">-IFERROR(F8/D8*AS8,0)</f>
        <v>-353598.26624916</v>
      </c>
      <c r="AW8" s="45" t="n">
        <f aca="false">-207.84*AS8</f>
        <v>-45309.12</v>
      </c>
      <c r="AX8" s="44" t="n">
        <f aca="false">$AX$18/$AS$18*$AS8</f>
        <v>-12262.1488904796</v>
      </c>
      <c r="AY8" s="45" t="n">
        <f aca="false">$AY$18/$AS$18*$AS8</f>
        <v>-24105.3070866142</v>
      </c>
      <c r="AZ8" s="44" t="n">
        <f aca="false">$AZ$18/$AS$18*$AS8</f>
        <v>-19269.5692913386</v>
      </c>
      <c r="BA8" s="45" t="n">
        <f aca="false">(AT8-AS8*$AX$22)*0.03</f>
        <v>7917.87840148004</v>
      </c>
      <c r="BB8" s="44" t="n">
        <f aca="false">AT8+SUM(AV8:AY8,BA8)</f>
        <v>-138536.963824774</v>
      </c>
      <c r="BC8" s="46" t="n">
        <f aca="false">IFERROR(BB8/AT8,0)</f>
        <v>-0.479665410375921</v>
      </c>
      <c r="BD8" s="47" t="n">
        <f aca="false">AT8+AV8+AW8+AX8+BA8-AZ8</f>
        <v>-95162.0874468209</v>
      </c>
      <c r="BE8" s="48" t="n">
        <f aca="false">IFERROR(BD8/AT8,0)</f>
        <v>-0.329485795467145</v>
      </c>
      <c r="BG8" s="49" t="n">
        <f aca="false">AU8</f>
        <v>1324.8623853211</v>
      </c>
      <c r="BH8" s="50" t="n">
        <f aca="false">IFERROR(AV8/$AS8,0)</f>
        <v>-1622.01039563835</v>
      </c>
      <c r="BI8" s="50" t="n">
        <f aca="false">IFERROR(AW8/$AS8,0)</f>
        <v>-207.84</v>
      </c>
      <c r="BJ8" s="50" t="n">
        <f aca="false">IFERROR(AX8/$AS8,0)</f>
        <v>-56.2483894058697</v>
      </c>
      <c r="BK8" s="50" t="n">
        <f aca="false">IFERROR(AY8/$AS8,0)</f>
        <v>-110.574803149606</v>
      </c>
      <c r="BL8" s="50" t="n">
        <f aca="false">IFERROR(AZ8/$AS8,0)</f>
        <v>-88.3925196850394</v>
      </c>
      <c r="BM8" s="50" t="n">
        <f aca="false">IFERROR(BA8/$AS8,0)</f>
        <v>36.3205431260552</v>
      </c>
      <c r="BN8" s="50" t="n">
        <f aca="false">IFERROR(BB8/$AS8,0)</f>
        <v>-635.490659746668</v>
      </c>
      <c r="BO8" s="50" t="n">
        <f aca="false">IFERROR(BD8/$AS8,0)</f>
        <v>-436.523336912022</v>
      </c>
      <c r="BP8" s="4" t="n">
        <f aca="false">BO8-BN8</f>
        <v>198.967322834646</v>
      </c>
    </row>
    <row r="9" customFormat="false" ht="14.25" hidden="false" customHeight="false" outlineLevel="0" collapsed="false">
      <c r="B9" s="31" t="n">
        <v>10006719</v>
      </c>
      <c r="C9" s="51" t="s">
        <v>37</v>
      </c>
      <c r="D9" s="33" t="n">
        <f aca="false">TD!F6</f>
        <v>63.32</v>
      </c>
      <c r="E9" s="34" t="n">
        <f aca="false">IFERROR(F9/D9,0)</f>
        <v>1882.67236105991</v>
      </c>
      <c r="F9" s="4" t="n">
        <f aca="false">TD!G6</f>
        <v>119210.813902313</v>
      </c>
      <c r="G9" s="4" t="n">
        <f aca="false">TD!H6</f>
        <v>13160.4288</v>
      </c>
      <c r="H9" s="4" t="n">
        <f aca="false">TD!I6</f>
        <v>3994.09371901954</v>
      </c>
      <c r="I9" s="4" t="n">
        <f aca="false">TD!J6</f>
        <v>7851.71151399363</v>
      </c>
      <c r="J9" s="4" t="n">
        <f aca="false">TD!K6</f>
        <v>6276.58874167667</v>
      </c>
      <c r="K9" s="35" t="n">
        <v>0</v>
      </c>
      <c r="L9" s="36" t="n">
        <v>0</v>
      </c>
      <c r="M9" s="37" t="n">
        <f aca="false">F9+G9+H9+I9</f>
        <v>144217.047935327</v>
      </c>
      <c r="N9" s="38" t="n">
        <f aca="false">IFERROR(M9/D9,0)</f>
        <v>2277.59077598431</v>
      </c>
      <c r="O9" s="38" t="n">
        <f aca="false">F9+G9+H9-J9</f>
        <v>130088.747679656</v>
      </c>
      <c r="P9" s="38" t="n">
        <f aca="false">IFERROR(O9/D9,0)</f>
        <v>2054.4653771266</v>
      </c>
      <c r="Q9" s="53" t="n">
        <v>2300</v>
      </c>
      <c r="R9" s="53" t="n">
        <f aca="false">Q9*D9</f>
        <v>145636</v>
      </c>
      <c r="S9" s="53" t="n">
        <f aca="false">R9-M9+(Q9-$AX$22)*D9*0.03</f>
        <v>5571.1402682593</v>
      </c>
      <c r="T9" s="54" t="n">
        <f aca="false">IFERROR(S9/R9,0)</f>
        <v>0.0382538676443963</v>
      </c>
      <c r="U9" s="53" t="n">
        <f aca="false">R9-(M9-J9-I9)+(Q9-$AX$22)*D9*0.03</f>
        <v>19699.4405239296</v>
      </c>
      <c r="V9" s="54" t="n">
        <f aca="false">IFERROR(U9/R9,0)</f>
        <v>0.13526491062601</v>
      </c>
      <c r="X9" s="41" t="n">
        <f aca="false" t="array" ref="X9:X9">SUM([1]Hoja2!$I$5:$I$27*([1]Hoja2!$F$5:$F$27=X$5)*([1]Hoja2!$K$5:$K$27=$C9))</f>
        <v>0</v>
      </c>
      <c r="Y9" s="41" t="n">
        <f aca="false" t="array" ref="Y9:Y9">SUM([1]Hoja2!$J$5:$J$27*([1]Hoja2!$F$5:$F$27=X$5)*([1]Hoja2!$K$5:$K$27=$C9))</f>
        <v>0</v>
      </c>
      <c r="Z9" s="52" t="n">
        <f aca="false">IFERROR(Y9/X9,0)</f>
        <v>0</v>
      </c>
      <c r="AA9" s="41" t="n">
        <f aca="false" t="array" ref="AA9:AA9">SUM([1]Hoja2!$I$5:$I$27*([1]Hoja2!$F$5:$F$27=AA$5)*([1]Hoja2!$K$5:$K$27=$C9))</f>
        <v>0</v>
      </c>
      <c r="AB9" s="41" t="n">
        <f aca="false" t="array" ref="AB9:AB9">SUM([1]Hoja2!$J$5:$J$27*([1]Hoja2!$F$5:$F$27=AA$5)*([1]Hoja2!$K$5:$K$27=$C9))</f>
        <v>0</v>
      </c>
      <c r="AC9" s="52" t="n">
        <f aca="false">IFERROR(AB9/AA9,0)</f>
        <v>0</v>
      </c>
      <c r="AD9" s="41" t="n">
        <f aca="false" t="array" ref="AD9:AD9">SUM([1]Hoja2!$I$5:$I$27*([1]Hoja2!$F$5:$F$27=AD$5)*([1]Hoja2!$K$5:$K$27=$C9))</f>
        <v>72</v>
      </c>
      <c r="AE9" s="41" t="n">
        <f aca="false" t="array" ref="AE9:AE9">SUM([1]Hoja2!$J$5:$J$27*([1]Hoja2!$F$5:$F$27=AD$5)*([1]Hoja2!$K$5:$K$27=$C9))</f>
        <v>151200</v>
      </c>
      <c r="AF9" s="52" t="n">
        <f aca="false">IFERROR(AE9/AD9,0)</f>
        <v>2100</v>
      </c>
      <c r="AG9" s="41" t="n">
        <f aca="false" t="array" ref="AG9:AG9">SUM([1]Hoja2!$I$5:$I$27*([1]Hoja2!$F$5:$F$27=AG$5)*([1]Hoja2!$K$5:$K$27=$C9))</f>
        <v>0</v>
      </c>
      <c r="AH9" s="41" t="n">
        <f aca="false" t="array" ref="AH9:AH9">SUM([1]Hoja2!$J$5:$J$27*([1]Hoja2!$F$5:$F$27=AG$5)*([1]Hoja2!$K$5:$K$27=$C9))</f>
        <v>0</v>
      </c>
      <c r="AI9" s="52" t="n">
        <f aca="false">IFERROR(AH9/AG9,0)</f>
        <v>0</v>
      </c>
      <c r="AJ9" s="41" t="n">
        <f aca="false" t="array" ref="AJ9:AJ9">SUM([1]Hoja2!$I$5:$I$27*([1]Hoja2!$F$5:$F$27=AJ$5)*([1]Hoja2!$K$5:$K$27=$C9))</f>
        <v>27</v>
      </c>
      <c r="AK9" s="41" t="n">
        <f aca="false" t="array" ref="AK9:AK9">SUM([1]Hoja2!$J$5:$J$27*([1]Hoja2!$F$5:$F$27=AJ$5)*([1]Hoja2!$K$5:$K$27=$C9))</f>
        <v>59400</v>
      </c>
      <c r="AL9" s="52" t="n">
        <f aca="false">IFERROR(AK9/AJ9,0)</f>
        <v>2200</v>
      </c>
      <c r="AM9" s="41" t="n">
        <f aca="false" t="array" ref="AM9:AM9">SUM([1]Hoja2!$I$5:$I$27*([1]Hoja2!$F$5:$F$27=AM$5)*([1]Hoja2!$K$5:$K$27=$C9))</f>
        <v>0</v>
      </c>
      <c r="AN9" s="41" t="n">
        <f aca="false" t="array" ref="AN9:AN9">SUM([1]Hoja2!$J$5:$J$27*([1]Hoja2!$F$5:$F$27=AM$5)*([1]Hoja2!$K$5:$K$27=$C9))</f>
        <v>0</v>
      </c>
      <c r="AO9" s="52" t="n">
        <f aca="false">IFERROR(AN9/AM9,0)</f>
        <v>0</v>
      </c>
      <c r="AP9" s="41" t="n">
        <f aca="false" t="array" ref="AP9:AP9">SUM([1]Hoja2!$I$5:$I$27*([1]Hoja2!$F$5:$F$27=AP$5)*([1]Hoja2!$K$5:$K$27=$C9))</f>
        <v>0</v>
      </c>
      <c r="AQ9" s="41" t="n">
        <f aca="false" t="array" ref="AQ9:AQ9">SUM([1]Hoja2!$J$5:$J$27*([1]Hoja2!$F$5:$F$27=AP$5)*([1]Hoja2!$K$5:$K$27=$C9))</f>
        <v>0</v>
      </c>
      <c r="AR9" s="52" t="n">
        <f aca="false">IFERROR(AQ9/AP9,0)</f>
        <v>0</v>
      </c>
      <c r="AS9" s="43" t="n">
        <f aca="false">X9+AA9+AD9+AG9+AJ9+AM9+AP9</f>
        <v>99</v>
      </c>
      <c r="AT9" s="44" t="n">
        <f aca="false">Y9+AB9+AE9+AH9+AK9+AN9+AQ9</f>
        <v>210600</v>
      </c>
      <c r="AU9" s="45" t="n">
        <f aca="false">IFERROR(AT9/AS9,0)</f>
        <v>2127.27272727273</v>
      </c>
      <c r="AV9" s="44" t="n">
        <f aca="false">-IFERROR(F9/D9*AS9,0)</f>
        <v>-186384.563744931</v>
      </c>
      <c r="AW9" s="45" t="n">
        <f aca="false">-207.84*AS9</f>
        <v>-20576.16</v>
      </c>
      <c r="AX9" s="44" t="n">
        <f aca="false">$AX$18/$AS$18*$AS9</f>
        <v>-5568.5905511811</v>
      </c>
      <c r="AY9" s="45" t="n">
        <f aca="false">$AY$18/$AS$18*$AS9</f>
        <v>-10946.905511811</v>
      </c>
      <c r="AZ9" s="44" t="n">
        <f aca="false">$AZ$18/$AS$18*$AS9</f>
        <v>-8750.8594488189</v>
      </c>
      <c r="BA9" s="45" t="n">
        <f aca="false">(AT9-AS9*$AX$22)*0.03</f>
        <v>5978.8924850758</v>
      </c>
      <c r="BB9" s="44" t="n">
        <f aca="false">AT9+SUM(AV9:AY9,BA9)</f>
        <v>-6897.32732284721</v>
      </c>
      <c r="BC9" s="46" t="n">
        <f aca="false">IFERROR(BB9/AT9,0)</f>
        <v>-0.0327508419888282</v>
      </c>
      <c r="BD9" s="47" t="n">
        <f aca="false">AT9+AV9+AW9+AX9+BA9-AZ9</f>
        <v>12800.4376377827</v>
      </c>
      <c r="BE9" s="48" t="n">
        <f aca="false">IFERROR(BD9/AT9,0)</f>
        <v>0.0607808054975438</v>
      </c>
      <c r="BG9" s="49" t="n">
        <f aca="false">AU9</f>
        <v>2127.27272727273</v>
      </c>
      <c r="BH9" s="50" t="n">
        <f aca="false">IFERROR(AV9/$AS9,0)</f>
        <v>-1882.67236105991</v>
      </c>
      <c r="BI9" s="50" t="n">
        <f aca="false">IFERROR(AW9/$AS9,0)</f>
        <v>-207.84</v>
      </c>
      <c r="BJ9" s="50" t="n">
        <f aca="false">IFERROR(AX9/$AS9,0)</f>
        <v>-56.2483894058697</v>
      </c>
      <c r="BK9" s="50" t="n">
        <f aca="false">IFERROR(AY9/$AS9,0)</f>
        <v>-110.574803149606</v>
      </c>
      <c r="BL9" s="50" t="n">
        <f aca="false">IFERROR(AZ9/$AS9,0)</f>
        <v>-88.3925196850394</v>
      </c>
      <c r="BM9" s="50" t="n">
        <f aca="false">IFERROR(BA9/$AS9,0)</f>
        <v>60.392853384604</v>
      </c>
      <c r="BN9" s="50" t="n">
        <f aca="false">IFERROR(BB9/$AS9,0)</f>
        <v>-69.6699729580526</v>
      </c>
      <c r="BO9" s="50" t="n">
        <f aca="false">IFERROR(BD9/$AS9,0)</f>
        <v>129.297349876593</v>
      </c>
      <c r="BP9" s="4" t="n">
        <f aca="false">BO9-BN9</f>
        <v>198.967322834646</v>
      </c>
    </row>
    <row r="10" customFormat="false" ht="14.25" hidden="false" customHeight="false" outlineLevel="0" collapsed="false">
      <c r="B10" s="31" t="n">
        <v>10007050</v>
      </c>
      <c r="C10" s="51" t="s">
        <v>38</v>
      </c>
      <c r="D10" s="33" t="n">
        <f aca="false">TD!F7</f>
        <v>103.325</v>
      </c>
      <c r="E10" s="34" t="n">
        <f aca="false">IFERROR(F10/D10,0)</f>
        <v>1443.94595067714</v>
      </c>
      <c r="F10" s="4" t="n">
        <f aca="false">TD!G7</f>
        <v>149195.715353716</v>
      </c>
      <c r="G10" s="4" t="n">
        <f aca="false">TD!H7</f>
        <v>21475.068</v>
      </c>
      <c r="H10" s="4" t="n">
        <f aca="false">TD!I7</f>
        <v>6517.52579781576</v>
      </c>
      <c r="I10" s="4" t="n">
        <f aca="false">TD!J7</f>
        <v>12812.3514242481</v>
      </c>
      <c r="J10" s="4" t="n">
        <f aca="false">TD!K7</f>
        <v>10242.0804127249</v>
      </c>
      <c r="K10" s="35" t="n">
        <v>0</v>
      </c>
      <c r="L10" s="36" t="n">
        <v>0</v>
      </c>
      <c r="M10" s="37" t="n">
        <f aca="false">F10+G10+H10+I10</f>
        <v>190000.66057578</v>
      </c>
      <c r="N10" s="38" t="n">
        <f aca="false">IFERROR(M10/D10,0)</f>
        <v>1838.86436560155</v>
      </c>
      <c r="O10" s="38" t="n">
        <f aca="false">F10+G10+H10-J10</f>
        <v>166946.228738807</v>
      </c>
      <c r="P10" s="38" t="n">
        <f aca="false">IFERROR(O10/D10,0)</f>
        <v>1615.73896674383</v>
      </c>
      <c r="Q10" s="53" t="n">
        <v>2300</v>
      </c>
      <c r="R10" s="53" t="n">
        <f aca="false">Q10*D10</f>
        <v>237647.5</v>
      </c>
      <c r="S10" s="53" t="n">
        <f aca="false">R10-M10+(Q10-$AX$22)*D10*0.03</f>
        <v>54422.3423638208</v>
      </c>
      <c r="T10" s="54" t="n">
        <f aca="false">IFERROR(S10/R10,0)</f>
        <v>0.229004480854294</v>
      </c>
      <c r="U10" s="53" t="n">
        <f aca="false">R10-(M10-J10-I10)+(Q10-$AX$22)*D10*0.03</f>
        <v>77476.7742007938</v>
      </c>
      <c r="V10" s="54" t="n">
        <f aca="false">IFERROR(U10/R10,0)</f>
        <v>0.326015523835908</v>
      </c>
      <c r="X10" s="41" t="n">
        <f aca="false" t="array" ref="X10:X10">SUM([1]Hoja2!$I$5:$I$27*([1]Hoja2!$F$5:$F$27=X$5)*([1]Hoja2!$K$5:$K$27=$C10))</f>
        <v>0</v>
      </c>
      <c r="Y10" s="41" t="n">
        <f aca="false" t="array" ref="Y10:Y10">SUM([1]Hoja2!$J$5:$J$27*([1]Hoja2!$F$5:$F$27=X$5)*([1]Hoja2!$K$5:$K$27=$C10))</f>
        <v>0</v>
      </c>
      <c r="Z10" s="52" t="n">
        <f aca="false">IFERROR(Y10/X10,0)</f>
        <v>0</v>
      </c>
      <c r="AA10" s="41" t="n">
        <f aca="false" t="array" ref="AA10:AA10">SUM([1]Hoja2!$I$5:$I$27*([1]Hoja2!$F$5:$F$27=AA$5)*([1]Hoja2!$K$5:$K$27=$C10))</f>
        <v>0</v>
      </c>
      <c r="AB10" s="41" t="n">
        <f aca="false" t="array" ref="AB10:AB10">SUM([1]Hoja2!$J$5:$J$27*([1]Hoja2!$F$5:$F$27=AA$5)*([1]Hoja2!$K$5:$K$27=$C10))</f>
        <v>0</v>
      </c>
      <c r="AC10" s="52" t="n">
        <f aca="false">IFERROR(AB10/AA10,0)</f>
        <v>0</v>
      </c>
      <c r="AD10" s="41" t="n">
        <f aca="false" t="array" ref="AD10:AD10">SUM([1]Hoja2!$I$5:$I$27*([1]Hoja2!$F$5:$F$27=AD$5)*([1]Hoja2!$K$5:$K$27=$C10))</f>
        <v>0</v>
      </c>
      <c r="AE10" s="41" t="n">
        <f aca="false" t="array" ref="AE10:AE10">SUM([1]Hoja2!$J$5:$J$27*([1]Hoja2!$F$5:$F$27=AD$5)*([1]Hoja2!$K$5:$K$27=$C10))</f>
        <v>0</v>
      </c>
      <c r="AF10" s="52" t="n">
        <f aca="false">IFERROR(AE10/AD10,0)</f>
        <v>0</v>
      </c>
      <c r="AG10" s="41" t="n">
        <f aca="false" t="array" ref="AG10:AG10">SUM([1]Hoja2!$I$5:$I$27*([1]Hoja2!$F$5:$F$27=AG$5)*([1]Hoja2!$K$5:$K$27=$C10))</f>
        <v>0</v>
      </c>
      <c r="AH10" s="41" t="n">
        <f aca="false" t="array" ref="AH10:AH10">SUM([1]Hoja2!$J$5:$J$27*([1]Hoja2!$F$5:$F$27=AG$5)*([1]Hoja2!$K$5:$K$27=$C10))</f>
        <v>0</v>
      </c>
      <c r="AI10" s="52" t="n">
        <f aca="false">IFERROR(AH10/AG10,0)</f>
        <v>0</v>
      </c>
      <c r="AJ10" s="41" t="n">
        <f aca="false" t="array" ref="AJ10:AJ10">SUM([1]Hoja2!$I$5:$I$27*([1]Hoja2!$F$5:$F$27=AJ$5)*([1]Hoja2!$K$5:$K$27=$C10))</f>
        <v>0</v>
      </c>
      <c r="AK10" s="41" t="n">
        <f aca="false" t="array" ref="AK10:AK10">SUM([1]Hoja2!$J$5:$J$27*([1]Hoja2!$F$5:$F$27=AJ$5)*([1]Hoja2!$K$5:$K$27=$C10))</f>
        <v>0</v>
      </c>
      <c r="AL10" s="52" t="n">
        <f aca="false">IFERROR(AK10/AJ10,0)</f>
        <v>0</v>
      </c>
      <c r="AM10" s="41" t="n">
        <f aca="false" t="array" ref="AM10:AM10">SUM([1]Hoja2!$I$5:$I$27*([1]Hoja2!$F$5:$F$27=AM$5)*([1]Hoja2!$K$5:$K$27=$C10))</f>
        <v>0</v>
      </c>
      <c r="AN10" s="41" t="n">
        <f aca="false" t="array" ref="AN10:AN10">SUM([1]Hoja2!$J$5:$J$27*([1]Hoja2!$F$5:$F$27=AM$5)*([1]Hoja2!$K$5:$K$27=$C10))</f>
        <v>0</v>
      </c>
      <c r="AO10" s="52" t="n">
        <f aca="false">IFERROR(AN10/AM10,0)</f>
        <v>0</v>
      </c>
      <c r="AP10" s="41" t="n">
        <f aca="false" t="array" ref="AP10:AP10">SUM([1]Hoja2!$I$5:$I$27*([1]Hoja2!$F$5:$F$27=AP$5)*([1]Hoja2!$K$5:$K$27=$C10))</f>
        <v>54</v>
      </c>
      <c r="AQ10" s="41" t="n">
        <f aca="false" t="array" ref="AQ10:AQ10">SUM([1]Hoja2!$J$5:$J$27*([1]Hoja2!$F$5:$F$27=AP$5)*([1]Hoja2!$K$5:$K$27=$C10))</f>
        <v>136350</v>
      </c>
      <c r="AR10" s="52" t="n">
        <f aca="false">IFERROR(AQ10/AP10,0)</f>
        <v>2525</v>
      </c>
      <c r="AS10" s="43" t="n">
        <f aca="false">X10+AA10+AD10+AG10+AJ10+AM10+AP10</f>
        <v>54</v>
      </c>
      <c r="AT10" s="44" t="n">
        <f aca="false">Y10+AB10+AE10+AH10+AK10+AN10+AQ10</f>
        <v>136350</v>
      </c>
      <c r="AU10" s="45" t="n">
        <f aca="false">IFERROR(AT10/AS10,0)</f>
        <v>2525</v>
      </c>
      <c r="AV10" s="44" t="n">
        <f aca="false">-IFERROR(F10/D10*AS10,0)</f>
        <v>-77973.0813365658</v>
      </c>
      <c r="AW10" s="45" t="n">
        <f aca="false">-207.84*AS10</f>
        <v>-11223.36</v>
      </c>
      <c r="AX10" s="44" t="n">
        <f aca="false">$AX$18/$AS$18*$AS10</f>
        <v>-3037.41302791697</v>
      </c>
      <c r="AY10" s="45" t="n">
        <f aca="false">$AY$18/$AS$18*$AS10</f>
        <v>-5971.03937007874</v>
      </c>
      <c r="AZ10" s="44" t="n">
        <f aca="false">$AZ$18/$AS$18*$AS10</f>
        <v>-4773.19606299213</v>
      </c>
      <c r="BA10" s="45" t="n">
        <f aca="false">(AT10-AS10*$AX$22)*0.03</f>
        <v>3905.5322645868</v>
      </c>
      <c r="BB10" s="44" t="n">
        <f aca="false">AT10+SUM(AV10:AY10,BA10)</f>
        <v>42050.6385300253</v>
      </c>
      <c r="BC10" s="46" t="n">
        <f aca="false">IFERROR(BB10/AT10,0)</f>
        <v>0.30840218943913</v>
      </c>
      <c r="BD10" s="47" t="n">
        <f aca="false">AT10+AV10+AW10+AX10+BA10-AZ10</f>
        <v>52794.8739630962</v>
      </c>
      <c r="BE10" s="48" t="n">
        <f aca="false">IFERROR(BD10/AT10,0)</f>
        <v>0.387201129175623</v>
      </c>
      <c r="BG10" s="49" t="n">
        <f aca="false">AU10</f>
        <v>2525</v>
      </c>
      <c r="BH10" s="50" t="n">
        <f aca="false">IFERROR(AV10/$AS10,0)</f>
        <v>-1443.94595067714</v>
      </c>
      <c r="BI10" s="50" t="n">
        <f aca="false">IFERROR(AW10/$AS10,0)</f>
        <v>-207.84</v>
      </c>
      <c r="BJ10" s="50" t="n">
        <f aca="false">IFERROR(AX10/$AS10,0)</f>
        <v>-56.2483894058697</v>
      </c>
      <c r="BK10" s="50" t="n">
        <f aca="false">IFERROR(AY10/$AS10,0)</f>
        <v>-110.574803149606</v>
      </c>
      <c r="BL10" s="50" t="n">
        <f aca="false">IFERROR(AZ10/$AS10,0)</f>
        <v>-88.3925196850394</v>
      </c>
      <c r="BM10" s="50" t="n">
        <f aca="false">IFERROR(BA10/$AS10,0)</f>
        <v>72.3246715664222</v>
      </c>
      <c r="BN10" s="50" t="n">
        <f aca="false">IFERROR(BB10/$AS10,0)</f>
        <v>778.715528333803</v>
      </c>
      <c r="BO10" s="50" t="n">
        <f aca="false">IFERROR(BD10/$AS10,0)</f>
        <v>977.682851168448</v>
      </c>
      <c r="BP10" s="4" t="n">
        <f aca="false">BO10-BN10</f>
        <v>198.967322834646</v>
      </c>
    </row>
    <row r="11" customFormat="false" ht="14.25" hidden="false" customHeight="false" outlineLevel="0" collapsed="false">
      <c r="B11" s="31" t="n">
        <v>10007162</v>
      </c>
      <c r="C11" s="51" t="s">
        <v>39</v>
      </c>
      <c r="D11" s="33" t="n">
        <f aca="false">TD!F8</f>
        <v>171.96</v>
      </c>
      <c r="E11" s="34" t="n">
        <f aca="false">IFERROR(F11/D11,0)</f>
        <v>1740.69777348021</v>
      </c>
      <c r="F11" s="4" t="n">
        <f aca="false">TD!G8</f>
        <v>299330.389127657</v>
      </c>
      <c r="G11" s="4" t="n">
        <f aca="false">TD!H8</f>
        <v>35740.1664</v>
      </c>
      <c r="H11" s="4" t="n">
        <f aca="false">TD!I8</f>
        <v>10846.8786469141</v>
      </c>
      <c r="I11" s="4" t="n">
        <f aca="false">TD!J8</f>
        <v>21323.1255834862</v>
      </c>
      <c r="J11" s="4" t="n">
        <f aca="false">TD!K8</f>
        <v>17045.5180040859</v>
      </c>
      <c r="K11" s="35" t="n">
        <v>0</v>
      </c>
      <c r="L11" s="36" t="n">
        <v>0</v>
      </c>
      <c r="M11" s="37" t="n">
        <f aca="false">F11+G11+H11+I11</f>
        <v>367240.559758057</v>
      </c>
      <c r="N11" s="38" t="n">
        <f aca="false">IFERROR(M11/D11,0)</f>
        <v>2135.61618840461</v>
      </c>
      <c r="O11" s="38" t="n">
        <f aca="false">F11+G11+H11-J11</f>
        <v>328871.916170485</v>
      </c>
      <c r="P11" s="38" t="n">
        <f aca="false">IFERROR(O11/D11,0)</f>
        <v>1912.4907895469</v>
      </c>
      <c r="Q11" s="53" t="n">
        <v>2300</v>
      </c>
      <c r="R11" s="53" t="n">
        <f aca="false">Q11*D11</f>
        <v>395508</v>
      </c>
      <c r="S11" s="53" t="n">
        <f aca="false">R11-M11+(Q11-$AX$22)*D11*0.03</f>
        <v>39543.6607645045</v>
      </c>
      <c r="T11" s="54" t="n">
        <f aca="false">IFERROR(S11/R11,0)</f>
        <v>0.0999819492007861</v>
      </c>
      <c r="U11" s="53" t="n">
        <f aca="false">R11-(M11-J11-I11)+(Q11-$AX$22)*D11*0.03</f>
        <v>77912.3043520766</v>
      </c>
      <c r="V11" s="54" t="n">
        <f aca="false">IFERROR(U11/R11,0)</f>
        <v>0.1969929921824</v>
      </c>
      <c r="X11" s="41" t="n">
        <f aca="false" t="array" ref="X11:X11">SUM([1]Hoja2!$I$5:$I$27*([1]Hoja2!$F$5:$F$27=X$5)*([1]Hoja2!$K$5:$K$27=$C11))</f>
        <v>0</v>
      </c>
      <c r="Y11" s="41" t="n">
        <f aca="false" t="array" ref="Y11:Y11">SUM([1]Hoja2!$J$5:$J$27*([1]Hoja2!$F$5:$F$27=X$5)*([1]Hoja2!$K$5:$K$27=$C11))</f>
        <v>0</v>
      </c>
      <c r="Z11" s="52" t="n">
        <f aca="false">IFERROR(Y11/X11,0)</f>
        <v>0</v>
      </c>
      <c r="AA11" s="41" t="n">
        <f aca="false" t="array" ref="AA11:AA11">SUM([1]Hoja2!$I$5:$I$27*([1]Hoja2!$F$5:$F$27=AA$5)*([1]Hoja2!$K$5:$K$27=$C11))</f>
        <v>0</v>
      </c>
      <c r="AB11" s="41" t="n">
        <f aca="false" t="array" ref="AB11:AB11">SUM([1]Hoja2!$J$5:$J$27*([1]Hoja2!$F$5:$F$27=AA$5)*([1]Hoja2!$K$5:$K$27=$C11))</f>
        <v>0</v>
      </c>
      <c r="AC11" s="52" t="n">
        <f aca="false">IFERROR(AB11/AA11,0)</f>
        <v>0</v>
      </c>
      <c r="AD11" s="41" t="n">
        <f aca="false" t="array" ref="AD11:AD11">SUM([1]Hoja2!$I$5:$I$27*([1]Hoja2!$F$5:$F$27=AD$5)*([1]Hoja2!$K$5:$K$27=$C11))</f>
        <v>27</v>
      </c>
      <c r="AE11" s="41" t="n">
        <f aca="false" t="array" ref="AE11:AE11">SUM([1]Hoja2!$J$5:$J$27*([1]Hoja2!$F$5:$F$27=AD$5)*([1]Hoja2!$K$5:$K$27=$C11))</f>
        <v>82350</v>
      </c>
      <c r="AF11" s="52" t="n">
        <f aca="false">IFERROR(AE11/AD11,0)</f>
        <v>3050</v>
      </c>
      <c r="AG11" s="41" t="n">
        <f aca="false" t="array" ref="AG11:AG11">SUM([1]Hoja2!$I$5:$I$27*([1]Hoja2!$F$5:$F$27=AG$5)*([1]Hoja2!$K$5:$K$27=$C11))</f>
        <v>26</v>
      </c>
      <c r="AH11" s="41" t="n">
        <f aca="false" t="array" ref="AH11:AH11">SUM([1]Hoja2!$J$5:$J$27*([1]Hoja2!$F$5:$F$27=AG$5)*([1]Hoja2!$K$5:$K$27=$C11))</f>
        <v>67600</v>
      </c>
      <c r="AI11" s="52" t="n">
        <f aca="false">IFERROR(AH11/AG11,0)</f>
        <v>2600</v>
      </c>
      <c r="AJ11" s="41" t="n">
        <f aca="false" t="array" ref="AJ11:AJ11">SUM([1]Hoja2!$I$5:$I$27*([1]Hoja2!$F$5:$F$27=AJ$5)*([1]Hoja2!$K$5:$K$27=$C11))</f>
        <v>0</v>
      </c>
      <c r="AK11" s="41" t="n">
        <f aca="false" t="array" ref="AK11:AK11">SUM([1]Hoja2!$J$5:$J$27*([1]Hoja2!$F$5:$F$27=AJ$5)*([1]Hoja2!$K$5:$K$27=$C11))</f>
        <v>0</v>
      </c>
      <c r="AL11" s="52" t="n">
        <f aca="false">IFERROR(AK11/AJ11,0)</f>
        <v>0</v>
      </c>
      <c r="AM11" s="41" t="n">
        <f aca="false" t="array" ref="AM11:AM11">SUM([1]Hoja2!$I$5:$I$27*([1]Hoja2!$F$5:$F$27=AM$5)*([1]Hoja2!$K$5:$K$27=$C11))</f>
        <v>0</v>
      </c>
      <c r="AN11" s="41" t="n">
        <f aca="false" t="array" ref="AN11:AN11">SUM([1]Hoja2!$J$5:$J$27*([1]Hoja2!$F$5:$F$27=AM$5)*([1]Hoja2!$K$5:$K$27=$C11))</f>
        <v>0</v>
      </c>
      <c r="AO11" s="52" t="n">
        <f aca="false">IFERROR(AN11/AM11,0)</f>
        <v>0</v>
      </c>
      <c r="AP11" s="41" t="n">
        <f aca="false" t="array" ref="AP11:AP11">SUM([1]Hoja2!$I$5:$I$27*([1]Hoja2!$F$5:$F$27=AP$5)*([1]Hoja2!$K$5:$K$27=$C11))</f>
        <v>106</v>
      </c>
      <c r="AQ11" s="41" t="n">
        <f aca="false" t="array" ref="AQ11:AQ11">SUM([1]Hoja2!$J$5:$J$27*([1]Hoja2!$F$5:$F$27=AP$5)*([1]Hoja2!$K$5:$K$27=$C11))</f>
        <v>302600</v>
      </c>
      <c r="AR11" s="52" t="n">
        <f aca="false">IFERROR(AQ11/AP11,0)</f>
        <v>2854.71698113208</v>
      </c>
      <c r="AS11" s="43" t="n">
        <f aca="false">X11+AA11+AD11+AG11+AJ11+AM11+AP11</f>
        <v>159</v>
      </c>
      <c r="AT11" s="44" t="n">
        <f aca="false">Y11+AB11+AE11+AH11+AK11+AN11+AQ11</f>
        <v>452550</v>
      </c>
      <c r="AU11" s="45" t="n">
        <f aca="false">IFERROR(AT11/AS11,0)</f>
        <v>2846.22641509434</v>
      </c>
      <c r="AV11" s="44" t="n">
        <f aca="false">-IFERROR(F11/D11*AS11,0)</f>
        <v>-276770.945983354</v>
      </c>
      <c r="AW11" s="45" t="n">
        <f aca="false">-207.84*AS11</f>
        <v>-33046.56</v>
      </c>
      <c r="AX11" s="44" t="n">
        <f aca="false">$AX$18/$AS$18*$AS11</f>
        <v>-8943.49391553329</v>
      </c>
      <c r="AY11" s="45" t="n">
        <f aca="false">$AY$18/$AS$18*$AS11</f>
        <v>-17581.3937007874</v>
      </c>
      <c r="AZ11" s="44" t="n">
        <f aca="false">$AZ$18/$AS$18*$AS11</f>
        <v>-14054.4106299213</v>
      </c>
      <c r="BA11" s="45" t="n">
        <f aca="false">(AT11-AS11*$AX$22)*0.03</f>
        <v>13031.8727790611</v>
      </c>
      <c r="BB11" s="44" t="n">
        <f aca="false">AT11+SUM(AV11:AY11,BA11)</f>
        <v>129239.479179387</v>
      </c>
      <c r="BC11" s="46" t="n">
        <f aca="false">IFERROR(BB11/AT11,0)</f>
        <v>0.285580552821537</v>
      </c>
      <c r="BD11" s="47" t="n">
        <f aca="false">AT11+AV11+AW11+AX11+BA11-AZ11</f>
        <v>160875.283510095</v>
      </c>
      <c r="BE11" s="48" t="n">
        <f aca="false">IFERROR(BD11/AT11,0)</f>
        <v>0.355486208176103</v>
      </c>
      <c r="BG11" s="49" t="n">
        <f aca="false">AU11</f>
        <v>2846.22641509434</v>
      </c>
      <c r="BH11" s="50" t="n">
        <f aca="false">IFERROR(AV11/$AS11,0)</f>
        <v>-1740.69777348021</v>
      </c>
      <c r="BI11" s="50" t="n">
        <f aca="false">IFERROR(AW11/$AS11,0)</f>
        <v>-207.84</v>
      </c>
      <c r="BJ11" s="50" t="n">
        <f aca="false">IFERROR(AX11/$AS11,0)</f>
        <v>-56.2483894058697</v>
      </c>
      <c r="BK11" s="50" t="n">
        <f aca="false">IFERROR(AY11/$AS11,0)</f>
        <v>-110.574803149606</v>
      </c>
      <c r="BL11" s="50" t="n">
        <f aca="false">IFERROR(AZ11/$AS11,0)</f>
        <v>-88.3925196850394</v>
      </c>
      <c r="BM11" s="50" t="n">
        <f aca="false">IFERROR(BA11/$AS11,0)</f>
        <v>81.9614640192524</v>
      </c>
      <c r="BN11" s="50" t="n">
        <f aca="false">IFERROR(BB11/$AS11,0)</f>
        <v>812.826913077905</v>
      </c>
      <c r="BO11" s="50" t="n">
        <f aca="false">IFERROR(BD11/$AS11,0)</f>
        <v>1011.79423591255</v>
      </c>
      <c r="BP11" s="4" t="n">
        <f aca="false">BO11-BN11</f>
        <v>198.967322834645</v>
      </c>
    </row>
    <row r="12" customFormat="false" ht="14.25" hidden="false" customHeight="false" outlineLevel="0" collapsed="false">
      <c r="B12" s="31" t="n">
        <v>10007567</v>
      </c>
      <c r="C12" s="51" t="s">
        <v>40</v>
      </c>
      <c r="D12" s="33" t="n">
        <f aca="false">TD!F9</f>
        <v>61.46</v>
      </c>
      <c r="E12" s="34" t="n">
        <f aca="false">IFERROR(F12/D12,0)</f>
        <v>1682.65920704243</v>
      </c>
      <c r="F12" s="4" t="n">
        <f aca="false">TD!G9</f>
        <v>103416.234864828</v>
      </c>
      <c r="G12" s="4" t="n">
        <f aca="false">TD!H9</f>
        <v>12773.8464</v>
      </c>
      <c r="H12" s="4" t="n">
        <f aca="false">TD!I9</f>
        <v>3876.76879297127</v>
      </c>
      <c r="I12" s="4" t="n">
        <f aca="false">TD!J9</f>
        <v>7621.07058828251</v>
      </c>
      <c r="J12" s="4" t="n">
        <f aca="false">TD!K9</f>
        <v>6092.21642551244</v>
      </c>
      <c r="K12" s="35" t="n">
        <v>0</v>
      </c>
      <c r="L12" s="36" t="n">
        <v>0</v>
      </c>
      <c r="M12" s="37" t="n">
        <f aca="false">F12+G12+H12+I12</f>
        <v>127687.920646082</v>
      </c>
      <c r="N12" s="38" t="n">
        <f aca="false">IFERROR(M12/D12,0)</f>
        <v>2077.57762196684</v>
      </c>
      <c r="O12" s="38" t="n">
        <f aca="false">F12+G12+H12-J12</f>
        <v>113974.633632287</v>
      </c>
      <c r="P12" s="38" t="n">
        <f aca="false">IFERROR(O12/D12,0)</f>
        <v>1854.45222310912</v>
      </c>
      <c r="Q12" s="53" t="n">
        <v>2700</v>
      </c>
      <c r="R12" s="53" t="n">
        <f aca="false">Q12*D12</f>
        <v>165942</v>
      </c>
      <c r="S12" s="53" t="n">
        <f aca="false">R12-M12+(Q12-$AX$22)*D12*0.03</f>
        <v>43021.8186683906</v>
      </c>
      <c r="T12" s="54" t="n">
        <f aca="false">IFERROR(S12/R12,0)</f>
        <v>0.259258166518365</v>
      </c>
      <c r="U12" s="53" t="n">
        <f aca="false">R12-(M12-J12-I12)+(Q12-$AX$22)*D12*0.03</f>
        <v>56735.1056821855</v>
      </c>
      <c r="V12" s="54" t="n">
        <f aca="false">IFERROR(U12/R12,0)</f>
        <v>0.341897203132332</v>
      </c>
      <c r="X12" s="41" t="n">
        <f aca="false" t="array" ref="X12:X12">SUM([1]Hoja2!$I$5:$I$27*([1]Hoja2!$F$5:$F$27=X$5)*([1]Hoja2!$K$5:$K$27=$C12))</f>
        <v>0</v>
      </c>
      <c r="Y12" s="41" t="n">
        <f aca="false" t="array" ref="Y12:Y12">SUM([1]Hoja2!$J$5:$J$27*([1]Hoja2!$F$5:$F$27=X$5)*([1]Hoja2!$K$5:$K$27=$C12))</f>
        <v>0</v>
      </c>
      <c r="Z12" s="52" t="n">
        <f aca="false">IFERROR(Y12/X12,0)</f>
        <v>0</v>
      </c>
      <c r="AA12" s="41" t="n">
        <f aca="false" t="array" ref="AA12:AA12">SUM([1]Hoja2!$I$5:$I$27*([1]Hoja2!$F$5:$F$27=AA$5)*([1]Hoja2!$K$5:$K$27=$C12))</f>
        <v>0</v>
      </c>
      <c r="AB12" s="41" t="n">
        <f aca="false" t="array" ref="AB12:AB12">SUM([1]Hoja2!$J$5:$J$27*([1]Hoja2!$F$5:$F$27=AA$5)*([1]Hoja2!$K$5:$K$27=$C12))</f>
        <v>0</v>
      </c>
      <c r="AC12" s="52" t="n">
        <f aca="false">IFERROR(AB12/AA12,0)</f>
        <v>0</v>
      </c>
      <c r="AD12" s="41" t="n">
        <f aca="false" t="array" ref="AD12:AD12">SUM([1]Hoja2!$I$5:$I$27*([1]Hoja2!$F$5:$F$27=AD$5)*([1]Hoja2!$K$5:$K$27=$C12))</f>
        <v>0</v>
      </c>
      <c r="AE12" s="41" t="n">
        <f aca="false" t="array" ref="AE12:AE12">SUM([1]Hoja2!$J$5:$J$27*([1]Hoja2!$F$5:$F$27=AD$5)*([1]Hoja2!$K$5:$K$27=$C12))</f>
        <v>0</v>
      </c>
      <c r="AF12" s="52" t="n">
        <f aca="false">IFERROR(AE12/AD12,0)</f>
        <v>0</v>
      </c>
      <c r="AG12" s="41" t="n">
        <f aca="false" t="array" ref="AG12:AG12">SUM([1]Hoja2!$I$5:$I$27*([1]Hoja2!$F$5:$F$27=AG$5)*([1]Hoja2!$K$5:$K$27=$C12))</f>
        <v>0</v>
      </c>
      <c r="AH12" s="41" t="n">
        <f aca="false" t="array" ref="AH12:AH12">SUM([1]Hoja2!$J$5:$J$27*([1]Hoja2!$F$5:$F$27=AG$5)*([1]Hoja2!$K$5:$K$27=$C12))</f>
        <v>0</v>
      </c>
      <c r="AI12" s="52" t="n">
        <f aca="false">IFERROR(AH12/AG12,0)</f>
        <v>0</v>
      </c>
      <c r="AJ12" s="41" t="n">
        <f aca="false" t="array" ref="AJ12:AJ12">SUM([1]Hoja2!$I$5:$I$27*([1]Hoja2!$F$5:$F$27=AJ$5)*([1]Hoja2!$K$5:$K$27=$C12))</f>
        <v>0</v>
      </c>
      <c r="AK12" s="41" t="n">
        <f aca="false" t="array" ref="AK12:AK12">SUM([1]Hoja2!$J$5:$J$27*([1]Hoja2!$F$5:$F$27=AJ$5)*([1]Hoja2!$K$5:$K$27=$C12))</f>
        <v>0</v>
      </c>
      <c r="AL12" s="52" t="n">
        <f aca="false">IFERROR(AK12/AJ12,0)</f>
        <v>0</v>
      </c>
      <c r="AM12" s="41" t="n">
        <f aca="false" t="array" ref="AM12:AM12">SUM([1]Hoja2!$I$5:$I$27*([1]Hoja2!$F$5:$F$27=AM$5)*([1]Hoja2!$K$5:$K$27=$C12))</f>
        <v>53</v>
      </c>
      <c r="AN12" s="41" t="n">
        <f aca="false" t="array" ref="AN12:AN12">SUM([1]Hoja2!$J$5:$J$27*([1]Hoja2!$F$5:$F$27=AM$5)*([1]Hoja2!$K$5:$K$27=$C12))</f>
        <v>147810</v>
      </c>
      <c r="AO12" s="52" t="n">
        <f aca="false">IFERROR(AN12/AM12,0)</f>
        <v>2788.8679245283</v>
      </c>
      <c r="AP12" s="41" t="n">
        <f aca="false" t="array" ref="AP12:AP12">SUM([1]Hoja2!$I$5:$I$27*([1]Hoja2!$F$5:$F$27=AP$5)*([1]Hoja2!$K$5:$K$27=$C12))</f>
        <v>0</v>
      </c>
      <c r="AQ12" s="41" t="n">
        <f aca="false" t="array" ref="AQ12:AQ12">SUM([1]Hoja2!$J$5:$J$27*([1]Hoja2!$F$5:$F$27=AP$5)*([1]Hoja2!$K$5:$K$27=$C12))</f>
        <v>0</v>
      </c>
      <c r="AR12" s="52" t="n">
        <f aca="false">IFERROR(AQ12/AP12,0)</f>
        <v>0</v>
      </c>
      <c r="AS12" s="43" t="n">
        <f aca="false">X12+AA12+AD12+AG12+AJ12+AM12+AP12</f>
        <v>53</v>
      </c>
      <c r="AT12" s="44" t="n">
        <f aca="false">Y12+AB12+AE12+AH12+AK12+AN12+AQ12</f>
        <v>147810</v>
      </c>
      <c r="AU12" s="45" t="n">
        <f aca="false">IFERROR(AT12/AS12,0)</f>
        <v>2788.8679245283</v>
      </c>
      <c r="AV12" s="44" t="n">
        <f aca="false">-IFERROR(F12/D12*AS12,0)</f>
        <v>-89180.937973249</v>
      </c>
      <c r="AW12" s="45" t="n">
        <f aca="false">-207.84*AS12</f>
        <v>-11015.52</v>
      </c>
      <c r="AX12" s="44" t="n">
        <f aca="false">$AX$18/$AS$18*$AS12</f>
        <v>-2981.1646385111</v>
      </c>
      <c r="AY12" s="45" t="n">
        <f aca="false">$AY$18/$AS$18*$AS12</f>
        <v>-5860.46456692914</v>
      </c>
      <c r="AZ12" s="44" t="n">
        <f aca="false">$AZ$18/$AS$18*$AS12</f>
        <v>-4684.80354330709</v>
      </c>
      <c r="BA12" s="45" t="n">
        <f aca="false">(AT12-AS12*$AX$22)*0.03</f>
        <v>4252.75759302038</v>
      </c>
      <c r="BB12" s="44" t="n">
        <f aca="false">AT12+SUM(AV12:AY12,BA12)</f>
        <v>43024.6704143312</v>
      </c>
      <c r="BC12" s="46" t="n">
        <f aca="false">IFERROR(BB12/AT12,0)</f>
        <v>0.291080917490908</v>
      </c>
      <c r="BD12" s="47" t="n">
        <f aca="false">AT12+AV12+AW12+AX12+BA12-AZ12</f>
        <v>53569.9385245674</v>
      </c>
      <c r="BE12" s="48" t="n">
        <f aca="false">IFERROR(BD12/AT12,0)</f>
        <v>0.362424318547916</v>
      </c>
      <c r="BG12" s="49" t="n">
        <f aca="false">AU12</f>
        <v>2788.8679245283</v>
      </c>
      <c r="BH12" s="50" t="n">
        <f aca="false">IFERROR(AV12/$AS12,0)</f>
        <v>-1682.65920704243</v>
      </c>
      <c r="BI12" s="50" t="n">
        <f aca="false">IFERROR(AW12/$AS12,0)</f>
        <v>-207.84</v>
      </c>
      <c r="BJ12" s="50" t="n">
        <f aca="false">IFERROR(AX12/$AS12,0)</f>
        <v>-56.2483894058697</v>
      </c>
      <c r="BK12" s="50" t="n">
        <f aca="false">IFERROR(AY12/$AS12,0)</f>
        <v>-110.574803149606</v>
      </c>
      <c r="BL12" s="50" t="n">
        <f aca="false">IFERROR(AZ12/$AS12,0)</f>
        <v>-88.3925196850394</v>
      </c>
      <c r="BM12" s="50" t="n">
        <f aca="false">IFERROR(BA12/$AS12,0)</f>
        <v>80.2407093022712</v>
      </c>
      <c r="BN12" s="50" t="n">
        <f aca="false">IFERROR(BB12/$AS12,0)</f>
        <v>811.786234232663</v>
      </c>
      <c r="BO12" s="50" t="n">
        <f aca="false">IFERROR(BD12/$AS12,0)</f>
        <v>1010.75355706731</v>
      </c>
      <c r="BP12" s="4" t="n">
        <f aca="false">BO12-BN12</f>
        <v>198.967322834646</v>
      </c>
    </row>
    <row r="13" customFormat="false" ht="14.25" hidden="false" customHeight="false" outlineLevel="0" collapsed="false">
      <c r="B13" s="31" t="n">
        <v>10007969</v>
      </c>
      <c r="C13" s="51" t="s">
        <v>41</v>
      </c>
      <c r="D13" s="33" t="n">
        <f aca="false">TD!F10</f>
        <v>22.74</v>
      </c>
      <c r="E13" s="34" t="n">
        <f aca="false">IFERROR(F13/D13,0)</f>
        <v>1368.50381428571</v>
      </c>
      <c r="F13" s="4" t="n">
        <f aca="false">TD!G10</f>
        <v>31119.7767368571</v>
      </c>
      <c r="G13" s="4" t="n">
        <f aca="false">TD!H10</f>
        <v>4726.2816</v>
      </c>
      <c r="H13" s="4" t="n">
        <f aca="false">TD!I10</f>
        <v>1434.39183781593</v>
      </c>
      <c r="I13" s="4" t="n">
        <f aca="false">TD!J10</f>
        <v>2819.77131756499</v>
      </c>
      <c r="J13" s="4" t="n">
        <f aca="false">TD!K10</f>
        <v>2254.10025245937</v>
      </c>
      <c r="K13" s="35" t="n">
        <v>0</v>
      </c>
      <c r="L13" s="36" t="n">
        <v>0</v>
      </c>
      <c r="M13" s="37" t="n">
        <f aca="false">F13+G13+H13+I13</f>
        <v>40100.2214922381</v>
      </c>
      <c r="N13" s="38" t="n">
        <f aca="false">IFERROR(M13/D13,0)</f>
        <v>1763.42222921012</v>
      </c>
      <c r="O13" s="38" t="n">
        <f aca="false">F13+G13+H13-J13</f>
        <v>35026.3499222137</v>
      </c>
      <c r="P13" s="38" t="n">
        <f aca="false">IFERROR(O13/D13,0)</f>
        <v>1540.29683035241</v>
      </c>
      <c r="Q13" s="53" t="n">
        <v>2900</v>
      </c>
      <c r="R13" s="53" t="n">
        <f aca="false">Q13*D13</f>
        <v>65946</v>
      </c>
      <c r="S13" s="53" t="n">
        <f aca="false">R13-M13+(Q13-$AX$22)*D13*0.03</f>
        <v>27746.2665391824</v>
      </c>
      <c r="T13" s="54" t="n">
        <f aca="false">IFERROR(S13/R13,0)</f>
        <v>0.420742221502174</v>
      </c>
      <c r="U13" s="53" t="n">
        <f aca="false">R13-(M13-J13-I13)+(Q13-$AX$22)*D13*0.03</f>
        <v>32820.1381092067</v>
      </c>
      <c r="V13" s="54" t="n">
        <f aca="false">IFERROR(U13/R13,0)</f>
        <v>0.49768201421173</v>
      </c>
      <c r="X13" s="41" t="n">
        <f aca="false" t="array" ref="X13:X13">SUM([1]Hoja2!$I$5:$I$27*([1]Hoja2!$F$5:$F$27=X$5)*([1]Hoja2!$K$5:$K$27=$C13))</f>
        <v>0</v>
      </c>
      <c r="Y13" s="41" t="n">
        <f aca="false" t="array" ref="Y13:Y13">SUM([1]Hoja2!$J$5:$J$27*([1]Hoja2!$F$5:$F$27=X$5)*([1]Hoja2!$K$5:$K$27=$C13))</f>
        <v>0</v>
      </c>
      <c r="Z13" s="52" t="n">
        <f aca="false">IFERROR(Y13/X13,0)</f>
        <v>0</v>
      </c>
      <c r="AA13" s="41" t="n">
        <f aca="false" t="array" ref="AA13:AA13">SUM([1]Hoja2!$I$5:$I$27*([1]Hoja2!$F$5:$F$27=AA$5)*([1]Hoja2!$K$5:$K$27=$C13))</f>
        <v>0</v>
      </c>
      <c r="AB13" s="41" t="n">
        <f aca="false" t="array" ref="AB13:AB13">SUM([1]Hoja2!$J$5:$J$27*([1]Hoja2!$F$5:$F$27=AA$5)*([1]Hoja2!$K$5:$K$27=$C13))</f>
        <v>0</v>
      </c>
      <c r="AC13" s="52" t="n">
        <f aca="false">IFERROR(AB13/AA13,0)</f>
        <v>0</v>
      </c>
      <c r="AD13" s="41" t="n">
        <f aca="false" t="array" ref="AD13:AD13">SUM([1]Hoja2!$I$5:$I$27*([1]Hoja2!$F$5:$F$27=AD$5)*([1]Hoja2!$K$5:$K$27=$C13))</f>
        <v>0</v>
      </c>
      <c r="AE13" s="41" t="n">
        <f aca="false" t="array" ref="AE13:AE13">SUM([1]Hoja2!$J$5:$J$27*([1]Hoja2!$F$5:$F$27=AD$5)*([1]Hoja2!$K$5:$K$27=$C13))</f>
        <v>0</v>
      </c>
      <c r="AF13" s="52" t="n">
        <f aca="false">IFERROR(AE13/AD13,0)</f>
        <v>0</v>
      </c>
      <c r="AG13" s="41" t="n">
        <f aca="false" t="array" ref="AG13:AG13">SUM([1]Hoja2!$I$5:$I$27*([1]Hoja2!$F$5:$F$27=AG$5)*([1]Hoja2!$K$5:$K$27=$C13))</f>
        <v>0</v>
      </c>
      <c r="AH13" s="41" t="n">
        <f aca="false" t="array" ref="AH13:AH13">SUM([1]Hoja2!$J$5:$J$27*([1]Hoja2!$F$5:$F$27=AG$5)*([1]Hoja2!$K$5:$K$27=$C13))</f>
        <v>0</v>
      </c>
      <c r="AI13" s="52" t="n">
        <f aca="false">IFERROR(AH13/AG13,0)</f>
        <v>0</v>
      </c>
      <c r="AJ13" s="41" t="n">
        <f aca="false" t="array" ref="AJ13:AJ13">SUM([1]Hoja2!$I$5:$I$27*([1]Hoja2!$F$5:$F$27=AJ$5)*([1]Hoja2!$K$5:$K$27=$C13))</f>
        <v>27</v>
      </c>
      <c r="AK13" s="41" t="n">
        <f aca="false" t="array" ref="AK13:AK13">SUM([1]Hoja2!$J$5:$J$27*([1]Hoja2!$F$5:$F$27=AJ$5)*([1]Hoja2!$K$5:$K$27=$C13))</f>
        <v>46710</v>
      </c>
      <c r="AL13" s="52" t="n">
        <f aca="false">IFERROR(AK13/AJ13,0)</f>
        <v>1730</v>
      </c>
      <c r="AM13" s="41" t="n">
        <f aca="false" t="array" ref="AM13:AM13">SUM([1]Hoja2!$I$5:$I$27*([1]Hoja2!$F$5:$F$27=AM$5)*([1]Hoja2!$K$5:$K$27=$C13))</f>
        <v>0</v>
      </c>
      <c r="AN13" s="41" t="n">
        <f aca="false" t="array" ref="AN13:AN13">SUM([1]Hoja2!$J$5:$J$27*([1]Hoja2!$F$5:$F$27=AM$5)*([1]Hoja2!$K$5:$K$27=$C13))</f>
        <v>0</v>
      </c>
      <c r="AO13" s="52" t="n">
        <f aca="false">IFERROR(AN13/AM13,0)</f>
        <v>0</v>
      </c>
      <c r="AP13" s="41" t="n">
        <f aca="false" t="array" ref="AP13:AP13">SUM([1]Hoja2!$I$5:$I$27*([1]Hoja2!$F$5:$F$27=AP$5)*([1]Hoja2!$K$5:$K$27=$C13))</f>
        <v>0</v>
      </c>
      <c r="AQ13" s="41" t="n">
        <f aca="false" t="array" ref="AQ13:AQ13">SUM([1]Hoja2!$J$5:$J$27*([1]Hoja2!$F$5:$F$27=AP$5)*([1]Hoja2!$K$5:$K$27=$C13))</f>
        <v>0</v>
      </c>
      <c r="AR13" s="52" t="n">
        <f aca="false">IFERROR(AQ13/AP13,0)</f>
        <v>0</v>
      </c>
      <c r="AS13" s="43" t="n">
        <f aca="false">X13+AA13+AD13+AG13+AJ13+AM13+AP13</f>
        <v>27</v>
      </c>
      <c r="AT13" s="44" t="n">
        <f aca="false">Y13+AB13+AE13+AH13+AK13+AN13+AQ13</f>
        <v>46710</v>
      </c>
      <c r="AU13" s="45" t="n">
        <f aca="false">IFERROR(AT13/AS13,0)</f>
        <v>1730</v>
      </c>
      <c r="AV13" s="44" t="n">
        <f aca="false">-IFERROR(F13/D13*AS13,0)</f>
        <v>-36949.6029857143</v>
      </c>
      <c r="AW13" s="45" t="n">
        <f aca="false">-207.84*AS13</f>
        <v>-5611.68</v>
      </c>
      <c r="AX13" s="44" t="n">
        <f aca="false">$AX$18/$AS$18*$AS13</f>
        <v>-1518.70651395848</v>
      </c>
      <c r="AY13" s="45" t="n">
        <f aca="false">$AY$18/$AS$18*$AS13</f>
        <v>-2985.51968503937</v>
      </c>
      <c r="AZ13" s="44" t="n">
        <f aca="false">$AZ$18/$AS$18*$AS13</f>
        <v>-2386.59803149606</v>
      </c>
      <c r="BA13" s="45" t="n">
        <f aca="false">(AT13-AS13*$AX$22)*0.03</f>
        <v>1308.8161322934</v>
      </c>
      <c r="BB13" s="44" t="n">
        <f aca="false">AT13+SUM(AV13:AY13,BA13)</f>
        <v>953.306947581252</v>
      </c>
      <c r="BC13" s="46" t="n">
        <f aca="false">IFERROR(BB13/AT13,0)</f>
        <v>0.0204090547544691</v>
      </c>
      <c r="BD13" s="47" t="n">
        <f aca="false">AT13+AV13+AW13+AX13+BA13-AZ13</f>
        <v>6325.42466411669</v>
      </c>
      <c r="BE13" s="48" t="n">
        <f aca="false">IFERROR(BD13/AT13,0)</f>
        <v>0.135419067953686</v>
      </c>
      <c r="BG13" s="49" t="n">
        <f aca="false">AU13</f>
        <v>1730</v>
      </c>
      <c r="BH13" s="50" t="n">
        <f aca="false">IFERROR(AV13/$AS13,0)</f>
        <v>-1368.50381428571</v>
      </c>
      <c r="BI13" s="50" t="n">
        <f aca="false">IFERROR(AW13/$AS13,0)</f>
        <v>-207.84</v>
      </c>
      <c r="BJ13" s="50" t="n">
        <f aca="false">IFERROR(AX13/$AS13,0)</f>
        <v>-56.2483894058697</v>
      </c>
      <c r="BK13" s="50" t="n">
        <f aca="false">IFERROR(AY13/$AS13,0)</f>
        <v>-110.574803149606</v>
      </c>
      <c r="BL13" s="50" t="n">
        <f aca="false">IFERROR(AZ13/$AS13,0)</f>
        <v>-88.3925196850394</v>
      </c>
      <c r="BM13" s="50" t="n">
        <f aca="false">IFERROR(BA13/$AS13,0)</f>
        <v>48.4746715664222</v>
      </c>
      <c r="BN13" s="50" t="n">
        <f aca="false">IFERROR(BB13/$AS13,0)</f>
        <v>35.3076647252316</v>
      </c>
      <c r="BO13" s="50" t="n">
        <f aca="false">IFERROR(BD13/$AS13,0)</f>
        <v>234.274987559877</v>
      </c>
      <c r="BP13" s="4" t="n">
        <f aca="false">BO13-BN13</f>
        <v>198.967322834646</v>
      </c>
    </row>
    <row r="14" customFormat="false" ht="14.25" hidden="false" customHeight="false" outlineLevel="0" collapsed="false">
      <c r="B14" s="31" t="n">
        <v>10009239</v>
      </c>
      <c r="C14" s="51" t="s">
        <v>42</v>
      </c>
      <c r="D14" s="33" t="n">
        <f aca="false">TD!F11</f>
        <v>0</v>
      </c>
      <c r="E14" s="34" t="n">
        <f aca="false">IFERROR(F14/D14,0)</f>
        <v>0</v>
      </c>
      <c r="F14" s="4" t="n">
        <f aca="false">TD!G11</f>
        <v>0</v>
      </c>
      <c r="G14" s="4" t="n">
        <f aca="false">TD!H11</f>
        <v>0</v>
      </c>
      <c r="H14" s="4" t="n">
        <f aca="false">TD!I11</f>
        <v>0</v>
      </c>
      <c r="I14" s="4" t="n">
        <f aca="false">TD!J11</f>
        <v>0</v>
      </c>
      <c r="J14" s="4" t="n">
        <f aca="false">TD!K11</f>
        <v>0</v>
      </c>
      <c r="K14" s="35" t="n">
        <v>0</v>
      </c>
      <c r="L14" s="36" t="n">
        <v>0</v>
      </c>
      <c r="M14" s="37" t="n">
        <f aca="false">F14+G14+H14+I14</f>
        <v>0</v>
      </c>
      <c r="N14" s="38" t="n">
        <f aca="false">IFERROR(M14/D14,0)</f>
        <v>0</v>
      </c>
      <c r="O14" s="38" t="n">
        <f aca="false">F14+G14+H14-J14</f>
        <v>0</v>
      </c>
      <c r="P14" s="38" t="n">
        <f aca="false">IFERROR(O14/D14,0)</f>
        <v>0</v>
      </c>
      <c r="Q14" s="39" t="n">
        <v>1730</v>
      </c>
      <c r="R14" s="39" t="n">
        <f aca="false">Q14*D14</f>
        <v>0</v>
      </c>
      <c r="S14" s="39" t="n">
        <f aca="false">R14-M14+(Q14-$AX$22)*D14*0.03</f>
        <v>0</v>
      </c>
      <c r="T14" s="40" t="n">
        <f aca="false">IFERROR(S14/R14,0)</f>
        <v>0</v>
      </c>
      <c r="U14" s="39" t="n">
        <f aca="false">R14-(M14-J14-I14)+(Q14-$AX$22)*D14*0.03</f>
        <v>0</v>
      </c>
      <c r="V14" s="40" t="n">
        <f aca="false">IFERROR(U14/R14,0)</f>
        <v>0</v>
      </c>
      <c r="X14" s="41" t="n">
        <f aca="false" t="array" ref="X14:X14">SUM([1]Hoja2!$I$5:$I$27*([1]Hoja2!$F$5:$F$27=X$5)*([1]Hoja2!$K$5:$K$27=$C14))</f>
        <v>0</v>
      </c>
      <c r="Y14" s="41" t="n">
        <f aca="false" t="array" ref="Y14:Y14">SUM([1]Hoja2!$J$5:$J$27*([1]Hoja2!$F$5:$F$27=X$5)*([1]Hoja2!$K$5:$K$27=$C14))</f>
        <v>0</v>
      </c>
      <c r="Z14" s="52" t="n">
        <f aca="false">IFERROR(Y14/X14,0)</f>
        <v>0</v>
      </c>
      <c r="AA14" s="41" t="n">
        <f aca="false" t="array" ref="AA14:AA14">SUM([1]Hoja2!$I$5:$I$27*([1]Hoja2!$F$5:$F$27=AA$5)*([1]Hoja2!$K$5:$K$27=$C14))</f>
        <v>0</v>
      </c>
      <c r="AB14" s="41" t="n">
        <f aca="false" t="array" ref="AB14:AB14">SUM([1]Hoja2!$J$5:$J$27*([1]Hoja2!$F$5:$F$27=AA$5)*([1]Hoja2!$K$5:$K$27=$C14))</f>
        <v>0</v>
      </c>
      <c r="AC14" s="52" t="n">
        <f aca="false">IFERROR(AB14/AA14,0)</f>
        <v>0</v>
      </c>
      <c r="AD14" s="41" t="n">
        <f aca="false" t="array" ref="AD14:AD14">SUM([1]Hoja2!$I$5:$I$27*([1]Hoja2!$F$5:$F$27=AD$5)*([1]Hoja2!$K$5:$K$27=$C14))</f>
        <v>108</v>
      </c>
      <c r="AE14" s="41" t="n">
        <f aca="false" t="array" ref="AE14:AE14">SUM([1]Hoja2!$J$5:$J$27*([1]Hoja2!$F$5:$F$27=AD$5)*([1]Hoja2!$K$5:$K$27=$C14))</f>
        <v>421200</v>
      </c>
      <c r="AF14" s="52" t="n">
        <f aca="false">IFERROR(AE14/AD14,0)</f>
        <v>3900</v>
      </c>
      <c r="AG14" s="41" t="n">
        <f aca="false" t="array" ref="AG14:AG14">SUM([1]Hoja2!$I$5:$I$27*([1]Hoja2!$F$5:$F$27=AG$5)*([1]Hoja2!$K$5:$K$27=$C14))</f>
        <v>0</v>
      </c>
      <c r="AH14" s="41" t="n">
        <f aca="false" t="array" ref="AH14:AH14">SUM([1]Hoja2!$J$5:$J$27*([1]Hoja2!$F$5:$F$27=AG$5)*([1]Hoja2!$K$5:$K$27=$C14))</f>
        <v>0</v>
      </c>
      <c r="AI14" s="52" t="n">
        <f aca="false">IFERROR(AH14/AG14,0)</f>
        <v>0</v>
      </c>
      <c r="AJ14" s="41" t="n">
        <f aca="false" t="array" ref="AJ14:AJ14">SUM([1]Hoja2!$I$5:$I$27*([1]Hoja2!$F$5:$F$27=AJ$5)*([1]Hoja2!$K$5:$K$27=$C14))</f>
        <v>0</v>
      </c>
      <c r="AK14" s="41" t="n">
        <f aca="false" t="array" ref="AK14:AK14">SUM([1]Hoja2!$J$5:$J$27*([1]Hoja2!$F$5:$F$27=AJ$5)*([1]Hoja2!$K$5:$K$27=$C14))</f>
        <v>0</v>
      </c>
      <c r="AL14" s="52" t="n">
        <f aca="false">IFERROR(AK14/AJ14,0)</f>
        <v>0</v>
      </c>
      <c r="AM14" s="41" t="n">
        <f aca="false" t="array" ref="AM14:AM14">SUM([1]Hoja2!$I$5:$I$27*([1]Hoja2!$F$5:$F$27=AM$5)*([1]Hoja2!$K$5:$K$27=$C14))</f>
        <v>0</v>
      </c>
      <c r="AN14" s="41" t="n">
        <f aca="false" t="array" ref="AN14:AN14">SUM([1]Hoja2!$J$5:$J$27*([1]Hoja2!$F$5:$F$27=AM$5)*([1]Hoja2!$K$5:$K$27=$C14))</f>
        <v>0</v>
      </c>
      <c r="AO14" s="52" t="n">
        <f aca="false">IFERROR(AN14/AM14,0)</f>
        <v>0</v>
      </c>
      <c r="AP14" s="41" t="n">
        <f aca="false" t="array" ref="AP14:AP14">SUM([1]Hoja2!$I$5:$I$27*([1]Hoja2!$F$5:$F$27=AP$5)*([1]Hoja2!$K$5:$K$27=$C14))</f>
        <v>297</v>
      </c>
      <c r="AQ14" s="41" t="n">
        <f aca="false" t="array" ref="AQ14:AQ14">SUM([1]Hoja2!$J$5:$J$27*([1]Hoja2!$F$5:$F$27=AP$5)*([1]Hoja2!$K$5:$K$27=$C14))</f>
        <v>1171800</v>
      </c>
      <c r="AR14" s="52" t="n">
        <f aca="false">IFERROR(AQ14/AP14,0)</f>
        <v>3945.45454545455</v>
      </c>
      <c r="AS14" s="43" t="n">
        <f aca="false">X14+AA14+AD14+AG14+AJ14+AM14+AP14</f>
        <v>405</v>
      </c>
      <c r="AT14" s="44" t="n">
        <f aca="false">Y14+AB14+AE14+AH14+AK14+AN14+AQ14</f>
        <v>1593000</v>
      </c>
      <c r="AU14" s="45" t="n">
        <f aca="false">IFERROR(AT14/AS14,0)</f>
        <v>3933.33333333333</v>
      </c>
      <c r="AV14" s="44" t="n">
        <f aca="false">-AS14*'Stock Libre'!H45*1000</f>
        <v>-1318225.48659955</v>
      </c>
      <c r="AW14" s="45" t="n">
        <f aca="false">-207.84*AS14</f>
        <v>-84175.2</v>
      </c>
      <c r="AX14" s="44" t="n">
        <f aca="false">$AX$18/$AS$18*$AS14</f>
        <v>-22780.5977093772</v>
      </c>
      <c r="AY14" s="45" t="n">
        <f aca="false">$AY$18/$AS$18*$AS14</f>
        <v>-44782.7952755906</v>
      </c>
      <c r="AZ14" s="44" t="n">
        <f aca="false">$AZ$18/$AS$18*$AS14</f>
        <v>-35798.970472441</v>
      </c>
      <c r="BA14" s="45" t="n">
        <f aca="false">(AT14-AS14*$AX$22)*0.03</f>
        <v>46402.741984401</v>
      </c>
      <c r="BB14" s="44" t="n">
        <f aca="false">AT14+SUM(AV14:AY14,BA14)</f>
        <v>169438.662399882</v>
      </c>
      <c r="BC14" s="46" t="n">
        <f aca="false">IFERROR(BB14/AT14,0)</f>
        <v>0.106364508725601</v>
      </c>
      <c r="BD14" s="47" t="n">
        <f aca="false">AT14+AV14+AW14+AX14+BA14-AZ14</f>
        <v>250020.428147913</v>
      </c>
      <c r="BE14" s="48" t="n">
        <f aca="false">IFERROR(BD14/AT14,0)</f>
        <v>0.15694942131068</v>
      </c>
      <c r="BG14" s="49" t="n">
        <f aca="false">AU14</f>
        <v>3933.33333333333</v>
      </c>
      <c r="BH14" s="50" t="n">
        <f aca="false">IFERROR(AV14/$AS14,0)</f>
        <v>-3254.87774469025</v>
      </c>
      <c r="BI14" s="50" t="n">
        <f aca="false">IFERROR(AW14/$AS14,0)</f>
        <v>-207.84</v>
      </c>
      <c r="BJ14" s="50" t="n">
        <f aca="false">IFERROR(AX14/$AS14,0)</f>
        <v>-56.2483894058697</v>
      </c>
      <c r="BK14" s="50" t="n">
        <f aca="false">IFERROR(AY14/$AS14,0)</f>
        <v>-110.574803149606</v>
      </c>
      <c r="BL14" s="50" t="n">
        <f aca="false">IFERROR(AZ14/$AS14,0)</f>
        <v>-88.3925196850394</v>
      </c>
      <c r="BM14" s="50" t="n">
        <f aca="false">IFERROR(BA14/$AS14,0)</f>
        <v>114.574671566422</v>
      </c>
      <c r="BN14" s="50" t="n">
        <f aca="false">IFERROR(BB14/$AS14,0)</f>
        <v>418.367067654028</v>
      </c>
      <c r="BO14" s="50" t="n">
        <f aca="false">IFERROR(BD14/$AS14,0)</f>
        <v>617.334390488675</v>
      </c>
      <c r="BP14" s="4" t="n">
        <f aca="false">BO14-BN14</f>
        <v>198.967322834646</v>
      </c>
    </row>
    <row r="15" customFormat="false" ht="14.25" hidden="false" customHeight="false" outlineLevel="0" collapsed="false">
      <c r="B15" s="31" t="n">
        <v>10009334</v>
      </c>
      <c r="C15" s="51" t="s">
        <v>43</v>
      </c>
      <c r="D15" s="33" t="n">
        <f aca="false">TD!F12</f>
        <v>0</v>
      </c>
      <c r="E15" s="34" t="n">
        <f aca="false">IFERROR(F15/D15,0)</f>
        <v>0</v>
      </c>
      <c r="F15" s="4" t="n">
        <f aca="false">TD!G12</f>
        <v>0</v>
      </c>
      <c r="G15" s="4" t="n">
        <f aca="false">TD!H12</f>
        <v>0</v>
      </c>
      <c r="H15" s="4" t="n">
        <f aca="false">TD!I12</f>
        <v>0</v>
      </c>
      <c r="I15" s="4" t="n">
        <f aca="false">TD!J12</f>
        <v>0</v>
      </c>
      <c r="J15" s="4" t="n">
        <f aca="false">TD!K12</f>
        <v>0</v>
      </c>
      <c r="K15" s="35" t="n">
        <v>0</v>
      </c>
      <c r="L15" s="36" t="n">
        <v>0</v>
      </c>
      <c r="M15" s="37" t="n">
        <f aca="false">F15+G15+H15+I15</f>
        <v>0</v>
      </c>
      <c r="N15" s="38" t="n">
        <f aca="false">IFERROR(M15/D15,0)</f>
        <v>0</v>
      </c>
      <c r="O15" s="38" t="n">
        <f aca="false">F15+G15+H15-J15</f>
        <v>0</v>
      </c>
      <c r="P15" s="38" t="n">
        <f aca="false">IFERROR(O15/D15,0)</f>
        <v>0</v>
      </c>
      <c r="Q15" s="39" t="n">
        <v>3900</v>
      </c>
      <c r="R15" s="39" t="n">
        <f aca="false">Q15*D15</f>
        <v>0</v>
      </c>
      <c r="S15" s="39" t="n">
        <f aca="false">R15-M15+(Q15-$AX$22)*D15*0.03</f>
        <v>0</v>
      </c>
      <c r="T15" s="40" t="n">
        <f aca="false">IFERROR(S15/R15,0)</f>
        <v>0</v>
      </c>
      <c r="U15" s="39" t="n">
        <f aca="false">R15-(M15-J15-I15)+(Q15-$AX$22)*D15*0.03</f>
        <v>0</v>
      </c>
      <c r="V15" s="40" t="n">
        <f aca="false">IFERROR(U15/R15,0)</f>
        <v>0</v>
      </c>
      <c r="X15" s="41" t="n">
        <f aca="false" t="array" ref="X15:X15">SUM([1]Hoja2!$I$5:$I$27*([1]Hoja2!$F$5:$F$27=X$5)*([1]Hoja2!$K$5:$K$27=$C15))</f>
        <v>0</v>
      </c>
      <c r="Y15" s="41" t="n">
        <f aca="false" t="array" ref="Y15:Y15">SUM([1]Hoja2!$J$5:$J$27*([1]Hoja2!$F$5:$F$27=X$5)*([1]Hoja2!$K$5:$K$27=$C15))</f>
        <v>0</v>
      </c>
      <c r="Z15" s="52" t="n">
        <f aca="false">IFERROR(Y15/X15,0)</f>
        <v>0</v>
      </c>
      <c r="AA15" s="41" t="n">
        <f aca="false" t="array" ref="AA15:AA15">SUM([1]Hoja2!$I$5:$I$27*([1]Hoja2!$F$5:$F$27=AA$5)*([1]Hoja2!$K$5:$K$27=$C15))</f>
        <v>27</v>
      </c>
      <c r="AB15" s="41" t="n">
        <f aca="false" t="array" ref="AB15:AB15">SUM([1]Hoja2!$J$5:$J$27*([1]Hoja2!$F$5:$F$27=AA$5)*([1]Hoja2!$K$5:$K$27=$C15))</f>
        <v>116100</v>
      </c>
      <c r="AC15" s="52" t="n">
        <f aca="false">IFERROR(AB15/AA15,0)</f>
        <v>4300</v>
      </c>
      <c r="AD15" s="41" t="n">
        <f aca="false" t="array" ref="AD15:AD15">SUM([1]Hoja2!$I$5:$I$27*([1]Hoja2!$F$5:$F$27=AD$5)*([1]Hoja2!$K$5:$K$27=$C15))</f>
        <v>0</v>
      </c>
      <c r="AE15" s="41" t="n">
        <f aca="false" t="array" ref="AE15:AE15">SUM([1]Hoja2!$J$5:$J$27*([1]Hoja2!$F$5:$F$27=AD$5)*([1]Hoja2!$K$5:$K$27=$C15))</f>
        <v>0</v>
      </c>
      <c r="AF15" s="52" t="n">
        <f aca="false">IFERROR(AE15/AD15,0)</f>
        <v>0</v>
      </c>
      <c r="AG15" s="41" t="n">
        <f aca="false" t="array" ref="AG15:AG15">SUM([1]Hoja2!$I$5:$I$27*([1]Hoja2!$F$5:$F$27=AG$5)*([1]Hoja2!$K$5:$K$27=$C15))</f>
        <v>0</v>
      </c>
      <c r="AH15" s="41" t="n">
        <f aca="false" t="array" ref="AH15:AH15">SUM([1]Hoja2!$J$5:$J$27*([1]Hoja2!$F$5:$F$27=AG$5)*([1]Hoja2!$K$5:$K$27=$C15))</f>
        <v>0</v>
      </c>
      <c r="AI15" s="52" t="n">
        <f aca="false">IFERROR(AH15/AG15,0)</f>
        <v>0</v>
      </c>
      <c r="AJ15" s="41" t="n">
        <f aca="false" t="array" ref="AJ15:AJ15">SUM([1]Hoja2!$I$5:$I$27*([1]Hoja2!$F$5:$F$27=AJ$5)*([1]Hoja2!$K$5:$K$27=$C15))</f>
        <v>54</v>
      </c>
      <c r="AK15" s="41" t="n">
        <f aca="false" t="array" ref="AK15:AK15">SUM([1]Hoja2!$J$5:$J$27*([1]Hoja2!$F$5:$F$27=AJ$5)*([1]Hoja2!$K$5:$K$27=$C15))</f>
        <v>232200</v>
      </c>
      <c r="AL15" s="52" t="n">
        <f aca="false">IFERROR(AK15/AJ15,0)</f>
        <v>4300</v>
      </c>
      <c r="AM15" s="41" t="n">
        <f aca="false" t="array" ref="AM15:AM15">SUM([1]Hoja2!$I$5:$I$27*([1]Hoja2!$F$5:$F$27=AM$5)*([1]Hoja2!$K$5:$K$27=$C15))</f>
        <v>0</v>
      </c>
      <c r="AN15" s="41" t="n">
        <f aca="false" t="array" ref="AN15:AN15">SUM([1]Hoja2!$J$5:$J$27*([1]Hoja2!$F$5:$F$27=AM$5)*([1]Hoja2!$K$5:$K$27=$C15))</f>
        <v>0</v>
      </c>
      <c r="AO15" s="52" t="n">
        <f aca="false">IFERROR(AN15/AM15,0)</f>
        <v>0</v>
      </c>
      <c r="AP15" s="41" t="n">
        <f aca="false" t="array" ref="AP15:AP15">SUM([1]Hoja2!$I$5:$I$27*([1]Hoja2!$F$5:$F$27=AP$5)*([1]Hoja2!$K$5:$K$27=$C15))</f>
        <v>81</v>
      </c>
      <c r="AQ15" s="41" t="n">
        <f aca="false" t="array" ref="AQ15:AQ15">SUM([1]Hoja2!$J$5:$J$27*([1]Hoja2!$F$5:$F$27=AP$5)*([1]Hoja2!$K$5:$K$27=$C15))</f>
        <v>329400</v>
      </c>
      <c r="AR15" s="52" t="n">
        <f aca="false">IFERROR(AQ15/AP15,0)</f>
        <v>4066.66666666667</v>
      </c>
      <c r="AS15" s="43" t="n">
        <f aca="false">X15+AA15+AD15+AG15+AJ15+AM15+AP15</f>
        <v>162</v>
      </c>
      <c r="AT15" s="44" t="n">
        <f aca="false">Y15+AB15+AE15+AH15+AK15+AN15+AQ15</f>
        <v>677700</v>
      </c>
      <c r="AU15" s="45" t="n">
        <f aca="false">IFERROR(AT15/AS15,0)</f>
        <v>4183.33333333333</v>
      </c>
      <c r="AV15" s="44" t="n">
        <f aca="false">-AS15*'Stock Libre'!H47*1000</f>
        <v>-457557.418860955</v>
      </c>
      <c r="AW15" s="45" t="n">
        <f aca="false">-207.84*AS15</f>
        <v>-33670.08</v>
      </c>
      <c r="AX15" s="44" t="n">
        <f aca="false">$AX$18/$AS$18*$AS15</f>
        <v>-9112.2390837509</v>
      </c>
      <c r="AY15" s="45" t="n">
        <f aca="false">$AY$18/$AS$18*$AS15</f>
        <v>-17913.1181102362</v>
      </c>
      <c r="AZ15" s="44" t="n">
        <f aca="false">$AZ$18/$AS$18*$AS15</f>
        <v>-14319.5881889764</v>
      </c>
      <c r="BA15" s="45" t="n">
        <f aca="false">(AT15-AS15*$AX$22)*0.03</f>
        <v>19776.0967937604</v>
      </c>
      <c r="BB15" s="44" t="n">
        <f aca="false">AT15+SUM(AV15:AY15,BA15)</f>
        <v>179223.240738818</v>
      </c>
      <c r="BC15" s="46" t="n">
        <f aca="false">IFERROR(BB15/AT15,0)</f>
        <v>0.264458079886112</v>
      </c>
      <c r="BD15" s="47" t="n">
        <f aca="false">AT15+AV15+AW15+AX15+BA15-AZ15</f>
        <v>211455.947038031</v>
      </c>
      <c r="BE15" s="48" t="n">
        <f aca="false">IFERROR(BD15/AT15,0)</f>
        <v>0.312019989727063</v>
      </c>
      <c r="BG15" s="49" t="n">
        <f aca="false">AU15</f>
        <v>4183.33333333333</v>
      </c>
      <c r="BH15" s="50" t="n">
        <f aca="false">IFERROR(AV15/$AS15,0)</f>
        <v>-2824.42851148738</v>
      </c>
      <c r="BI15" s="50" t="n">
        <f aca="false">IFERROR(AW15/$AS15,0)</f>
        <v>-207.84</v>
      </c>
      <c r="BJ15" s="50" t="n">
        <f aca="false">IFERROR(AX15/$AS15,0)</f>
        <v>-56.2483894058697</v>
      </c>
      <c r="BK15" s="50" t="n">
        <f aca="false">IFERROR(AY15/$AS15,0)</f>
        <v>-110.574803149606</v>
      </c>
      <c r="BL15" s="50" t="n">
        <f aca="false">IFERROR(AZ15/$AS15,0)</f>
        <v>-88.3925196850394</v>
      </c>
      <c r="BM15" s="50" t="n">
        <f aca="false">IFERROR(BA15/$AS15,0)</f>
        <v>122.074671566422</v>
      </c>
      <c r="BN15" s="50" t="n">
        <f aca="false">IFERROR(BB15/$AS15,0)</f>
        <v>1106.3163008569</v>
      </c>
      <c r="BO15" s="50" t="n">
        <f aca="false">IFERROR(BD15/$AS15,0)</f>
        <v>1305.28362369155</v>
      </c>
      <c r="BP15" s="4" t="n">
        <f aca="false">BO15-BN15</f>
        <v>198.967322834646</v>
      </c>
    </row>
    <row r="16" customFormat="false" ht="14.25" hidden="false" customHeight="false" outlineLevel="0" collapsed="false">
      <c r="B16" s="31" t="n">
        <v>10009386</v>
      </c>
      <c r="C16" s="51" t="s">
        <v>44</v>
      </c>
      <c r="D16" s="33" t="n">
        <f aca="false">TD!F13</f>
        <v>16.4</v>
      </c>
      <c r="E16" s="34" t="n">
        <f aca="false">IFERROR(F16/D16,0)</f>
        <v>1742.17092686101</v>
      </c>
      <c r="F16" s="4" t="n">
        <f aca="false">TD!G13</f>
        <v>28571.6032005206</v>
      </c>
      <c r="G16" s="4" t="n">
        <f aca="false">TD!H13</f>
        <v>3408.576</v>
      </c>
      <c r="H16" s="4" t="n">
        <f aca="false">TD!I13</f>
        <v>1034.47784257613</v>
      </c>
      <c r="I16" s="4" t="n">
        <f aca="false">TD!J13</f>
        <v>2033.60816218407</v>
      </c>
      <c r="J16" s="4" t="n">
        <f aca="false">TD!K13</f>
        <v>1625.6483790824</v>
      </c>
      <c r="K16" s="35" t="n">
        <v>0</v>
      </c>
      <c r="L16" s="36" t="n">
        <v>0</v>
      </c>
      <c r="M16" s="37" t="n">
        <f aca="false">F16+G16+H16+I16</f>
        <v>35048.2652052808</v>
      </c>
      <c r="N16" s="38" t="n">
        <f aca="false">IFERROR(M16/D16,0)</f>
        <v>2137.08934178542</v>
      </c>
      <c r="O16" s="38" t="n">
        <f aca="false">F16+G16+H16-J16</f>
        <v>31389.0086640144</v>
      </c>
      <c r="P16" s="38" t="n">
        <f aca="false">IFERROR(O16/D16,0)</f>
        <v>1913.96394292771</v>
      </c>
      <c r="Q16" s="39"/>
      <c r="R16" s="39" t="n">
        <f aca="false">Q16*D16</f>
        <v>0</v>
      </c>
      <c r="S16" s="39" t="n">
        <f aca="false">R16-M16+(Q16-$AX$22)*D16*0.03</f>
        <v>-35104.4405915915</v>
      </c>
      <c r="T16" s="40" t="n">
        <f aca="false">IFERROR(S16/R16,0)</f>
        <v>0</v>
      </c>
      <c r="U16" s="39" t="n">
        <f aca="false">R16-(M16-J16-I16)+(Q16-$AX$22)*D16*0.03</f>
        <v>-31445.184050325</v>
      </c>
      <c r="V16" s="40" t="n">
        <f aca="false">IFERROR(U16/R16,0)</f>
        <v>0</v>
      </c>
      <c r="X16" s="41" t="n">
        <f aca="false" t="array" ref="X16:X16">SUM([1]Hoja2!$I$5:$I$27*([1]Hoja2!$F$5:$F$27=X$5)*([1]Hoja2!$K$5:$K$27=$C16))</f>
        <v>0</v>
      </c>
      <c r="Y16" s="41" t="n">
        <f aca="false" t="array" ref="Y16:Y16">SUM([1]Hoja2!$J$5:$J$27*([1]Hoja2!$F$5:$F$27=X$5)*([1]Hoja2!$K$5:$K$27=$C16))</f>
        <v>0</v>
      </c>
      <c r="Z16" s="52" t="n">
        <f aca="false">IFERROR(Y16/X16,0)</f>
        <v>0</v>
      </c>
      <c r="AA16" s="41" t="n">
        <f aca="false" t="array" ref="AA16:AA16">SUM([1]Hoja2!$I$5:$I$27*([1]Hoja2!$F$5:$F$27=AA$5)*([1]Hoja2!$K$5:$K$27=$C16))</f>
        <v>0</v>
      </c>
      <c r="AB16" s="41" t="n">
        <f aca="false" t="array" ref="AB16:AB16">SUM([1]Hoja2!$J$5:$J$27*([1]Hoja2!$F$5:$F$27=AA$5)*([1]Hoja2!$K$5:$K$27=$C16))</f>
        <v>0</v>
      </c>
      <c r="AC16" s="52" t="n">
        <f aca="false">IFERROR(AB16/AA16,0)</f>
        <v>0</v>
      </c>
      <c r="AD16" s="41" t="n">
        <f aca="false" t="array" ref="AD16:AD16">SUM([1]Hoja2!$I$5:$I$27*([1]Hoja2!$F$5:$F$27=AD$5)*([1]Hoja2!$K$5:$K$27=$C16))</f>
        <v>0</v>
      </c>
      <c r="AE16" s="41" t="n">
        <f aca="false" t="array" ref="AE16:AE16">SUM([1]Hoja2!$J$5:$J$27*([1]Hoja2!$F$5:$F$27=AD$5)*([1]Hoja2!$K$5:$K$27=$C16))</f>
        <v>0</v>
      </c>
      <c r="AF16" s="52" t="n">
        <f aca="false">IFERROR(AE16/AD16,0)</f>
        <v>0</v>
      </c>
      <c r="AG16" s="41" t="n">
        <f aca="false" t="array" ref="AG16:AG16">SUM([1]Hoja2!$I$5:$I$27*([1]Hoja2!$F$5:$F$27=AG$5)*([1]Hoja2!$K$5:$K$27=$C16))</f>
        <v>0</v>
      </c>
      <c r="AH16" s="41" t="n">
        <f aca="false" t="array" ref="AH16:AH16">SUM([1]Hoja2!$J$5:$J$27*([1]Hoja2!$F$5:$F$27=AG$5)*([1]Hoja2!$K$5:$K$27=$C16))</f>
        <v>0</v>
      </c>
      <c r="AI16" s="52" t="n">
        <f aca="false">IFERROR(AH16/AG16,0)</f>
        <v>0</v>
      </c>
      <c r="AJ16" s="41" t="n">
        <f aca="false" t="array" ref="AJ16:AJ16">SUM([1]Hoja2!$I$5:$I$27*([1]Hoja2!$F$5:$F$27=AJ$5)*([1]Hoja2!$K$5:$K$27=$C16))</f>
        <v>0</v>
      </c>
      <c r="AK16" s="41" t="n">
        <f aca="false" t="array" ref="AK16:AK16">SUM([1]Hoja2!$J$5:$J$27*([1]Hoja2!$F$5:$F$27=AJ$5)*([1]Hoja2!$K$5:$K$27=$C16))</f>
        <v>0</v>
      </c>
      <c r="AL16" s="52" t="n">
        <f aca="false">IFERROR(AK16/AJ16,0)</f>
        <v>0</v>
      </c>
      <c r="AM16" s="41" t="n">
        <f aca="false" t="array" ref="AM16:AM16">SUM([1]Hoja2!$I$5:$I$27*([1]Hoja2!$F$5:$F$27=AM$5)*([1]Hoja2!$K$5:$K$27=$C16))</f>
        <v>0</v>
      </c>
      <c r="AN16" s="41" t="n">
        <f aca="false" t="array" ref="AN16:AN16">SUM([1]Hoja2!$J$5:$J$27*([1]Hoja2!$F$5:$F$27=AM$5)*([1]Hoja2!$K$5:$K$27=$C16))</f>
        <v>0</v>
      </c>
      <c r="AO16" s="52" t="n">
        <f aca="false">IFERROR(AN16/AM16,0)</f>
        <v>0</v>
      </c>
      <c r="AP16" s="41" t="n">
        <f aca="false" t="array" ref="AP16:AP16">SUM([1]Hoja2!$I$5:$I$27*([1]Hoja2!$F$5:$F$27=AP$5)*([1]Hoja2!$K$5:$K$27=$C16))</f>
        <v>0</v>
      </c>
      <c r="AQ16" s="41" t="n">
        <f aca="false" t="array" ref="AQ16:AQ16">SUM([1]Hoja2!$J$5:$J$27*([1]Hoja2!$F$5:$F$27=AP$5)*([1]Hoja2!$K$5:$K$27=$C16))</f>
        <v>0</v>
      </c>
      <c r="AR16" s="52" t="n">
        <f aca="false">IFERROR(AQ16/AP16,0)</f>
        <v>0</v>
      </c>
      <c r="AS16" s="43" t="n">
        <f aca="false">X16+AA16+AD16+AG16+AJ16+AM16+AP16</f>
        <v>0</v>
      </c>
      <c r="AT16" s="44" t="n">
        <f aca="false">Y16+AB16+AE16+AH16+AK16+AN16+AQ16</f>
        <v>0</v>
      </c>
      <c r="AU16" s="45" t="n">
        <f aca="false">IFERROR(AT16/AS16,0)</f>
        <v>0</v>
      </c>
      <c r="AV16" s="44" t="n">
        <f aca="false">-IFERROR(F16/D16*AS16,0)</f>
        <v>0</v>
      </c>
      <c r="AW16" s="45" t="n">
        <f aca="false">-207.84*AS16</f>
        <v>-0</v>
      </c>
      <c r="AX16" s="44" t="n">
        <f aca="false">$AX$18/$AS$18*$AS16</f>
        <v>0</v>
      </c>
      <c r="AY16" s="45" t="n">
        <f aca="false">$AY$18/$AS$18*$AS16</f>
        <v>0</v>
      </c>
      <c r="AZ16" s="44" t="n">
        <f aca="false">$AZ$18/$AS$18*$AS16</f>
        <v>0</v>
      </c>
      <c r="BA16" s="45" t="n">
        <f aca="false">(AT16-AS16*$AX$22)*0.03</f>
        <v>0</v>
      </c>
      <c r="BB16" s="44" t="n">
        <f aca="false">AT16+SUM(AV16:AY16,BA16)</f>
        <v>0</v>
      </c>
      <c r="BC16" s="46" t="n">
        <f aca="false">IFERROR(BB16/AT16,0)</f>
        <v>0</v>
      </c>
      <c r="BD16" s="47" t="n">
        <f aca="false">AT16+AV16+AW16+AX16+BA16-AZ16</f>
        <v>0</v>
      </c>
      <c r="BE16" s="48" t="n">
        <f aca="false">IFERROR(BD16/AT16,0)</f>
        <v>0</v>
      </c>
      <c r="BG16" s="49" t="n">
        <f aca="false">AU16</f>
        <v>0</v>
      </c>
      <c r="BH16" s="50" t="n">
        <f aca="false">IFERROR(AV16/$AS16,0)</f>
        <v>0</v>
      </c>
      <c r="BI16" s="50" t="n">
        <f aca="false">IFERROR(AW16/$AS16,0)</f>
        <v>0</v>
      </c>
      <c r="BJ16" s="50" t="n">
        <f aca="false">IFERROR(AX16/$AS16,0)</f>
        <v>0</v>
      </c>
      <c r="BK16" s="50" t="n">
        <f aca="false">IFERROR(AY16/$AS16,0)</f>
        <v>0</v>
      </c>
      <c r="BL16" s="50" t="n">
        <f aca="false">IFERROR(AZ16/$AS16,0)</f>
        <v>0</v>
      </c>
      <c r="BM16" s="50" t="n">
        <f aca="false">IFERROR(BA16/$AS16,0)</f>
        <v>0</v>
      </c>
      <c r="BN16" s="50" t="n">
        <f aca="false">IFERROR(BB16/$AS16,0)</f>
        <v>0</v>
      </c>
      <c r="BO16" s="50" t="n">
        <f aca="false">IFERROR(BD16/$AS16,0)</f>
        <v>0</v>
      </c>
      <c r="BP16" s="4" t="n">
        <f aca="false">BO16-BN16</f>
        <v>0</v>
      </c>
    </row>
    <row r="17" customFormat="false" ht="14.25" hidden="false" customHeight="false" outlineLevel="0" collapsed="false">
      <c r="B17" s="31" t="n">
        <v>10009386</v>
      </c>
      <c r="C17" s="51" t="s">
        <v>45</v>
      </c>
      <c r="D17" s="33" t="n">
        <f aca="false">TD!F14</f>
        <v>8.78</v>
      </c>
      <c r="E17" s="34" t="n">
        <f aca="false">IFERROR(F17/D17,0)</f>
        <v>1416.87049869903</v>
      </c>
      <c r="F17" s="4" t="n">
        <f aca="false">TD!G14</f>
        <v>12440.1229785775</v>
      </c>
      <c r="G17" s="4" t="n">
        <f aca="false">TD!H14</f>
        <v>1824.8352</v>
      </c>
      <c r="H17" s="4" t="n">
        <f aca="false">TD!I14</f>
        <v>553.824113281611</v>
      </c>
      <c r="I17" s="4" t="n">
        <f aca="false">TD!J14</f>
        <v>1088.72436975464</v>
      </c>
      <c r="J17" s="4" t="n">
        <f aca="false">TD!K14</f>
        <v>870.316632216063</v>
      </c>
      <c r="K17" s="35" t="n">
        <v>0</v>
      </c>
      <c r="L17" s="36" t="n">
        <v>0</v>
      </c>
      <c r="M17" s="37" t="n">
        <f aca="false">F17+G17+H17+I17</f>
        <v>15907.5066616138</v>
      </c>
      <c r="N17" s="38" t="n">
        <f aca="false">IFERROR(M17/D17,0)</f>
        <v>1811.78891362344</v>
      </c>
      <c r="O17" s="38" t="n">
        <f aca="false">F17+G17+H17-J17</f>
        <v>13948.4656596431</v>
      </c>
      <c r="P17" s="38" t="n">
        <f aca="false">IFERROR(O17/D17,0)</f>
        <v>1588.66351476572</v>
      </c>
      <c r="Q17" s="39"/>
      <c r="R17" s="39" t="n">
        <f aca="false">Q17*D17</f>
        <v>0</v>
      </c>
      <c r="S17" s="39" t="n">
        <f aca="false">R17-M17+(Q17-$AX$22)*D17*0.03</f>
        <v>-15937.5810452606</v>
      </c>
      <c r="T17" s="40" t="n">
        <f aca="false">IFERROR(S17/R17,0)</f>
        <v>0</v>
      </c>
      <c r="U17" s="39" t="n">
        <f aca="false">R17-(M17-J17-I17)+(Q17-$AX$22)*D17*0.03</f>
        <v>-13978.5400432899</v>
      </c>
      <c r="V17" s="40" t="n">
        <f aca="false">IFERROR(U17/R17,0)</f>
        <v>0</v>
      </c>
      <c r="X17" s="41" t="n">
        <f aca="false" t="array" ref="X17:X17">SUM([1]Hoja2!$I$5:$I$27*([1]Hoja2!$F$5:$F$27=X$5)*([1]Hoja2!$K$5:$K$27=$C17))</f>
        <v>26</v>
      </c>
      <c r="Y17" s="41" t="n">
        <f aca="false" t="array" ref="Y17:Y17">SUM([1]Hoja2!$J$5:$J$27*([1]Hoja2!$F$5:$F$27=X$5)*([1]Hoja2!$K$5:$K$27=$C17))</f>
        <v>36400</v>
      </c>
      <c r="Z17" s="52" t="n">
        <f aca="false">IFERROR(Y17/X17,0)</f>
        <v>1400</v>
      </c>
      <c r="AA17" s="41" t="n">
        <f aca="false" t="array" ref="AA17:AA17">SUM([1]Hoja2!$I$5:$I$27*([1]Hoja2!$F$5:$F$27=AA$5)*([1]Hoja2!$K$5:$K$27=$C17))</f>
        <v>0</v>
      </c>
      <c r="AB17" s="41" t="n">
        <f aca="false" t="array" ref="AB17:AB17">SUM([1]Hoja2!$J$5:$J$27*([1]Hoja2!$F$5:$F$27=AA$5)*([1]Hoja2!$K$5:$K$27=$C17))</f>
        <v>0</v>
      </c>
      <c r="AC17" s="52" t="n">
        <f aca="false">IFERROR(AB17/AA17,0)</f>
        <v>0</v>
      </c>
      <c r="AD17" s="41" t="n">
        <f aca="false" t="array" ref="AD17:AD17">SUM([1]Hoja2!$I$5:$I$27*([1]Hoja2!$F$5:$F$27=AD$5)*([1]Hoja2!$K$5:$K$27=$C17))</f>
        <v>0</v>
      </c>
      <c r="AE17" s="41" t="n">
        <f aca="false" t="array" ref="AE17:AE17">SUM([1]Hoja2!$J$5:$J$27*([1]Hoja2!$F$5:$F$27=AD$5)*([1]Hoja2!$K$5:$K$27=$C17))</f>
        <v>0</v>
      </c>
      <c r="AF17" s="52" t="n">
        <f aca="false">IFERROR(AE17/AD17,0)</f>
        <v>0</v>
      </c>
      <c r="AG17" s="41" t="n">
        <f aca="false" t="array" ref="AG17:AG17">SUM([1]Hoja2!$I$5:$I$27*([1]Hoja2!$F$5:$F$27=AG$5)*([1]Hoja2!$K$5:$K$27=$C17))</f>
        <v>0</v>
      </c>
      <c r="AH17" s="41" t="n">
        <f aca="false" t="array" ref="AH17:AH17">SUM([1]Hoja2!$J$5:$J$27*([1]Hoja2!$F$5:$F$27=AG$5)*([1]Hoja2!$K$5:$K$27=$C17))</f>
        <v>0</v>
      </c>
      <c r="AI17" s="52" t="n">
        <f aca="false">IFERROR(AH17/AG17,0)</f>
        <v>0</v>
      </c>
      <c r="AJ17" s="41" t="n">
        <f aca="false" t="array" ref="AJ17:AJ17">SUM([1]Hoja2!$I$5:$I$27*([1]Hoja2!$F$5:$F$27=AJ$5)*([1]Hoja2!$K$5:$K$27=$C17))</f>
        <v>0</v>
      </c>
      <c r="AK17" s="41" t="n">
        <f aca="false" t="array" ref="AK17:AK17">SUM([1]Hoja2!$J$5:$J$27*([1]Hoja2!$F$5:$F$27=AJ$5)*([1]Hoja2!$K$5:$K$27=$C17))</f>
        <v>0</v>
      </c>
      <c r="AL17" s="52" t="n">
        <f aca="false">IFERROR(AK17/AJ17,0)</f>
        <v>0</v>
      </c>
      <c r="AM17" s="41" t="n">
        <f aca="false" t="array" ref="AM17:AM17">SUM([1]Hoja2!$I$5:$I$27*([1]Hoja2!$F$5:$F$27=AM$5)*([1]Hoja2!$K$5:$K$27=$C17))</f>
        <v>0</v>
      </c>
      <c r="AN17" s="41" t="n">
        <f aca="false" t="array" ref="AN17:AN17">SUM([1]Hoja2!$J$5:$J$27*([1]Hoja2!$F$5:$F$27=AM$5)*([1]Hoja2!$K$5:$K$27=$C17))</f>
        <v>0</v>
      </c>
      <c r="AO17" s="52" t="n">
        <f aca="false">IFERROR(AN17/AM17,0)</f>
        <v>0</v>
      </c>
      <c r="AP17" s="41" t="n">
        <f aca="false" t="array" ref="AP17:AP17">SUM([1]Hoja2!$I$5:$I$27*([1]Hoja2!$F$5:$F$27=AP$5)*([1]Hoja2!$K$5:$K$27=$C17))</f>
        <v>27</v>
      </c>
      <c r="AQ17" s="41" t="n">
        <f aca="false" t="array" ref="AQ17:AQ17">SUM([1]Hoja2!$J$5:$J$27*([1]Hoja2!$F$5:$F$27=AP$5)*([1]Hoja2!$K$5:$K$27=$C17))</f>
        <v>67500</v>
      </c>
      <c r="AR17" s="52" t="n">
        <f aca="false">IFERROR(AQ17/AP17,0)</f>
        <v>2500</v>
      </c>
      <c r="AS17" s="43" t="n">
        <f aca="false">X17+AA17+AD17+AG17+AJ17+AM17+AP17</f>
        <v>53</v>
      </c>
      <c r="AT17" s="44" t="n">
        <f aca="false">Y17+AB17+AE17+AH17+AK17+AN17+AQ17</f>
        <v>103900</v>
      </c>
      <c r="AU17" s="45" t="n">
        <f aca="false">IFERROR(AT17/AS17,0)</f>
        <v>1960.37735849057</v>
      </c>
      <c r="AV17" s="44" t="n">
        <f aca="false">-IFERROR(F17/D17*AS17,0)</f>
        <v>-75094.1364310488</v>
      </c>
      <c r="AW17" s="45" t="n">
        <f aca="false">-207.84*AS17</f>
        <v>-11015.52</v>
      </c>
      <c r="AX17" s="44" t="n">
        <f aca="false">$AX$18/$AS$18*$AS17</f>
        <v>-2981.1646385111</v>
      </c>
      <c r="AY17" s="45" t="n">
        <f aca="false">$AY$18/$AS$18*$AS17</f>
        <v>-5860.46456692914</v>
      </c>
      <c r="AZ17" s="44" t="n">
        <f aca="false">$AZ$18/$AS$18*$AS17</f>
        <v>-4684.80354330709</v>
      </c>
      <c r="BA17" s="45" t="n">
        <f aca="false">(AT17-AS17*$AX$22)*0.03</f>
        <v>2935.45759302038</v>
      </c>
      <c r="BB17" s="44" t="n">
        <f aca="false">AT17+SUM(AV17:AY17,BA17)</f>
        <v>11884.1719565314</v>
      </c>
      <c r="BC17" s="46" t="n">
        <f aca="false">IFERROR(BB17/AT17,0)</f>
        <v>0.114380865799147</v>
      </c>
      <c r="BD17" s="47" t="n">
        <f aca="false">AT17+AV17+AW17+AX17+BA17-AZ17</f>
        <v>22429.4400667676</v>
      </c>
      <c r="BE17" s="48" t="n">
        <f aca="false">IFERROR(BD17/AT17,0)</f>
        <v>0.215875265320189</v>
      </c>
      <c r="BG17" s="49" t="n">
        <f aca="false">AU17</f>
        <v>1960.37735849057</v>
      </c>
      <c r="BH17" s="50" t="n">
        <f aca="false">IFERROR(AV17/$AS17,0)</f>
        <v>-1416.87049869903</v>
      </c>
      <c r="BI17" s="50" t="n">
        <f aca="false">IFERROR(AW17/$AS17,0)</f>
        <v>-207.84</v>
      </c>
      <c r="BJ17" s="50" t="n">
        <f aca="false">IFERROR(AX17/$AS17,0)</f>
        <v>-56.2483894058697</v>
      </c>
      <c r="BK17" s="50" t="n">
        <f aca="false">IFERROR(AY17/$AS17,0)</f>
        <v>-110.574803149606</v>
      </c>
      <c r="BL17" s="50" t="n">
        <f aca="false">IFERROR(AZ17/$AS17,0)</f>
        <v>-88.3925196850394</v>
      </c>
      <c r="BM17" s="50" t="n">
        <f aca="false">IFERROR(BA17/$AS17,0)</f>
        <v>55.3859923211392</v>
      </c>
      <c r="BN17" s="50" t="n">
        <f aca="false">IFERROR(BB17/$AS17,0)</f>
        <v>224.229659557195</v>
      </c>
      <c r="BO17" s="50" t="n">
        <f aca="false">IFERROR(BD17/$AS17,0)</f>
        <v>423.196982391841</v>
      </c>
      <c r="BP17" s="4" t="n">
        <f aca="false">BO17-BN17</f>
        <v>198.967322834646</v>
      </c>
    </row>
    <row r="18" customFormat="false" ht="14.25" hidden="false" customHeight="false" outlineLevel="0" collapsed="false">
      <c r="C18" s="55" t="s">
        <v>46</v>
      </c>
      <c r="D18" s="56" t="n">
        <f aca="false">SUM(D7:D17)</f>
        <v>1245.745</v>
      </c>
      <c r="E18" s="57" t="n">
        <f aca="false">IFERROR(F18/D18,0)</f>
        <v>1798.89884708965</v>
      </c>
      <c r="F18" s="58" t="n">
        <f aca="false">SUM(F7:F17)</f>
        <v>2240969.2442677</v>
      </c>
      <c r="G18" s="58" t="n">
        <f aca="false">SUM(G7:G17)</f>
        <v>258915.6408</v>
      </c>
      <c r="H18" s="58" t="n">
        <f aca="false">SUM(H7:H17)</f>
        <v>78579</v>
      </c>
      <c r="I18" s="58" t="n">
        <f aca="false">SUM(I7:I17)</f>
        <v>154473</v>
      </c>
      <c r="J18" s="58" t="n">
        <f aca="false">SUM(J7:J17)</f>
        <v>123484.35</v>
      </c>
      <c r="K18" s="58" t="n">
        <f aca="false">SUM(K7:K17)</f>
        <v>0</v>
      </c>
      <c r="L18" s="59" t="n">
        <v>0</v>
      </c>
      <c r="M18" s="60" t="n">
        <f aca="false">SUM(M7:M17)</f>
        <v>2732936.8850677</v>
      </c>
      <c r="N18" s="60" t="n">
        <f aca="false">IFERROR(M18/D18,0)</f>
        <v>2193.81726201405</v>
      </c>
      <c r="O18" s="60" t="n">
        <f aca="false">SUM(O7:O17)</f>
        <v>2454979.5350677</v>
      </c>
      <c r="P18" s="60" t="n">
        <f aca="false">IFERROR(O18/D18,0)</f>
        <v>1970.69186315634</v>
      </c>
      <c r="Q18" s="61" t="n">
        <f aca="false">R18/D18</f>
        <v>1968.98362024331</v>
      </c>
      <c r="R18" s="62" t="n">
        <f aca="false">SUM(R7:R17)</f>
        <v>2452851.5</v>
      </c>
      <c r="S18" s="61" t="n">
        <f aca="false">SUM(S7:S17)</f>
        <v>-210766.925837184</v>
      </c>
      <c r="T18" s="63" t="n">
        <f aca="false">S18/R18</f>
        <v>-0.0859273078036662</v>
      </c>
      <c r="U18" s="61" t="n">
        <f aca="false">SUM(U7:U17)</f>
        <v>67190.4241628156</v>
      </c>
      <c r="V18" s="63" t="n">
        <f aca="false">IFERROR(U18/R18,0)</f>
        <v>0.0273927810806384</v>
      </c>
      <c r="X18" s="64" t="n">
        <f aca="false">SUM(X7:X17)</f>
        <v>26</v>
      </c>
      <c r="Y18" s="64" t="n">
        <f aca="false">SUM(Y7:Y17)</f>
        <v>36400</v>
      </c>
      <c r="Z18" s="65" t="n">
        <f aca="false">IFERROR(Y18/X18,0)</f>
        <v>1400</v>
      </c>
      <c r="AA18" s="64" t="n">
        <f aca="false">SUM(AA7:AA17)</f>
        <v>53</v>
      </c>
      <c r="AB18" s="64" t="n">
        <f aca="false">SUM(AB7:AB17)</f>
        <v>149900</v>
      </c>
      <c r="AC18" s="65" t="n">
        <f aca="false">IFERROR(AB18/AA18,0)</f>
        <v>2828.30188679245</v>
      </c>
      <c r="AD18" s="64" t="n">
        <f aca="false">SUM(AD7:AD17)</f>
        <v>207</v>
      </c>
      <c r="AE18" s="64" t="n">
        <f aca="false">SUM(AE7:AE17)</f>
        <v>654750</v>
      </c>
      <c r="AF18" s="65" t="n">
        <f aca="false">IFERROR(AE18/AD18,0)</f>
        <v>3163.04347826087</v>
      </c>
      <c r="AG18" s="64" t="n">
        <f aca="false">SUM(AG7:AG17)</f>
        <v>26</v>
      </c>
      <c r="AH18" s="64" t="n">
        <f aca="false">SUM(AH7:AH17)</f>
        <v>67600</v>
      </c>
      <c r="AI18" s="65" t="n">
        <f aca="false">IFERROR(AH18/AG18,0)</f>
        <v>2600</v>
      </c>
      <c r="AJ18" s="64" t="n">
        <f aca="false">SUM(AJ7:AJ17)</f>
        <v>186</v>
      </c>
      <c r="AK18" s="64" t="n">
        <f aca="false">SUM(AK7:AK17)</f>
        <v>502590</v>
      </c>
      <c r="AL18" s="65" t="n">
        <f aca="false">IFERROR(AK18/AJ18,0)</f>
        <v>2702.09677419355</v>
      </c>
      <c r="AM18" s="64" t="n">
        <f aca="false">SUM(AM7:AM17)</f>
        <v>53</v>
      </c>
      <c r="AN18" s="64" t="n">
        <f aca="false">SUM(AN7:AN17)</f>
        <v>147810</v>
      </c>
      <c r="AO18" s="65" t="n">
        <f aca="false">IFERROR(AN18/AM18,0)</f>
        <v>2788.8679245283</v>
      </c>
      <c r="AP18" s="64" t="n">
        <f aca="false">SUM(AP7:AP17)</f>
        <v>846</v>
      </c>
      <c r="AQ18" s="64" t="n">
        <f aca="false">SUM(AQ7:AQ17)</f>
        <v>2429610</v>
      </c>
      <c r="AR18" s="65" t="n">
        <f aca="false">IFERROR(AQ18/AP18,0)</f>
        <v>2871.87943262411</v>
      </c>
      <c r="AS18" s="66" t="n">
        <f aca="false">SUM(AS7:AS17)</f>
        <v>1397</v>
      </c>
      <c r="AT18" s="66" t="n">
        <f aca="false">SUM(AT7:AT17)</f>
        <v>3988660</v>
      </c>
      <c r="AU18" s="67" t="n">
        <f aca="false">IFERROR(AT18/AS18,0)</f>
        <v>2855.16105941303</v>
      </c>
      <c r="AV18" s="68" t="n">
        <f aca="false">SUM(AV7:AV17)</f>
        <v>-3203160.33109295</v>
      </c>
      <c r="AW18" s="67" t="n">
        <f aca="false">SUM(AW7:AW17)</f>
        <v>-290352.48</v>
      </c>
      <c r="AX18" s="68" t="n">
        <f aca="false">-'Stock Libre'!N61</f>
        <v>-78579</v>
      </c>
      <c r="AY18" s="67" t="n">
        <f aca="false">-'Stock Libre'!O61</f>
        <v>-154473</v>
      </c>
      <c r="AZ18" s="68" t="n">
        <f aca="false">-'Stock Libre'!P61</f>
        <v>-123484.35</v>
      </c>
      <c r="BA18" s="67" t="n">
        <f aca="false">SUM(BA7:BA17)</f>
        <v>114874.616178292</v>
      </c>
      <c r="BB18" s="66" t="n">
        <f aca="false">SUM(BB7:BB17)</f>
        <v>376969.805085338</v>
      </c>
      <c r="BC18" s="69" t="n">
        <f aca="false">IFERROR(BB18/AT18,0)</f>
        <v>0.0945103882219437</v>
      </c>
      <c r="BD18" s="66" t="n">
        <f aca="false">SUM(BD7:BD17)</f>
        <v>654927.155085338</v>
      </c>
      <c r="BE18" s="70" t="n">
        <f aca="false">IFERROR(BD18/AT18,0)</f>
        <v>0.16419728808305</v>
      </c>
      <c r="BG18" s="71" t="n">
        <f aca="false">AU18</f>
        <v>2855.16105941303</v>
      </c>
      <c r="BH18" s="72" t="n">
        <f aca="false">IFERROR(AV18/$AS18,0)</f>
        <v>-2292.88499004506</v>
      </c>
      <c r="BI18" s="72" t="n">
        <f aca="false">IFERROR(AW18/$AS18,0)</f>
        <v>-207.84</v>
      </c>
      <c r="BJ18" s="72" t="n">
        <f aca="false">IFERROR(AX18/$AS18,0)</f>
        <v>-56.2483894058697</v>
      </c>
      <c r="BK18" s="72" t="n">
        <f aca="false">IFERROR(AY18/$AS18,0)</f>
        <v>-110.574803149606</v>
      </c>
      <c r="BL18" s="72" t="n">
        <f aca="false">IFERROR(AZ18/$AS18,0)</f>
        <v>-88.3925196850394</v>
      </c>
      <c r="BM18" s="72" t="n">
        <f aca="false">IFERROR(BA18/$AS18,0)</f>
        <v>82.229503348813</v>
      </c>
      <c r="BN18" s="72" t="n">
        <f aca="false">IFERROR(BB18/$AS18,0)</f>
        <v>269.842380161301</v>
      </c>
      <c r="BO18" s="72" t="n">
        <f aca="false">IFERROR(BD18/$AS18,0)</f>
        <v>468.809702995947</v>
      </c>
      <c r="BP18" s="4" t="n">
        <f aca="false">BO18-BN18</f>
        <v>198.967322834646</v>
      </c>
    </row>
    <row r="19" customFormat="false" ht="14.25" hidden="false" customHeight="false" outlineLevel="0" collapsed="false">
      <c r="I19" s="6"/>
      <c r="J19" s="6"/>
      <c r="N19" s="4" t="n">
        <f aca="false">N18-P18</f>
        <v>223.125398857712</v>
      </c>
      <c r="O19" s="4"/>
    </row>
    <row r="20" customFormat="false" ht="14.25" hidden="false" customHeight="false" outlineLevel="0" collapsed="false">
      <c r="M20" s="73"/>
      <c r="N20" s="73"/>
      <c r="O20" s="73"/>
      <c r="P20" s="74"/>
      <c r="Q20" s="73"/>
      <c r="R20" s="75"/>
      <c r="S20" s="73"/>
      <c r="T20" s="73"/>
      <c r="U20" s="73"/>
      <c r="V20" s="73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3"/>
      <c r="BB20" s="4"/>
      <c r="BH20" s="4"/>
    </row>
    <row r="21" customFormat="false" ht="14.25" hidden="false" customHeight="false" outlineLevel="0" collapsed="false">
      <c r="L21" s="77"/>
      <c r="N21" s="78"/>
      <c r="O21" s="78"/>
      <c r="P21" s="78"/>
      <c r="Q21" s="78"/>
      <c r="R21" s="75"/>
      <c r="S21" s="78"/>
      <c r="T21" s="78"/>
      <c r="U21" s="78"/>
      <c r="V21" s="78"/>
      <c r="W21" s="4"/>
      <c r="X21" s="4"/>
      <c r="Y21" s="79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S21" s="6"/>
      <c r="AV21" s="6"/>
      <c r="AW21" s="80"/>
      <c r="BB21" s="81"/>
    </row>
    <row r="22" customFormat="false" ht="14.25" hidden="false" customHeight="false" outlineLevel="0" collapsed="false">
      <c r="G22" s="4"/>
      <c r="L22" s="77"/>
      <c r="N22" s="78"/>
      <c r="O22" s="78"/>
      <c r="P22" s="78"/>
      <c r="Q22" s="78"/>
      <c r="R22" s="75"/>
      <c r="S22" s="78"/>
      <c r="T22" s="78"/>
      <c r="U22" s="78"/>
      <c r="V22" s="78"/>
      <c r="W22" s="4"/>
      <c r="X22" s="4"/>
      <c r="Y22" s="79"/>
      <c r="AT22" s="4"/>
      <c r="AW22" s="6" t="s">
        <v>47</v>
      </c>
      <c r="AX22" s="1" t="n">
        <v>114.177614452594</v>
      </c>
      <c r="BA22" s="82"/>
    </row>
    <row r="23" customFormat="false" ht="14.25" hidden="false" customHeight="false" outlineLevel="0" collapsed="false">
      <c r="G23" s="4"/>
      <c r="L23" s="77"/>
      <c r="N23" s="78"/>
      <c r="O23" s="78"/>
      <c r="P23" s="78"/>
      <c r="Q23" s="78"/>
      <c r="R23" s="78"/>
      <c r="S23" s="78"/>
      <c r="T23" s="78"/>
      <c r="U23" s="78"/>
      <c r="V23" s="78"/>
      <c r="W23" s="4"/>
      <c r="X23" s="4"/>
      <c r="Y23" s="35"/>
      <c r="AW23" s="6"/>
      <c r="AY23" s="4"/>
      <c r="BA23" s="6"/>
    </row>
    <row r="24" customFormat="false" ht="14.25" hidden="false" customHeight="false" outlineLevel="0" collapsed="false">
      <c r="G24" s="4"/>
      <c r="L24" s="77"/>
      <c r="N24" s="78"/>
      <c r="O24" s="78"/>
      <c r="P24" s="78"/>
      <c r="Q24" s="78"/>
      <c r="S24" s="78"/>
      <c r="T24" s="78"/>
      <c r="U24" s="78"/>
      <c r="V24" s="78"/>
      <c r="W24" s="4"/>
      <c r="X24" s="4"/>
      <c r="Y24" s="35"/>
      <c r="AW24" s="6"/>
      <c r="AY24" s="6"/>
    </row>
    <row r="25" customFormat="false" ht="14.25" hidden="false" customHeight="false" outlineLevel="0" collapsed="false">
      <c r="G25" s="4"/>
      <c r="L25" s="77"/>
      <c r="N25" s="78"/>
      <c r="O25" s="78"/>
      <c r="P25" s="78"/>
      <c r="Q25" s="78"/>
      <c r="R25" s="78"/>
      <c r="S25" s="78"/>
      <c r="T25" s="78"/>
      <c r="U25" s="78"/>
      <c r="V25" s="78"/>
      <c r="W25" s="4"/>
      <c r="X25" s="4"/>
      <c r="Y25" s="35"/>
    </row>
    <row r="26" customFormat="false" ht="14.25" hidden="false" customHeight="false" outlineLevel="0" collapsed="false">
      <c r="G26" s="4"/>
      <c r="L26" s="77"/>
      <c r="N26" s="78"/>
      <c r="O26" s="78"/>
      <c r="P26" s="78"/>
      <c r="Q26" s="78"/>
      <c r="R26" s="78"/>
      <c r="S26" s="78"/>
      <c r="T26" s="78"/>
      <c r="U26" s="78"/>
      <c r="V26" s="78"/>
      <c r="W26" s="4"/>
      <c r="X26" s="4"/>
      <c r="Y26" s="35"/>
    </row>
    <row r="27" customFormat="false" ht="14.25" hidden="false" customHeight="false" outlineLevel="0" collapsed="false">
      <c r="G27" s="4"/>
      <c r="L27" s="77"/>
      <c r="N27" s="78"/>
      <c r="O27" s="78"/>
      <c r="P27" s="78"/>
      <c r="Q27" s="78"/>
      <c r="R27" s="78"/>
      <c r="S27" s="78"/>
      <c r="T27" s="78"/>
      <c r="U27" s="78"/>
      <c r="V27" s="78"/>
      <c r="X27" s="4"/>
      <c r="Y27" s="35"/>
    </row>
    <row r="28" customFormat="false" ht="14.25" hidden="false" customHeight="false" outlineLevel="0" collapsed="false">
      <c r="L28" s="77"/>
      <c r="N28" s="78"/>
      <c r="O28" s="78"/>
      <c r="P28" s="78"/>
      <c r="Q28" s="78"/>
      <c r="R28" s="78"/>
      <c r="S28" s="78"/>
      <c r="T28" s="78"/>
      <c r="U28" s="78"/>
      <c r="V28" s="78"/>
      <c r="W28" s="4"/>
      <c r="X28" s="4"/>
      <c r="Y28" s="35"/>
      <c r="AT28" s="35"/>
    </row>
    <row r="29" customFormat="false" ht="14.25" hidden="false" customHeight="false" outlineLevel="0" collapsed="false">
      <c r="L29" s="77"/>
      <c r="N29" s="78"/>
      <c r="O29" s="78"/>
      <c r="P29" s="78"/>
      <c r="Q29" s="78"/>
      <c r="R29" s="78"/>
      <c r="S29" s="78"/>
      <c r="T29" s="78"/>
      <c r="U29" s="78"/>
      <c r="V29" s="78"/>
      <c r="W29" s="4"/>
      <c r="X29" s="4"/>
      <c r="Y29" s="35"/>
    </row>
    <row r="30" customFormat="false" ht="14.25" hidden="false" customHeight="false" outlineLevel="0" collapsed="false">
      <c r="L30" s="77"/>
      <c r="N30" s="78"/>
      <c r="O30" s="78"/>
      <c r="P30" s="78"/>
      <c r="Q30" s="78"/>
      <c r="R30" s="78"/>
      <c r="S30" s="78"/>
      <c r="T30" s="78"/>
      <c r="U30" s="78"/>
      <c r="V30" s="78"/>
      <c r="W30" s="4"/>
      <c r="X30" s="4"/>
      <c r="Y30" s="35"/>
    </row>
    <row r="31" customFormat="false" ht="14.25" hidden="false" customHeight="false" outlineLevel="0" collapsed="false">
      <c r="L31" s="77"/>
      <c r="N31" s="78"/>
      <c r="O31" s="78"/>
      <c r="P31" s="78"/>
      <c r="Q31" s="78"/>
      <c r="R31" s="78"/>
      <c r="S31" s="78"/>
      <c r="T31" s="78"/>
      <c r="U31" s="78"/>
      <c r="V31" s="78"/>
      <c r="W31" s="4"/>
      <c r="X31" s="4"/>
      <c r="Y31" s="35"/>
    </row>
    <row r="32" customFormat="false" ht="14.25" hidden="false" customHeight="false" outlineLevel="0" collapsed="false">
      <c r="L32" s="77"/>
      <c r="N32" s="78"/>
      <c r="O32" s="78"/>
      <c r="P32" s="78"/>
      <c r="Q32" s="78"/>
      <c r="R32" s="78"/>
      <c r="S32" s="78"/>
      <c r="T32" s="78"/>
      <c r="U32" s="78"/>
      <c r="V32" s="78"/>
      <c r="W32" s="4"/>
      <c r="X32" s="4"/>
      <c r="Y32" s="35"/>
    </row>
    <row r="33" customFormat="false" ht="14.25" hidden="false" customHeight="false" outlineLevel="0" collapsed="false">
      <c r="L33" s="83"/>
      <c r="M33" s="3"/>
      <c r="N33" s="84"/>
      <c r="O33" s="84"/>
      <c r="P33" s="84"/>
      <c r="Q33" s="84"/>
      <c r="R33" s="84"/>
      <c r="S33" s="84"/>
      <c r="T33" s="84"/>
      <c r="U33" s="84"/>
      <c r="V33" s="84"/>
      <c r="Y33" s="84"/>
    </row>
    <row r="35" customFormat="false" ht="14.25" hidden="false" customHeight="false" outlineLevel="0" collapsed="false">
      <c r="N35" s="4"/>
      <c r="O35" s="4"/>
      <c r="P35" s="4"/>
      <c r="Q35" s="4"/>
      <c r="R35" s="4"/>
      <c r="S35" s="4"/>
      <c r="T35" s="4"/>
      <c r="U35" s="4"/>
      <c r="V35" s="4"/>
    </row>
    <row r="36" customFormat="false" ht="14.25" hidden="false" customHeight="false" outlineLevel="0" collapsed="false">
      <c r="N36" s="4"/>
      <c r="O36" s="4"/>
      <c r="P36" s="4"/>
      <c r="Q36" s="4"/>
      <c r="R36" s="4"/>
      <c r="S36" s="4"/>
      <c r="T36" s="4"/>
      <c r="U36" s="4"/>
      <c r="V36" s="4"/>
    </row>
    <row r="37" customFormat="false" ht="14.25" hidden="false" customHeight="false" outlineLevel="0" collapsed="false">
      <c r="N37" s="81"/>
      <c r="O37" s="81"/>
      <c r="P37" s="81"/>
      <c r="Q37" s="81"/>
      <c r="R37" s="81"/>
      <c r="S37" s="81"/>
      <c r="T37" s="81"/>
      <c r="U37" s="81"/>
      <c r="V37" s="81"/>
    </row>
  </sheetData>
  <mergeCells count="11">
    <mergeCell ref="AS4:BC4"/>
    <mergeCell ref="F5:V5"/>
    <mergeCell ref="X5:Z5"/>
    <mergeCell ref="AA5:AC5"/>
    <mergeCell ref="AD5:AF5"/>
    <mergeCell ref="AG5:AI5"/>
    <mergeCell ref="AJ5:AL5"/>
    <mergeCell ref="AM5:AO5"/>
    <mergeCell ref="AP5:AR5"/>
    <mergeCell ref="AS5:BE5"/>
    <mergeCell ref="BG5:BO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16"/>
  <sheetViews>
    <sheetView showFormulas="false" showGridLines="true" showRowColHeaders="true" showZeros="true" rightToLeft="false" tabSelected="false" showOutlineSymbols="true" defaultGridColor="true" view="normal" topLeftCell="F1" colorId="64" zoomScale="90" zoomScaleNormal="90" zoomScalePageLayoutView="100" workbookViewId="0">
      <selection pane="topLeft" activeCell="B4" activeCellId="0" sqref="B4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2" min="2" style="1" width="11.81"/>
    <col collapsed="false" customWidth="true" hidden="false" outlineLevel="0" max="4" min="4" style="1" width="38.34"/>
    <col collapsed="false" customWidth="true" hidden="false" outlineLevel="0" max="5" min="5" style="1" width="17.44"/>
    <col collapsed="false" customWidth="true" hidden="false" outlineLevel="0" max="6" min="6" style="1" width="19.33"/>
    <col collapsed="false" customWidth="true" hidden="false" outlineLevel="0" max="7" min="7" style="1" width="20.55"/>
    <col collapsed="false" customWidth="true" hidden="false" outlineLevel="0" max="8" min="8" style="1" width="20.45"/>
    <col collapsed="false" customWidth="true" hidden="false" outlineLevel="0" max="9" min="9" style="1" width="18.56"/>
    <col collapsed="false" customWidth="true" hidden="false" outlineLevel="0" max="10" min="10" style="1" width="17"/>
    <col collapsed="false" customWidth="true" hidden="false" outlineLevel="0" max="11" min="11" style="1" width="20.78"/>
  </cols>
  <sheetData>
    <row r="3" customFormat="false" ht="14.25" hidden="false" customHeight="false" outlineLevel="0" collapsed="false">
      <c r="E3" s="85" t="s">
        <v>48</v>
      </c>
      <c r="F3" s="86" t="s">
        <v>49</v>
      </c>
      <c r="G3" s="87" t="s">
        <v>50</v>
      </c>
      <c r="H3" s="87" t="s">
        <v>51</v>
      </c>
      <c r="I3" s="87" t="s">
        <v>52</v>
      </c>
      <c r="J3" s="87" t="s">
        <v>53</v>
      </c>
      <c r="K3" s="88" t="s">
        <v>54</v>
      </c>
    </row>
    <row r="4" customFormat="false" ht="14.25" hidden="false" customHeight="false" outlineLevel="0" collapsed="false">
      <c r="A4" s="31" t="n">
        <v>10005721</v>
      </c>
      <c r="B4" s="89" t="b">
        <f aca="false">C4=E4</f>
        <v>1</v>
      </c>
      <c r="C4" s="31" t="n">
        <v>10005721</v>
      </c>
      <c r="D4" s="32" t="s">
        <v>35</v>
      </c>
      <c r="E4" s="90" t="n">
        <v>10005721</v>
      </c>
      <c r="F4" s="91" t="n">
        <v>561.84</v>
      </c>
      <c r="G4" s="92" t="n">
        <v>1115019.89556423</v>
      </c>
      <c r="H4" s="92" t="n">
        <v>116772.8256</v>
      </c>
      <c r="I4" s="92" t="n">
        <v>35439.6970166446</v>
      </c>
      <c r="J4" s="92" t="n">
        <v>69668.4396244817</v>
      </c>
      <c r="K4" s="93" t="n">
        <v>55692.334469735</v>
      </c>
    </row>
    <row r="5" customFormat="false" ht="14.25" hidden="false" customHeight="false" outlineLevel="0" collapsed="false">
      <c r="A5" s="31" t="n">
        <v>10005779</v>
      </c>
      <c r="B5" s="89" t="b">
        <f aca="false">C5=E5</f>
        <v>1</v>
      </c>
      <c r="C5" s="31" t="n">
        <v>10005779</v>
      </c>
      <c r="D5" s="51" t="s">
        <v>36</v>
      </c>
      <c r="E5" s="94" t="n">
        <v>10005779</v>
      </c>
      <c r="F5" s="95" t="n">
        <v>235.92</v>
      </c>
      <c r="G5" s="96" t="n">
        <v>382664.692538999</v>
      </c>
      <c r="H5" s="96" t="n">
        <v>49033.6128</v>
      </c>
      <c r="I5" s="96" t="n">
        <v>14881.342232961</v>
      </c>
      <c r="J5" s="96" t="n">
        <v>29254.1974160041</v>
      </c>
      <c r="K5" s="97" t="n">
        <v>23385.5466825073</v>
      </c>
    </row>
    <row r="6" customFormat="false" ht="14.25" hidden="false" customHeight="false" outlineLevel="0" collapsed="false">
      <c r="A6" s="31" t="n">
        <v>10006719</v>
      </c>
      <c r="B6" s="89" t="b">
        <f aca="false">C6=E6</f>
        <v>1</v>
      </c>
      <c r="C6" s="31" t="n">
        <v>10006719</v>
      </c>
      <c r="D6" s="51" t="s">
        <v>37</v>
      </c>
      <c r="E6" s="94" t="n">
        <v>10006719</v>
      </c>
      <c r="F6" s="95" t="n">
        <v>63.32</v>
      </c>
      <c r="G6" s="96" t="n">
        <v>119210.813902313</v>
      </c>
      <c r="H6" s="96" t="n">
        <v>13160.4288</v>
      </c>
      <c r="I6" s="96" t="n">
        <v>3994.09371901954</v>
      </c>
      <c r="J6" s="96" t="n">
        <v>7851.71151399364</v>
      </c>
      <c r="K6" s="97" t="n">
        <v>6276.58874167666</v>
      </c>
    </row>
    <row r="7" customFormat="false" ht="14.25" hidden="false" customHeight="false" outlineLevel="0" collapsed="false">
      <c r="A7" s="31" t="n">
        <v>10007050</v>
      </c>
      <c r="B7" s="89" t="b">
        <f aca="false">C7=E7</f>
        <v>1</v>
      </c>
      <c r="C7" s="31" t="n">
        <v>10007050</v>
      </c>
      <c r="D7" s="51" t="s">
        <v>38</v>
      </c>
      <c r="E7" s="94" t="n">
        <v>10007050</v>
      </c>
      <c r="F7" s="95" t="n">
        <v>103.325</v>
      </c>
      <c r="G7" s="96" t="n">
        <v>149195.715353716</v>
      </c>
      <c r="H7" s="96" t="n">
        <v>21475.068</v>
      </c>
      <c r="I7" s="96" t="n">
        <v>6517.52579781576</v>
      </c>
      <c r="J7" s="96" t="n">
        <v>12812.3514242481</v>
      </c>
      <c r="K7" s="97" t="n">
        <v>10242.0804127249</v>
      </c>
    </row>
    <row r="8" customFormat="false" ht="14.25" hidden="false" customHeight="false" outlineLevel="0" collapsed="false">
      <c r="A8" s="31" t="n">
        <v>10007162</v>
      </c>
      <c r="B8" s="89" t="b">
        <f aca="false">C8=E8</f>
        <v>1</v>
      </c>
      <c r="C8" s="31" t="n">
        <v>10007162</v>
      </c>
      <c r="D8" s="51" t="s">
        <v>39</v>
      </c>
      <c r="E8" s="94" t="n">
        <v>10007162</v>
      </c>
      <c r="F8" s="95" t="n">
        <v>171.96</v>
      </c>
      <c r="G8" s="96" t="n">
        <v>299330.389127657</v>
      </c>
      <c r="H8" s="96" t="n">
        <v>35740.1664</v>
      </c>
      <c r="I8" s="96" t="n">
        <v>10846.8786469141</v>
      </c>
      <c r="J8" s="96" t="n">
        <v>21323.1255834862</v>
      </c>
      <c r="K8" s="97" t="n">
        <v>17045.5180040859</v>
      </c>
    </row>
    <row r="9" customFormat="false" ht="14.25" hidden="false" customHeight="false" outlineLevel="0" collapsed="false">
      <c r="A9" s="31" t="n">
        <v>10007567</v>
      </c>
      <c r="B9" s="89" t="b">
        <f aca="false">C9=E9</f>
        <v>1</v>
      </c>
      <c r="C9" s="31" t="n">
        <v>10007567</v>
      </c>
      <c r="D9" s="51" t="s">
        <v>40</v>
      </c>
      <c r="E9" s="94" t="n">
        <v>10007567</v>
      </c>
      <c r="F9" s="95" t="n">
        <v>61.46</v>
      </c>
      <c r="G9" s="96" t="n">
        <v>103416.234864828</v>
      </c>
      <c r="H9" s="96" t="n">
        <v>12773.8464</v>
      </c>
      <c r="I9" s="96" t="n">
        <v>3876.76879297127</v>
      </c>
      <c r="J9" s="96" t="n">
        <v>7621.07058828252</v>
      </c>
      <c r="K9" s="97" t="n">
        <v>6092.21642551245</v>
      </c>
    </row>
    <row r="10" customFormat="false" ht="14.25" hidden="false" customHeight="false" outlineLevel="0" collapsed="false">
      <c r="A10" s="31" t="n">
        <v>10007969</v>
      </c>
      <c r="B10" s="89" t="b">
        <f aca="false">C10=E10</f>
        <v>1</v>
      </c>
      <c r="C10" s="31" t="n">
        <v>10007969</v>
      </c>
      <c r="D10" s="51" t="s">
        <v>41</v>
      </c>
      <c r="E10" s="94" t="n">
        <v>10007969</v>
      </c>
      <c r="F10" s="95" t="n">
        <v>22.74</v>
      </c>
      <c r="G10" s="96" t="n">
        <v>31119.7767368571</v>
      </c>
      <c r="H10" s="96" t="n">
        <v>4726.2816</v>
      </c>
      <c r="I10" s="96" t="n">
        <v>1434.39183781593</v>
      </c>
      <c r="J10" s="96" t="n">
        <v>2819.77131756499</v>
      </c>
      <c r="K10" s="97" t="n">
        <v>2254.10025245937</v>
      </c>
    </row>
    <row r="11" customFormat="false" ht="14.25" hidden="false" customHeight="false" outlineLevel="0" collapsed="false">
      <c r="A11" s="31" t="n">
        <v>10009207</v>
      </c>
      <c r="B11" s="89" t="b">
        <f aca="false">C11=E11</f>
        <v>1</v>
      </c>
      <c r="C11" s="31" t="n">
        <v>10009239</v>
      </c>
      <c r="D11" s="51" t="s">
        <v>42</v>
      </c>
      <c r="E11" s="94" t="n">
        <v>10009239</v>
      </c>
      <c r="F11" s="95" t="n">
        <v>0</v>
      </c>
      <c r="G11" s="96" t="n">
        <v>0</v>
      </c>
      <c r="H11" s="96" t="n">
        <v>0</v>
      </c>
      <c r="I11" s="96" t="n">
        <v>0</v>
      </c>
      <c r="J11" s="96" t="n">
        <v>0</v>
      </c>
      <c r="K11" s="97" t="n">
        <v>0</v>
      </c>
    </row>
    <row r="12" customFormat="false" ht="14.25" hidden="false" customHeight="false" outlineLevel="0" collapsed="false">
      <c r="A12" s="31" t="n">
        <v>10009239</v>
      </c>
      <c r="B12" s="89" t="b">
        <f aca="false">C12=E12</f>
        <v>1</v>
      </c>
      <c r="C12" s="31" t="n">
        <v>10009334</v>
      </c>
      <c r="D12" s="51" t="s">
        <v>43</v>
      </c>
      <c r="E12" s="94" t="n">
        <v>10009334</v>
      </c>
      <c r="F12" s="95" t="n">
        <v>0</v>
      </c>
      <c r="G12" s="96" t="n">
        <v>0</v>
      </c>
      <c r="H12" s="96" t="n">
        <v>0</v>
      </c>
      <c r="I12" s="96" t="n">
        <v>0</v>
      </c>
      <c r="J12" s="96" t="n">
        <v>0</v>
      </c>
      <c r="K12" s="97" t="n">
        <v>0</v>
      </c>
    </row>
    <row r="13" customFormat="false" ht="14.25" hidden="false" customHeight="false" outlineLevel="0" collapsed="false">
      <c r="A13" s="31" t="n">
        <v>10009334</v>
      </c>
      <c r="B13" s="89" t="b">
        <f aca="false">C13=E13</f>
        <v>1</v>
      </c>
      <c r="C13" s="31" t="n">
        <v>10009386</v>
      </c>
      <c r="D13" s="51" t="s">
        <v>44</v>
      </c>
      <c r="E13" s="94" t="n">
        <v>10009386</v>
      </c>
      <c r="F13" s="95" t="n">
        <v>16.4</v>
      </c>
      <c r="G13" s="96" t="n">
        <v>28571.6032005206</v>
      </c>
      <c r="H13" s="96" t="n">
        <v>3408.576</v>
      </c>
      <c r="I13" s="96" t="n">
        <v>1034.47784257613</v>
      </c>
      <c r="J13" s="96" t="n">
        <v>2033.60816218407</v>
      </c>
      <c r="K13" s="97" t="n">
        <v>1625.6483790824</v>
      </c>
    </row>
    <row r="14" customFormat="false" ht="14.25" hidden="false" customHeight="false" outlineLevel="0" collapsed="false">
      <c r="A14" s="31" t="n">
        <v>10009386</v>
      </c>
      <c r="B14" s="89" t="b">
        <f aca="false">C14=E14</f>
        <v>0</v>
      </c>
      <c r="D14" s="51" t="s">
        <v>45</v>
      </c>
      <c r="E14" s="94" t="n">
        <v>10009207</v>
      </c>
      <c r="F14" s="95" t="n">
        <v>8.78</v>
      </c>
      <c r="G14" s="96" t="n">
        <v>12440.1229785775</v>
      </c>
      <c r="H14" s="96" t="n">
        <v>1824.8352</v>
      </c>
      <c r="I14" s="96" t="n">
        <v>553.824113281611</v>
      </c>
      <c r="J14" s="96" t="n">
        <v>1088.72436975464</v>
      </c>
      <c r="K14" s="97" t="n">
        <v>870.316632216063</v>
      </c>
    </row>
    <row r="15" customFormat="false" ht="14.25" hidden="false" customHeight="false" outlineLevel="0" collapsed="false">
      <c r="A15" s="31"/>
      <c r="B15" s="89"/>
      <c r="D15" s="51"/>
      <c r="E15" s="94" t="s">
        <v>55</v>
      </c>
      <c r="F15" s="98" t="n">
        <v>0</v>
      </c>
      <c r="G15" s="99" t="n">
        <v>0</v>
      </c>
      <c r="H15" s="99" t="n">
        <v>0</v>
      </c>
      <c r="I15" s="99" t="n">
        <v>0</v>
      </c>
      <c r="J15" s="99" t="n">
        <v>0</v>
      </c>
      <c r="K15" s="100" t="n">
        <v>0</v>
      </c>
    </row>
    <row r="16" customFormat="false" ht="14.25" hidden="false" customHeight="false" outlineLevel="0" collapsed="false">
      <c r="B16" s="89"/>
      <c r="D16" s="51"/>
      <c r="E16" s="101" t="s">
        <v>56</v>
      </c>
      <c r="F16" s="102" t="n">
        <v>1245.745</v>
      </c>
      <c r="G16" s="103" t="n">
        <v>2240969.2442677</v>
      </c>
      <c r="H16" s="103" t="n">
        <v>258915.6408</v>
      </c>
      <c r="I16" s="103" t="n">
        <v>78578.9999999999</v>
      </c>
      <c r="J16" s="103" t="n">
        <v>154473</v>
      </c>
      <c r="K16" s="104" t="n">
        <v>123484.35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1"/>
  <sheetViews>
    <sheetView showFormulas="false" showGridLines="true" showRowColHeaders="true" showZeros="true" rightToLeft="false" tabSelected="true" showOutlineSymbols="true" defaultGridColor="true" view="normal" topLeftCell="D46" colorId="64" zoomScale="90" zoomScaleNormal="90" zoomScalePageLayoutView="100" workbookViewId="0">
      <selection pane="topLeft" activeCell="A59" activeCellId="0" sqref="A59"/>
    </sheetView>
  </sheetViews>
  <sheetFormatPr defaultColWidth="11.55078125" defaultRowHeight="15" customHeight="false" zeroHeight="false" outlineLevelRow="0" outlineLevelCol="0"/>
  <cols>
    <col collapsed="false" customWidth="true" hidden="false" outlineLevel="0" max="1" min="1" style="105" width="18.22"/>
    <col collapsed="false" customWidth="true" hidden="false" outlineLevel="0" max="2" min="2" style="105" width="48.89"/>
    <col collapsed="false" customWidth="true" hidden="false" outlineLevel="0" max="3" min="3" style="105" width="14.22"/>
    <col collapsed="false" customWidth="true" hidden="false" outlineLevel="0" max="4" min="4" style="105" width="16.01"/>
    <col collapsed="false" customWidth="true" hidden="false" outlineLevel="0" max="5" min="5" style="105" width="13.22"/>
    <col collapsed="false" customWidth="false" hidden="false" outlineLevel="0" max="9" min="6" style="105" width="11.55"/>
    <col collapsed="false" customWidth="true" hidden="false" outlineLevel="0" max="10" min="10" style="105" width="15.67"/>
    <col collapsed="false" customWidth="true" hidden="false" outlineLevel="0" max="11" min="11" style="105" width="12.67"/>
    <col collapsed="false" customWidth="true" hidden="false" outlineLevel="0" max="12" min="12" style="105" width="13.11"/>
    <col collapsed="false" customWidth="true" hidden="false" outlineLevel="0" max="13" min="13" style="105" width="13.33"/>
    <col collapsed="false" customWidth="false" hidden="false" outlineLevel="0" max="16" min="14" style="105" width="11.55"/>
    <col collapsed="false" customWidth="true" hidden="false" outlineLevel="0" max="17" min="17" style="105" width="13.78"/>
    <col collapsed="false" customWidth="true" hidden="false" outlineLevel="0" max="18" min="18" style="105" width="13.33"/>
    <col collapsed="false" customWidth="true" hidden="false" outlineLevel="0" max="19" min="19" style="105" width="16.78"/>
    <col collapsed="false" customWidth="true" hidden="false" outlineLevel="0" max="20" min="20" style="105" width="22.44"/>
    <col collapsed="false" customWidth="false" hidden="false" outlineLevel="0" max="16384" min="21" style="105" width="11.55"/>
  </cols>
  <sheetData>
    <row r="1" customFormat="false" ht="15" hidden="false" customHeight="false" outlineLevel="0" collapsed="false">
      <c r="A1" s="106" t="s">
        <v>57</v>
      </c>
      <c r="B1" s="106" t="s">
        <v>58</v>
      </c>
      <c r="C1" s="107" t="s">
        <v>59</v>
      </c>
      <c r="D1" s="108" t="s">
        <v>60</v>
      </c>
      <c r="E1" s="109" t="s">
        <v>61</v>
      </c>
      <c r="G1" s="110" t="s">
        <v>48</v>
      </c>
      <c r="H1" s="110" t="s">
        <v>62</v>
      </c>
      <c r="I1" s="110" t="s">
        <v>63</v>
      </c>
      <c r="J1" s="110" t="s">
        <v>64</v>
      </c>
      <c r="K1" s="111" t="s">
        <v>65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3" t="s">
        <v>16</v>
      </c>
      <c r="S1" s="114" t="s">
        <v>66</v>
      </c>
      <c r="T1" s="114" t="s">
        <v>67</v>
      </c>
    </row>
    <row r="2" customFormat="false" ht="15" hidden="false" customHeight="false" outlineLevel="0" collapsed="false">
      <c r="A2" s="115" t="n">
        <v>10009178</v>
      </c>
      <c r="B2" s="115" t="s">
        <v>68</v>
      </c>
      <c r="C2" s="107" t="n">
        <v>14280</v>
      </c>
      <c r="D2" s="108" t="n">
        <v>2000</v>
      </c>
      <c r="E2" s="109" t="n">
        <v>12280</v>
      </c>
      <c r="G2" s="116" t="n">
        <v>10006719</v>
      </c>
      <c r="H2" s="117" t="n">
        <f aca="false">IFERROR(INDEX([2]Resumen!$K$3:$K$63,MATCH(G2,[2]Resumen!$C$3:$C$63,0)),0)*(1+I2*J2)/1000-51.89/1000</f>
        <v>1.88267236105991</v>
      </c>
      <c r="I2" s="118" t="n">
        <v>0.71</v>
      </c>
      <c r="J2" s="119" t="n">
        <v>-0.07</v>
      </c>
      <c r="K2" s="120" t="n">
        <f aca="false">IF(E2&lt;0,0,E2)/1000</f>
        <v>12.28</v>
      </c>
      <c r="L2" s="121" t="n">
        <f aca="false">IFERROR(H2*K2,0)*1000</f>
        <v>23119.2165938157</v>
      </c>
      <c r="M2" s="121" t="n">
        <f aca="false">207.84*K2</f>
        <v>2552.2752</v>
      </c>
      <c r="N2" s="121" t="n">
        <f aca="false">$N$61/$K$59*K2</f>
        <v>774.596823587492</v>
      </c>
      <c r="O2" s="121" t="n">
        <f aca="false">$O$61/$K$59*K2</f>
        <v>1522.72611168417</v>
      </c>
      <c r="P2" s="121" t="n">
        <f aca="false">$P$61/$K$59*K2</f>
        <v>1217.25378628853</v>
      </c>
      <c r="Q2" s="121" t="n">
        <v>0</v>
      </c>
      <c r="R2" s="122" t="n">
        <v>0</v>
      </c>
      <c r="S2" s="123" t="n">
        <f aca="false">L2+M2+N2+O2</f>
        <v>27968.8147290873</v>
      </c>
      <c r="T2" s="123" t="n">
        <f aca="false">IFERROR(S2/K2,0)</f>
        <v>2277.59077598431</v>
      </c>
    </row>
    <row r="3" customFormat="false" ht="15" hidden="false" customHeight="false" outlineLevel="0" collapsed="false">
      <c r="A3" s="124" t="n">
        <v>10006668</v>
      </c>
      <c r="B3" s="124" t="s">
        <v>69</v>
      </c>
      <c r="C3" s="107" t="n">
        <v>3020</v>
      </c>
      <c r="D3" s="108" t="n">
        <v>0</v>
      </c>
      <c r="E3" s="109" t="n">
        <v>3020</v>
      </c>
      <c r="G3" s="116" t="n">
        <v>10006719</v>
      </c>
      <c r="H3" s="117" t="n">
        <f aca="false">IFERROR(INDEX([2]Resumen!$K$3:$K$63,MATCH(G3,[2]Resumen!$C$3:$C$63,0)),0)*(1+I3*J3)/1000-51.89/1000</f>
        <v>1.88267236105991</v>
      </c>
      <c r="I3" s="119" t="n">
        <v>0.71</v>
      </c>
      <c r="J3" s="119" t="n">
        <v>-0.07</v>
      </c>
      <c r="K3" s="120" t="n">
        <f aca="false">IF(E3&lt;0,0,E3)/1000</f>
        <v>3.02</v>
      </c>
      <c r="L3" s="121" t="n">
        <f aca="false">IFERROR(H3*K3,0)*1000</f>
        <v>5685.67053040092</v>
      </c>
      <c r="M3" s="121" t="n">
        <f aca="false">207.84*K3</f>
        <v>627.6768</v>
      </c>
      <c r="N3" s="121" t="n">
        <f aca="false">$N$61/$K$59*K3</f>
        <v>190.49531003536</v>
      </c>
      <c r="O3" s="121" t="n">
        <f aca="false">$O$61/$K$59*K3</f>
        <v>374.481503036336</v>
      </c>
      <c r="P3" s="121" t="n">
        <f aca="false">$P$61/$K$59*K3</f>
        <v>299.357201513953</v>
      </c>
      <c r="Q3" s="121" t="n">
        <v>0</v>
      </c>
      <c r="R3" s="122" t="n">
        <v>0</v>
      </c>
      <c r="S3" s="123" t="n">
        <f aca="false">L3+M3+N3+O3</f>
        <v>6878.32414347262</v>
      </c>
      <c r="T3" s="123" t="n">
        <f aca="false">IFERROR(S3/K3,0)</f>
        <v>2277.59077598431</v>
      </c>
    </row>
    <row r="4" customFormat="false" ht="15" hidden="false" customHeight="false" outlineLevel="0" collapsed="false">
      <c r="A4" s="124" t="n">
        <v>10006719</v>
      </c>
      <c r="B4" s="124" t="s">
        <v>70</v>
      </c>
      <c r="C4" s="107" t="n">
        <v>37900</v>
      </c>
      <c r="D4" s="108" t="n">
        <v>25000</v>
      </c>
      <c r="E4" s="109" t="n">
        <v>12900</v>
      </c>
      <c r="G4" s="116" t="n">
        <v>10006719</v>
      </c>
      <c r="H4" s="117" t="n">
        <f aca="false">IFERROR(INDEX([2]Resumen!$K$3:$K$63,MATCH(G4,[2]Resumen!$C$3:$C$63,0)),0)*(1+I4*J4)/1000-51.89/1000</f>
        <v>1.88267236105991</v>
      </c>
      <c r="I4" s="119" t="n">
        <v>0.71</v>
      </c>
      <c r="J4" s="119" t="n">
        <v>-0.07</v>
      </c>
      <c r="K4" s="120" t="n">
        <f aca="false">IF(E4&lt;0,0,E4)/1000</f>
        <v>12.9</v>
      </c>
      <c r="L4" s="121" t="n">
        <f aca="false">IFERROR(H4*K4,0)*1000</f>
        <v>24286.4734576728</v>
      </c>
      <c r="M4" s="121" t="n">
        <f aca="false">207.84*K4</f>
        <v>2681.136</v>
      </c>
      <c r="N4" s="121" t="n">
        <f aca="false">$N$61/$K$59*K4</f>
        <v>813.705132270248</v>
      </c>
      <c r="O4" s="121" t="n">
        <f aca="false">$O$61/$K$59*K4</f>
        <v>1599.60642025455</v>
      </c>
      <c r="P4" s="121" t="n">
        <f aca="false">$P$61/$K$59*K4</f>
        <v>1278.71122500993</v>
      </c>
      <c r="Q4" s="121" t="n">
        <v>0</v>
      </c>
      <c r="R4" s="122" t="n">
        <v>0</v>
      </c>
      <c r="S4" s="123" t="n">
        <f aca="false">L4+M4+N4+O4</f>
        <v>29380.9210101976</v>
      </c>
      <c r="T4" s="123" t="n">
        <f aca="false">IFERROR(S4/K4,0)</f>
        <v>2277.59077598431</v>
      </c>
    </row>
    <row r="5" customFormat="false" ht="15" hidden="false" customHeight="false" outlineLevel="0" collapsed="false">
      <c r="A5" s="124" t="n">
        <v>10009265</v>
      </c>
      <c r="B5" s="124" t="s">
        <v>71</v>
      </c>
      <c r="C5" s="107" t="n">
        <v>0</v>
      </c>
      <c r="D5" s="108"/>
      <c r="E5" s="109" t="n">
        <v>0</v>
      </c>
      <c r="G5" s="116" t="n">
        <v>10006719</v>
      </c>
      <c r="H5" s="117" t="n">
        <f aca="false">IFERROR(INDEX([2]Resumen!$K$3:$K$63,MATCH(G5,[2]Resumen!$C$3:$C$63,0)),0)*(1+I5*J5)/1000-51.89/1000</f>
        <v>1.88267236105991</v>
      </c>
      <c r="I5" s="119" t="n">
        <v>0.71</v>
      </c>
      <c r="J5" s="119" t="n">
        <v>-0.07</v>
      </c>
      <c r="K5" s="120" t="n">
        <f aca="false">IF(E5&lt;0,0,E5)/1000</f>
        <v>0</v>
      </c>
      <c r="L5" s="121" t="n">
        <f aca="false">IFERROR(H5*K5,0)*1000</f>
        <v>0</v>
      </c>
      <c r="M5" s="121" t="n">
        <f aca="false">207.84*K5</f>
        <v>0</v>
      </c>
      <c r="N5" s="121" t="n">
        <f aca="false">$N$61/$K$59*K5</f>
        <v>0</v>
      </c>
      <c r="O5" s="121" t="n">
        <f aca="false">$O$61/$K$59*K5</f>
        <v>0</v>
      </c>
      <c r="P5" s="121" t="n">
        <f aca="false">$P$61/$K$59*K5</f>
        <v>0</v>
      </c>
      <c r="Q5" s="121" t="n">
        <v>0</v>
      </c>
      <c r="R5" s="122" t="n">
        <v>0</v>
      </c>
      <c r="S5" s="123" t="n">
        <f aca="false">L5+M5+N5+O5</f>
        <v>0</v>
      </c>
      <c r="T5" s="123" t="n">
        <f aca="false">IFERROR(S5/K5,0)</f>
        <v>0</v>
      </c>
    </row>
    <row r="6" customFormat="false" ht="15" hidden="false" customHeight="false" outlineLevel="0" collapsed="false">
      <c r="A6" s="124" t="n">
        <v>10006720</v>
      </c>
      <c r="B6" s="124" t="s">
        <v>72</v>
      </c>
      <c r="C6" s="107" t="n">
        <v>1900</v>
      </c>
      <c r="D6" s="108" t="n">
        <v>1900</v>
      </c>
      <c r="E6" s="109" t="n">
        <v>0</v>
      </c>
      <c r="G6" s="116" t="n">
        <v>10006719</v>
      </c>
      <c r="H6" s="117" t="n">
        <f aca="false">IFERROR(INDEX([2]Resumen!$K$3:$K$63,MATCH(G6,[2]Resumen!$C$3:$C$63,0)),0)*(1+I6*J6)/1000-51.89/1000</f>
        <v>1.88267236105991</v>
      </c>
      <c r="I6" s="119" t="n">
        <v>0.71</v>
      </c>
      <c r="J6" s="119" t="n">
        <v>-0.07</v>
      </c>
      <c r="K6" s="120" t="n">
        <f aca="false">IF(E6&lt;0,0,E6)/1000</f>
        <v>0</v>
      </c>
      <c r="L6" s="121" t="n">
        <f aca="false">IFERROR(H6*K6,0)*1000</f>
        <v>0</v>
      </c>
      <c r="M6" s="121" t="n">
        <f aca="false">207.84*K6</f>
        <v>0</v>
      </c>
      <c r="N6" s="121" t="n">
        <f aca="false">$N$61/$K$59*K6</f>
        <v>0</v>
      </c>
      <c r="O6" s="121" t="n">
        <f aca="false">$O$61/$K$59*K6</f>
        <v>0</v>
      </c>
      <c r="P6" s="121" t="n">
        <f aca="false">$P$61/$K$59*K6</f>
        <v>0</v>
      </c>
      <c r="Q6" s="121" t="n">
        <v>0</v>
      </c>
      <c r="R6" s="122" t="n">
        <v>0</v>
      </c>
      <c r="S6" s="123" t="n">
        <f aca="false">L6+M6+N6+O6</f>
        <v>0</v>
      </c>
      <c r="T6" s="123" t="n">
        <f aca="false">IFERROR(S6/K6,0)</f>
        <v>0</v>
      </c>
    </row>
    <row r="7" customFormat="false" ht="15" hidden="false" customHeight="false" outlineLevel="0" collapsed="false">
      <c r="A7" s="125" t="n">
        <v>10010005</v>
      </c>
      <c r="B7" s="125" t="s">
        <v>73</v>
      </c>
      <c r="C7" s="107" t="n">
        <v>35120</v>
      </c>
      <c r="D7" s="108"/>
      <c r="E7" s="109" t="n">
        <v>35120</v>
      </c>
      <c r="G7" s="116" t="n">
        <v>10006719</v>
      </c>
      <c r="H7" s="117" t="n">
        <f aca="false">IFERROR(INDEX([2]Resumen!$K$3:$K$63,MATCH(G7,[2]Resumen!$C$3:$C$63,0)),0)*(1+I7*J7)/1000-51.89/1000</f>
        <v>1.88267236105991</v>
      </c>
      <c r="I7" s="119" t="n">
        <v>0.71</v>
      </c>
      <c r="J7" s="119" t="n">
        <v>-0.07</v>
      </c>
      <c r="K7" s="120" t="n">
        <f aca="false">IF(E7&lt;0,0,E7)/1000</f>
        <v>35.12</v>
      </c>
      <c r="L7" s="121" t="n">
        <f aca="false">IFERROR(H7*K7,0)*1000</f>
        <v>66119.453320424</v>
      </c>
      <c r="M7" s="121" t="n">
        <f aca="false">207.84*K7</f>
        <v>7299.3408</v>
      </c>
      <c r="N7" s="121" t="n">
        <f aca="false">$N$61/$K$59*K7</f>
        <v>2215.29645312644</v>
      </c>
      <c r="O7" s="121" t="n">
        <f aca="false">$O$61/$K$59*K7</f>
        <v>4354.89747901858</v>
      </c>
      <c r="P7" s="121" t="n">
        <f aca="false">$P$61/$K$59*K7</f>
        <v>3481.26652886425</v>
      </c>
      <c r="Q7" s="121" t="n">
        <v>0</v>
      </c>
      <c r="R7" s="122" t="n">
        <v>0</v>
      </c>
      <c r="S7" s="123" t="n">
        <f aca="false">L7+M7+N7+O7</f>
        <v>79988.988052569</v>
      </c>
      <c r="T7" s="123" t="n">
        <f aca="false">IFERROR(S7/K7,0)</f>
        <v>2277.59077598431</v>
      </c>
    </row>
    <row r="8" customFormat="false" ht="15" hidden="false" customHeight="false" outlineLevel="0" collapsed="false">
      <c r="A8" s="124" t="n">
        <v>10006722</v>
      </c>
      <c r="B8" s="124" t="s">
        <v>74</v>
      </c>
      <c r="C8" s="107" t="n">
        <v>120</v>
      </c>
      <c r="D8" s="108" t="n">
        <v>120</v>
      </c>
      <c r="E8" s="109" t="n">
        <v>0</v>
      </c>
      <c r="G8" s="116" t="n">
        <v>10006719</v>
      </c>
      <c r="H8" s="117" t="n">
        <f aca="false">IFERROR(INDEX([2]Resumen!$K$3:$K$63,MATCH(G8,[2]Resumen!$C$3:$C$63,0)),0)*(1+I8*J8)/1000-51.89/1000</f>
        <v>1.88267236105991</v>
      </c>
      <c r="I8" s="119" t="n">
        <v>0.71</v>
      </c>
      <c r="J8" s="119" t="n">
        <v>-0.07</v>
      </c>
      <c r="K8" s="120" t="n">
        <f aca="false">IF(E8&lt;0,0,E8)/1000</f>
        <v>0</v>
      </c>
      <c r="L8" s="121" t="n">
        <f aca="false">IFERROR(H8*K8,0)*1000</f>
        <v>0</v>
      </c>
      <c r="M8" s="121" t="n">
        <f aca="false">207.84*K8</f>
        <v>0</v>
      </c>
      <c r="N8" s="121" t="n">
        <f aca="false">$N$61/$K$59*K8</f>
        <v>0</v>
      </c>
      <c r="O8" s="121" t="n">
        <f aca="false">$O$61/$K$59*K8</f>
        <v>0</v>
      </c>
      <c r="P8" s="121" t="n">
        <f aca="false">$P$61/$K$59*K8</f>
        <v>0</v>
      </c>
      <c r="Q8" s="121" t="n">
        <v>0</v>
      </c>
      <c r="R8" s="122" t="n">
        <v>0</v>
      </c>
      <c r="S8" s="123" t="n">
        <f aca="false">L8+M8+N8+O8</f>
        <v>0</v>
      </c>
      <c r="T8" s="123" t="n">
        <f aca="false">IFERROR(S8/K8,0)</f>
        <v>0</v>
      </c>
    </row>
    <row r="9" customFormat="false" ht="15" hidden="false" customHeight="false" outlineLevel="0" collapsed="false">
      <c r="A9" s="124" t="n">
        <v>10009207</v>
      </c>
      <c r="B9" s="124" t="s">
        <v>75</v>
      </c>
      <c r="C9" s="107" t="n">
        <v>8780</v>
      </c>
      <c r="D9" s="108"/>
      <c r="E9" s="109" t="n">
        <v>8780</v>
      </c>
      <c r="G9" s="126" t="n">
        <v>10009207</v>
      </c>
      <c r="H9" s="117" t="n">
        <f aca="false">IFERROR(INDEX([2]Resumen!$K$3:$K$63,MATCH(G9,[2]Resumen!$C$3:$C$63,0)),0)*(1+I9*J9)/1000-51.89/1000</f>
        <v>1.41687049869903</v>
      </c>
      <c r="I9" s="119" t="n">
        <v>0.71</v>
      </c>
      <c r="J9" s="119" t="n">
        <v>-0.07</v>
      </c>
      <c r="K9" s="120" t="n">
        <f aca="false">IF(E9&lt;0,0,E9)/1000</f>
        <v>8.78</v>
      </c>
      <c r="L9" s="121" t="n">
        <f aca="false">IFERROR(H9*K9,0)*1000</f>
        <v>12440.1229785775</v>
      </c>
      <c r="M9" s="121" t="n">
        <f aca="false">207.84*K9</f>
        <v>1824.8352</v>
      </c>
      <c r="N9" s="121" t="n">
        <f aca="false">$N$61/$K$59*K9</f>
        <v>553.824113281611</v>
      </c>
      <c r="O9" s="121" t="n">
        <f aca="false">$O$61/$K$59*K9</f>
        <v>1088.72436975464</v>
      </c>
      <c r="P9" s="121" t="n">
        <f aca="false">$P$61/$K$59*K9</f>
        <v>870.316632216063</v>
      </c>
      <c r="Q9" s="121" t="n">
        <v>0</v>
      </c>
      <c r="R9" s="122" t="n">
        <v>0</v>
      </c>
      <c r="S9" s="123" t="n">
        <f aca="false">L9+M9+N9+O9</f>
        <v>15907.5066616138</v>
      </c>
      <c r="T9" s="123" t="n">
        <f aca="false">IFERROR(S9/K9,0)</f>
        <v>1811.78891362344</v>
      </c>
    </row>
    <row r="10" customFormat="false" ht="15" hidden="false" customHeight="false" outlineLevel="0" collapsed="false">
      <c r="A10" s="124" t="n">
        <v>10007969</v>
      </c>
      <c r="B10" s="124" t="s">
        <v>41</v>
      </c>
      <c r="C10" s="107" t="n">
        <v>49740</v>
      </c>
      <c r="D10" s="108" t="n">
        <v>27000</v>
      </c>
      <c r="E10" s="109" t="n">
        <v>22740</v>
      </c>
      <c r="G10" s="126" t="n">
        <v>10007969</v>
      </c>
      <c r="H10" s="117" t="n">
        <f aca="false">IFERROR(INDEX([2]Resumen!$K$3:$K$63,MATCH(G10,[2]Resumen!$C$3:$C$63,0)),0)*(1+I10*J10)/1000-51.89/1000</f>
        <v>1.36850381428571</v>
      </c>
      <c r="I10" s="119" t="n">
        <v>0.71</v>
      </c>
      <c r="J10" s="119" t="n">
        <v>-0.07</v>
      </c>
      <c r="K10" s="120" t="n">
        <f aca="false">IF(E10&lt;0,0,E10)/1000</f>
        <v>22.74</v>
      </c>
      <c r="L10" s="121" t="n">
        <f aca="false">IFERROR(H10*K10,0)*1000</f>
        <v>31119.7767368571</v>
      </c>
      <c r="M10" s="121" t="n">
        <f aca="false">207.84*K10</f>
        <v>4726.2816</v>
      </c>
      <c r="N10" s="121" t="n">
        <f aca="false">$N$61/$K$59*K10</f>
        <v>1434.39183781593</v>
      </c>
      <c r="O10" s="121" t="n">
        <f aca="false">$O$61/$K$59*K10</f>
        <v>2819.77131756499</v>
      </c>
      <c r="P10" s="121" t="n">
        <f aca="false">$P$61/$K$59*K10</f>
        <v>2254.10025245937</v>
      </c>
      <c r="Q10" s="121" t="n">
        <v>0</v>
      </c>
      <c r="R10" s="122" t="n">
        <v>0</v>
      </c>
      <c r="S10" s="123" t="n">
        <f aca="false">L10+M10+N10+O10</f>
        <v>40100.2214922381</v>
      </c>
      <c r="T10" s="123" t="n">
        <f aca="false">IFERROR(S10/K10,0)</f>
        <v>1763.42222921012</v>
      </c>
    </row>
    <row r="11" customFormat="false" ht="15" hidden="false" customHeight="false" outlineLevel="0" collapsed="false">
      <c r="A11" s="124" t="n">
        <v>10009174</v>
      </c>
      <c r="B11" s="124" t="s">
        <v>76</v>
      </c>
      <c r="C11" s="107" t="n">
        <v>0</v>
      </c>
      <c r="D11" s="108"/>
      <c r="E11" s="109" t="n">
        <v>0</v>
      </c>
      <c r="H11" s="117"/>
      <c r="J11" s="119" t="n">
        <v>-0.07</v>
      </c>
      <c r="K11" s="120" t="n">
        <f aca="false">IF(E11&lt;0,0,E11)/1000</f>
        <v>0</v>
      </c>
      <c r="L11" s="121" t="n">
        <f aca="false">IFERROR(H11*K11,0)*1000</f>
        <v>0</v>
      </c>
      <c r="M11" s="121" t="n">
        <f aca="false">207.84*K11</f>
        <v>0</v>
      </c>
      <c r="N11" s="121" t="n">
        <f aca="false">$N$61/$K$59*K11</f>
        <v>0</v>
      </c>
      <c r="O11" s="121" t="n">
        <f aca="false">$O$61/$K$59*K11</f>
        <v>0</v>
      </c>
      <c r="P11" s="121" t="n">
        <f aca="false">$P$61/$K$59*K11</f>
        <v>0</v>
      </c>
      <c r="Q11" s="121" t="n">
        <v>0</v>
      </c>
      <c r="R11" s="122" t="n">
        <v>0</v>
      </c>
      <c r="S11" s="123" t="n">
        <f aca="false">L11+M11+N11+O11</f>
        <v>0</v>
      </c>
      <c r="T11" s="123" t="n">
        <f aca="false">IFERROR(S11/K11,0)</f>
        <v>0</v>
      </c>
    </row>
    <row r="12" customFormat="false" ht="15" hidden="false" customHeight="false" outlineLevel="0" collapsed="false">
      <c r="A12" s="124" t="n">
        <v>10009175</v>
      </c>
      <c r="B12" s="124" t="s">
        <v>77</v>
      </c>
      <c r="C12" s="107" t="n">
        <v>0</v>
      </c>
      <c r="D12" s="108"/>
      <c r="E12" s="109" t="n">
        <v>0</v>
      </c>
      <c r="H12" s="117"/>
      <c r="J12" s="119" t="n">
        <v>-0.07</v>
      </c>
      <c r="K12" s="120" t="n">
        <f aca="false">IF(E12&lt;0,0,E12)/1000</f>
        <v>0</v>
      </c>
      <c r="L12" s="121" t="n">
        <f aca="false">IFERROR(H12*K12,0)*1000</f>
        <v>0</v>
      </c>
      <c r="M12" s="121" t="n">
        <f aca="false">207.84*K12</f>
        <v>0</v>
      </c>
      <c r="N12" s="121" t="n">
        <f aca="false">$N$61/$K$59*K12</f>
        <v>0</v>
      </c>
      <c r="O12" s="121" t="n">
        <f aca="false">$O$61/$K$59*K12</f>
        <v>0</v>
      </c>
      <c r="P12" s="121" t="n">
        <f aca="false">$P$61/$K$59*K12</f>
        <v>0</v>
      </c>
      <c r="Q12" s="121" t="n">
        <v>0</v>
      </c>
      <c r="R12" s="122" t="n">
        <v>0</v>
      </c>
      <c r="S12" s="123" t="n">
        <f aca="false">L12+M12+N12+O12</f>
        <v>0</v>
      </c>
      <c r="T12" s="123" t="n">
        <f aca="false">IFERROR(S12/K12,0)</f>
        <v>0</v>
      </c>
    </row>
    <row r="13" customFormat="false" ht="15" hidden="false" customHeight="false" outlineLevel="0" collapsed="false">
      <c r="A13" s="124" t="n">
        <v>10009176</v>
      </c>
      <c r="B13" s="124" t="s">
        <v>78</v>
      </c>
      <c r="C13" s="107" t="n">
        <v>0</v>
      </c>
      <c r="D13" s="108"/>
      <c r="E13" s="109" t="n">
        <v>0</v>
      </c>
      <c r="H13" s="117"/>
      <c r="J13" s="119" t="n">
        <v>-0.07</v>
      </c>
      <c r="K13" s="120" t="n">
        <f aca="false">IF(E13&lt;0,0,E13)/1000</f>
        <v>0</v>
      </c>
      <c r="L13" s="121" t="n">
        <f aca="false">IFERROR(H13*K13,0)*1000</f>
        <v>0</v>
      </c>
      <c r="M13" s="121" t="n">
        <f aca="false">207.84*K13</f>
        <v>0</v>
      </c>
      <c r="N13" s="121" t="n">
        <f aca="false">$N$61/$K$59*K13</f>
        <v>0</v>
      </c>
      <c r="O13" s="121" t="n">
        <f aca="false">$O$61/$K$59*K13</f>
        <v>0</v>
      </c>
      <c r="P13" s="121" t="n">
        <f aca="false">$P$61/$K$59*K13</f>
        <v>0</v>
      </c>
      <c r="Q13" s="121" t="n">
        <v>0</v>
      </c>
      <c r="R13" s="122" t="n">
        <v>0</v>
      </c>
      <c r="S13" s="123" t="n">
        <f aca="false">L13+M13+N13+O13</f>
        <v>0</v>
      </c>
      <c r="T13" s="123" t="n">
        <f aca="false">IFERROR(S13/K13,0)</f>
        <v>0</v>
      </c>
    </row>
    <row r="14" customFormat="false" ht="15" hidden="false" customHeight="false" outlineLevel="0" collapsed="false">
      <c r="A14" s="124" t="n">
        <v>10010003</v>
      </c>
      <c r="B14" s="124" t="s">
        <v>79</v>
      </c>
      <c r="C14" s="107" t="n">
        <v>0</v>
      </c>
      <c r="D14" s="108"/>
      <c r="E14" s="109" t="n">
        <v>0</v>
      </c>
      <c r="H14" s="117"/>
      <c r="J14" s="119" t="n">
        <v>-0.07</v>
      </c>
      <c r="K14" s="120" t="n">
        <f aca="false">IF(E14&lt;0,0,E14)/1000</f>
        <v>0</v>
      </c>
      <c r="L14" s="121" t="n">
        <f aca="false">IFERROR(H14*K14,0)*1000</f>
        <v>0</v>
      </c>
      <c r="M14" s="121" t="n">
        <f aca="false">207.84*K14</f>
        <v>0</v>
      </c>
      <c r="N14" s="121" t="n">
        <f aca="false">$N$61/$K$59*K14</f>
        <v>0</v>
      </c>
      <c r="O14" s="121" t="n">
        <f aca="false">$O$61/$K$59*K14</f>
        <v>0</v>
      </c>
      <c r="P14" s="121" t="n">
        <f aca="false">$P$61/$K$59*K14</f>
        <v>0</v>
      </c>
      <c r="Q14" s="121" t="n">
        <v>0</v>
      </c>
      <c r="R14" s="122" t="n">
        <v>0</v>
      </c>
      <c r="S14" s="123" t="n">
        <f aca="false">L14+M14+N14+O14</f>
        <v>0</v>
      </c>
      <c r="T14" s="123" t="n">
        <f aca="false">IFERROR(S14/K14,0)</f>
        <v>0</v>
      </c>
    </row>
    <row r="15" customFormat="false" ht="15" hidden="false" customHeight="false" outlineLevel="0" collapsed="false">
      <c r="A15" s="124" t="n">
        <v>10009177</v>
      </c>
      <c r="B15" s="124" t="s">
        <v>80</v>
      </c>
      <c r="C15" s="107" t="n">
        <v>0</v>
      </c>
      <c r="D15" s="108"/>
      <c r="E15" s="109" t="n">
        <v>0</v>
      </c>
      <c r="H15" s="117"/>
      <c r="J15" s="119" t="n">
        <v>-0.07</v>
      </c>
      <c r="K15" s="120" t="n">
        <f aca="false">IF(E15&lt;0,0,E15)/1000</f>
        <v>0</v>
      </c>
      <c r="L15" s="121" t="n">
        <f aca="false">IFERROR(H15*K15,0)*1000</f>
        <v>0</v>
      </c>
      <c r="M15" s="121" t="n">
        <f aca="false">207.84*K15</f>
        <v>0</v>
      </c>
      <c r="N15" s="121" t="n">
        <f aca="false">$N$61/$K$59*K15</f>
        <v>0</v>
      </c>
      <c r="O15" s="121" t="n">
        <f aca="false">$O$61/$K$59*K15</f>
        <v>0</v>
      </c>
      <c r="P15" s="121" t="n">
        <f aca="false">$P$61/$K$59*K15</f>
        <v>0</v>
      </c>
      <c r="Q15" s="121" t="n">
        <v>0</v>
      </c>
      <c r="R15" s="122" t="n">
        <v>0</v>
      </c>
      <c r="S15" s="123" t="n">
        <f aca="false">L15+M15+N15+O15</f>
        <v>0</v>
      </c>
      <c r="T15" s="123" t="n">
        <f aca="false">IFERROR(S15/K15,0)</f>
        <v>0</v>
      </c>
    </row>
    <row r="16" customFormat="false" ht="15" hidden="false" customHeight="false" outlineLevel="0" collapsed="false">
      <c r="A16" s="127" t="n">
        <v>10004433</v>
      </c>
      <c r="B16" s="127" t="s">
        <v>81</v>
      </c>
      <c r="C16" s="107" t="n">
        <v>1400</v>
      </c>
      <c r="D16" s="108"/>
      <c r="E16" s="109" t="n">
        <v>1400</v>
      </c>
      <c r="G16" s="128" t="n">
        <v>10005721</v>
      </c>
      <c r="H16" s="117" t="n">
        <f aca="false">IFERROR(INDEX([2]Resumen!$K$3:$K$63,MATCH(G16,[2]Resumen!$C$3:$C$63,0)),0)*(1+I16*J16)/1000-51.89/1000</f>
        <v>1.9845861732241</v>
      </c>
      <c r="I16" s="118" t="n">
        <v>0.67</v>
      </c>
      <c r="J16" s="119" t="n">
        <v>-0.07</v>
      </c>
      <c r="K16" s="120" t="n">
        <f aca="false">IF(E16&lt;0,0,E16)/1000</f>
        <v>1.4</v>
      </c>
      <c r="L16" s="121" t="n">
        <f aca="false">IFERROR(H16*K16,0)*1000</f>
        <v>2778.42064251374</v>
      </c>
      <c r="M16" s="121" t="n">
        <f aca="false">207.84*K16</f>
        <v>290.976</v>
      </c>
      <c r="N16" s="121" t="n">
        <f aca="false">$N$61/$K$59*K16</f>
        <v>88.3090841223525</v>
      </c>
      <c r="O16" s="121" t="n">
        <f aca="false">$O$61/$K$59*K16</f>
        <v>173.600696771811</v>
      </c>
      <c r="P16" s="121" t="n">
        <f aca="false">$P$61/$K$59*K16</f>
        <v>138.774861628985</v>
      </c>
      <c r="Q16" s="121" t="n">
        <v>0</v>
      </c>
      <c r="R16" s="122" t="n">
        <v>0</v>
      </c>
      <c r="S16" s="123" t="n">
        <f aca="false">L16+M16+N16+O16</f>
        <v>3331.3064234079</v>
      </c>
      <c r="T16" s="123" t="n">
        <f aca="false">IFERROR(S16/K16,0)</f>
        <v>2379.5045881485</v>
      </c>
    </row>
    <row r="17" customFormat="false" ht="15" hidden="false" customHeight="false" outlineLevel="0" collapsed="false">
      <c r="A17" s="127" t="n">
        <v>10004434</v>
      </c>
      <c r="B17" s="127" t="s">
        <v>82</v>
      </c>
      <c r="C17" s="107" t="n">
        <v>1940</v>
      </c>
      <c r="D17" s="108" t="n">
        <v>1940</v>
      </c>
      <c r="E17" s="109" t="n">
        <v>0</v>
      </c>
      <c r="G17" s="128" t="n">
        <v>10005721</v>
      </c>
      <c r="H17" s="117" t="n">
        <f aca="false">IFERROR(INDEX([2]Resumen!$K$3:$K$63,MATCH(G17,[2]Resumen!$C$3:$C$63,0)),0)*(1+I17*J17)/1000-51.89/1000</f>
        <v>1.9845861732241</v>
      </c>
      <c r="I17" s="119" t="n">
        <v>0.67</v>
      </c>
      <c r="J17" s="119" t="n">
        <v>-0.07</v>
      </c>
      <c r="K17" s="120" t="n">
        <f aca="false">IF(E17&lt;0,0,E17)/1000</f>
        <v>0</v>
      </c>
      <c r="L17" s="121" t="n">
        <f aca="false">IFERROR(H17*K17,0)*1000</f>
        <v>0</v>
      </c>
      <c r="M17" s="121" t="n">
        <f aca="false">207.84*K17</f>
        <v>0</v>
      </c>
      <c r="N17" s="121" t="n">
        <f aca="false">$N$61/$K$59*K17</f>
        <v>0</v>
      </c>
      <c r="O17" s="121" t="n">
        <f aca="false">$O$61/$K$59*K17</f>
        <v>0</v>
      </c>
      <c r="P17" s="121" t="n">
        <f aca="false">$P$61/$K$59*K17</f>
        <v>0</v>
      </c>
      <c r="Q17" s="121" t="n">
        <v>0</v>
      </c>
      <c r="R17" s="122" t="n">
        <v>0</v>
      </c>
      <c r="S17" s="123" t="n">
        <f aca="false">L17+M17+N17+O17</f>
        <v>0</v>
      </c>
      <c r="T17" s="123" t="n">
        <f aca="false">IFERROR(S17/K17,0)</f>
        <v>0</v>
      </c>
    </row>
    <row r="18" customFormat="false" ht="15" hidden="false" customHeight="false" outlineLevel="0" collapsed="false">
      <c r="A18" s="127" t="n">
        <v>10004435</v>
      </c>
      <c r="B18" s="127" t="s">
        <v>83</v>
      </c>
      <c r="C18" s="107" t="n">
        <v>14400</v>
      </c>
      <c r="D18" s="108"/>
      <c r="E18" s="109" t="n">
        <v>14400</v>
      </c>
      <c r="G18" s="128" t="n">
        <v>10005721</v>
      </c>
      <c r="H18" s="117" t="n">
        <f aca="false">IFERROR(INDEX([2]Resumen!$K$3:$K$63,MATCH(G18,[2]Resumen!$C$3:$C$63,0)),0)*(1+I18*J18)/1000-51.89/1000</f>
        <v>1.9845861732241</v>
      </c>
      <c r="I18" s="119" t="n">
        <v>0.67</v>
      </c>
      <c r="J18" s="119" t="n">
        <v>-0.07</v>
      </c>
      <c r="K18" s="120" t="n">
        <f aca="false">IF(E18&lt;0,0,E18)/1000</f>
        <v>14.4</v>
      </c>
      <c r="L18" s="121" t="n">
        <f aca="false">IFERROR(H18*K18,0)*1000</f>
        <v>28578.040894427</v>
      </c>
      <c r="M18" s="121" t="n">
        <f aca="false">207.84*K18</f>
        <v>2992.896</v>
      </c>
      <c r="N18" s="121" t="n">
        <f aca="false">$N$61/$K$59*K18</f>
        <v>908.322008115626</v>
      </c>
      <c r="O18" s="121" t="n">
        <f aca="false">$O$61/$K$59*K18</f>
        <v>1785.60716679577</v>
      </c>
      <c r="P18" s="121" t="n">
        <f aca="false">$P$61/$K$59*K18</f>
        <v>1427.39857675528</v>
      </c>
      <c r="Q18" s="121" t="n">
        <v>0</v>
      </c>
      <c r="R18" s="122" t="n">
        <v>0</v>
      </c>
      <c r="S18" s="123" t="n">
        <f aca="false">L18+M18+N18+O18</f>
        <v>34264.8660693384</v>
      </c>
      <c r="T18" s="123" t="n">
        <f aca="false">IFERROR(S18/K18,0)</f>
        <v>2379.5045881485</v>
      </c>
    </row>
    <row r="19" customFormat="false" ht="15" hidden="false" customHeight="false" outlineLevel="0" collapsed="false">
      <c r="A19" s="124" t="n">
        <v>10005708</v>
      </c>
      <c r="B19" s="124" t="s">
        <v>84</v>
      </c>
      <c r="C19" s="107" t="n">
        <v>1080</v>
      </c>
      <c r="D19" s="108"/>
      <c r="E19" s="109" t="n">
        <v>1080</v>
      </c>
      <c r="G19" s="128" t="n">
        <v>10005721</v>
      </c>
      <c r="H19" s="117" t="n">
        <f aca="false">IFERROR(INDEX([2]Resumen!$K$3:$K$63,MATCH(G19,[2]Resumen!$C$3:$C$63,0)),0)*(1+I19*J19)/1000-51.89/1000</f>
        <v>1.9845861732241</v>
      </c>
      <c r="I19" s="119" t="n">
        <v>0.67</v>
      </c>
      <c r="J19" s="119" t="n">
        <v>-0.07</v>
      </c>
      <c r="K19" s="120" t="n">
        <f aca="false">IF(E19&lt;0,0,E19)/1000</f>
        <v>1.08</v>
      </c>
      <c r="L19" s="121" t="n">
        <f aca="false">IFERROR(H19*K19,0)*1000</f>
        <v>2143.35306708203</v>
      </c>
      <c r="M19" s="121" t="n">
        <f aca="false">207.84*K19</f>
        <v>224.4672</v>
      </c>
      <c r="N19" s="121" t="n">
        <f aca="false">$N$61/$K$59*K19</f>
        <v>68.1241506086719</v>
      </c>
      <c r="O19" s="121" t="n">
        <f aca="false">$O$61/$K$59*K19</f>
        <v>133.920537509683</v>
      </c>
      <c r="P19" s="121" t="n">
        <f aca="false">$P$61/$K$59*K19</f>
        <v>107.054893256646</v>
      </c>
      <c r="Q19" s="121" t="n">
        <v>0</v>
      </c>
      <c r="R19" s="122" t="n">
        <v>0</v>
      </c>
      <c r="S19" s="123" t="n">
        <f aca="false">L19+M19+N19+O19</f>
        <v>2569.86495520038</v>
      </c>
      <c r="T19" s="123" t="n">
        <f aca="false">IFERROR(S19/K19,0)</f>
        <v>2379.5045881485</v>
      </c>
    </row>
    <row r="20" customFormat="false" ht="15" hidden="false" customHeight="false" outlineLevel="0" collapsed="false">
      <c r="A20" s="115" t="n">
        <v>10005721</v>
      </c>
      <c r="B20" s="115" t="s">
        <v>85</v>
      </c>
      <c r="C20" s="107" t="n">
        <v>530420</v>
      </c>
      <c r="D20" s="108"/>
      <c r="E20" s="109" t="n">
        <v>530420</v>
      </c>
      <c r="G20" s="128" t="n">
        <v>10005721</v>
      </c>
      <c r="H20" s="117" t="n">
        <f aca="false">IFERROR(INDEX([2]Resumen!$K$3:$K$63,MATCH(G20,[2]Resumen!$C$3:$C$63,0)),0)*(1+I20*J20)/1000-51.89/1000</f>
        <v>1.9845861732241</v>
      </c>
      <c r="I20" s="119" t="n">
        <v>0.67</v>
      </c>
      <c r="J20" s="119" t="n">
        <v>-0.07</v>
      </c>
      <c r="K20" s="120" t="n">
        <f aca="false">IF(E20&lt;0,0,E20)/1000</f>
        <v>530.42</v>
      </c>
      <c r="L20" s="121" t="n">
        <f aca="false">IFERROR(H20*K20,0)*1000</f>
        <v>1052664.19800153</v>
      </c>
      <c r="M20" s="121" t="n">
        <f aca="false">207.84*K20</f>
        <v>110242.4928</v>
      </c>
      <c r="N20" s="121" t="n">
        <f aca="false">$N$61/$K$59*K20</f>
        <v>33457.7888572701</v>
      </c>
      <c r="O20" s="121" t="n">
        <f aca="false">$O$61/$K$59*K20</f>
        <v>65772.3439869315</v>
      </c>
      <c r="P20" s="121" t="n">
        <f aca="false">$P$61/$K$59*K20</f>
        <v>52577.8300751759</v>
      </c>
      <c r="Q20" s="121" t="n">
        <v>0</v>
      </c>
      <c r="R20" s="122" t="n">
        <v>0</v>
      </c>
      <c r="S20" s="123" t="n">
        <f aca="false">L20+M20+N20+O20</f>
        <v>1262136.82364573</v>
      </c>
      <c r="T20" s="123" t="n">
        <f aca="false">IFERROR(S20/K20,0)</f>
        <v>2379.5045881485</v>
      </c>
    </row>
    <row r="21" customFormat="false" ht="15" hidden="false" customHeight="false" outlineLevel="0" collapsed="false">
      <c r="A21" s="124" t="n">
        <v>10005711</v>
      </c>
      <c r="B21" s="124" t="s">
        <v>86</v>
      </c>
      <c r="C21" s="107" t="n">
        <v>11340</v>
      </c>
      <c r="D21" s="108"/>
      <c r="E21" s="109" t="n">
        <v>11340</v>
      </c>
      <c r="G21" s="128" t="n">
        <v>10005721</v>
      </c>
      <c r="H21" s="117" t="n">
        <f aca="false">IFERROR(INDEX([2]Resumen!$K$3:$K$63,MATCH(G21,[2]Resumen!$C$3:$C$63,0)),0)*(1+I21*J21)/1000-51.89/1000</f>
        <v>1.9845861732241</v>
      </c>
      <c r="I21" s="119" t="n">
        <v>0.67</v>
      </c>
      <c r="J21" s="119" t="n">
        <v>-0.07</v>
      </c>
      <c r="K21" s="120" t="n">
        <f aca="false">IF(E21&lt;0,0,E21)/1000</f>
        <v>11.34</v>
      </c>
      <c r="L21" s="121" t="n">
        <f aca="false">IFERROR(H21*K21,0)*1000</f>
        <v>22505.2072043613</v>
      </c>
      <c r="M21" s="121" t="n">
        <f aca="false">207.84*K21</f>
        <v>2356.9056</v>
      </c>
      <c r="N21" s="121" t="n">
        <f aca="false">$N$61/$K$59*K21</f>
        <v>715.303581391055</v>
      </c>
      <c r="O21" s="121" t="n">
        <f aca="false">$O$61/$K$59*K21</f>
        <v>1406.16564385167</v>
      </c>
      <c r="P21" s="121" t="n">
        <f aca="false">$P$61/$K$59*K21</f>
        <v>1124.07637919478</v>
      </c>
      <c r="Q21" s="121" t="n">
        <v>0</v>
      </c>
      <c r="R21" s="122" t="n">
        <v>0</v>
      </c>
      <c r="S21" s="123" t="n">
        <f aca="false">L21+M21+N21+O21</f>
        <v>26983.582029604</v>
      </c>
      <c r="T21" s="123" t="n">
        <f aca="false">IFERROR(S21/K21,0)</f>
        <v>2379.5045881485</v>
      </c>
    </row>
    <row r="22" customFormat="false" ht="15" hidden="false" customHeight="false" outlineLevel="0" collapsed="false">
      <c r="A22" s="124" t="n">
        <v>10005718</v>
      </c>
      <c r="B22" s="124" t="s">
        <v>87</v>
      </c>
      <c r="C22" s="107" t="n">
        <v>90580</v>
      </c>
      <c r="D22" s="108" t="n">
        <v>96840</v>
      </c>
      <c r="E22" s="129" t="n">
        <v>-6260</v>
      </c>
      <c r="G22" s="128" t="n">
        <v>10005721</v>
      </c>
      <c r="H22" s="117" t="n">
        <f aca="false">IFERROR(INDEX([2]Resumen!$K$3:$K$63,MATCH(G22,[2]Resumen!$C$3:$C$63,0)),0)*(1+I22*J22)/1000-51.89/1000</f>
        <v>1.9845861732241</v>
      </c>
      <c r="I22" s="119" t="n">
        <v>0.67</v>
      </c>
      <c r="J22" s="119" t="n">
        <v>-0.07</v>
      </c>
      <c r="K22" s="120" t="n">
        <f aca="false">IF(E22&lt;0,0,E22)/1000</f>
        <v>0</v>
      </c>
      <c r="L22" s="121" t="n">
        <f aca="false">IFERROR(H22*K22,0)*1000</f>
        <v>0</v>
      </c>
      <c r="M22" s="121" t="n">
        <f aca="false">207.84*K22</f>
        <v>0</v>
      </c>
      <c r="N22" s="121" t="n">
        <f aca="false">$N$61/$K$59*K22</f>
        <v>0</v>
      </c>
      <c r="O22" s="121" t="n">
        <f aca="false">$O$61/$K$59*K22</f>
        <v>0</v>
      </c>
      <c r="P22" s="121" t="n">
        <f aca="false">$P$61/$K$59*K22</f>
        <v>0</v>
      </c>
      <c r="Q22" s="121" t="n">
        <v>0</v>
      </c>
      <c r="R22" s="122" t="n">
        <v>0</v>
      </c>
      <c r="S22" s="123" t="n">
        <f aca="false">L22+M22+N22+O22</f>
        <v>0</v>
      </c>
      <c r="T22" s="123" t="n">
        <f aca="false">IFERROR(S22/K22,0)</f>
        <v>0</v>
      </c>
    </row>
    <row r="23" customFormat="false" ht="15" hidden="false" customHeight="false" outlineLevel="0" collapsed="false">
      <c r="A23" s="130" t="n">
        <v>10009971</v>
      </c>
      <c r="B23" s="130" t="s">
        <v>88</v>
      </c>
      <c r="C23" s="107" t="n">
        <v>0</v>
      </c>
      <c r="D23" s="108"/>
      <c r="E23" s="109" t="n">
        <v>0</v>
      </c>
      <c r="G23" s="128" t="n">
        <v>10005721</v>
      </c>
      <c r="H23" s="117" t="n">
        <f aca="false">IFERROR(INDEX([2]Resumen!$K$3:$K$63,MATCH(G23,[2]Resumen!$C$3:$C$63,0)),0)*(1+I23*J23)/1000-51.89/1000</f>
        <v>1.9845861732241</v>
      </c>
      <c r="I23" s="119" t="n">
        <v>0.67</v>
      </c>
      <c r="J23" s="119" t="n">
        <v>-0.07</v>
      </c>
      <c r="K23" s="120" t="n">
        <f aca="false">IF(E23&lt;0,0,E23)/1000</f>
        <v>0</v>
      </c>
      <c r="L23" s="121" t="n">
        <f aca="false">IFERROR(H23*K23,0)*1000</f>
        <v>0</v>
      </c>
      <c r="M23" s="121" t="n">
        <f aca="false">207.84*K23</f>
        <v>0</v>
      </c>
      <c r="N23" s="121" t="n">
        <f aca="false">$N$61/$K$59*K23</f>
        <v>0</v>
      </c>
      <c r="O23" s="121" t="n">
        <f aca="false">$O$61/$K$59*K23</f>
        <v>0</v>
      </c>
      <c r="P23" s="121" t="n">
        <f aca="false">$P$61/$K$59*K23</f>
        <v>0</v>
      </c>
      <c r="Q23" s="121" t="n">
        <v>0</v>
      </c>
      <c r="R23" s="122" t="n">
        <v>0</v>
      </c>
      <c r="S23" s="123" t="n">
        <f aca="false">L23+M23+N23+O23</f>
        <v>0</v>
      </c>
      <c r="T23" s="123" t="n">
        <f aca="false">IFERROR(S23/K23,0)</f>
        <v>0</v>
      </c>
    </row>
    <row r="24" customFormat="false" ht="15" hidden="false" customHeight="false" outlineLevel="0" collapsed="false">
      <c r="A24" s="130" t="n">
        <v>10009972</v>
      </c>
      <c r="B24" s="130" t="s">
        <v>89</v>
      </c>
      <c r="C24" s="107" t="n">
        <v>20220</v>
      </c>
      <c r="D24" s="108" t="n">
        <v>20220</v>
      </c>
      <c r="E24" s="109" t="n">
        <v>0</v>
      </c>
      <c r="G24" s="128" t="n">
        <v>10005721</v>
      </c>
      <c r="H24" s="117" t="n">
        <f aca="false">IFERROR(INDEX([2]Resumen!$K$3:$K$63,MATCH(G24,[2]Resumen!$C$3:$C$63,0)),0)*(1+I24*J24)/1000-51.89/1000</f>
        <v>1.9845861732241</v>
      </c>
      <c r="I24" s="119" t="n">
        <v>0.67</v>
      </c>
      <c r="J24" s="119" t="n">
        <v>-0.07</v>
      </c>
      <c r="K24" s="120" t="n">
        <f aca="false">IF(E24&lt;0,0,E24)/1000</f>
        <v>0</v>
      </c>
      <c r="L24" s="121" t="n">
        <f aca="false">IFERROR(H24*K24,0)*1000</f>
        <v>0</v>
      </c>
      <c r="M24" s="121" t="n">
        <f aca="false">207.84*K24</f>
        <v>0</v>
      </c>
      <c r="N24" s="121" t="n">
        <f aca="false">$N$61/$K$59*K24</f>
        <v>0</v>
      </c>
      <c r="O24" s="121" t="n">
        <f aca="false">$O$61/$K$59*K24</f>
        <v>0</v>
      </c>
      <c r="P24" s="121" t="n">
        <f aca="false">$P$61/$K$59*K24</f>
        <v>0</v>
      </c>
      <c r="Q24" s="121" t="n">
        <v>0</v>
      </c>
      <c r="R24" s="122" t="n">
        <v>0</v>
      </c>
      <c r="S24" s="123" t="n">
        <f aca="false">L24+M24+N24+O24</f>
        <v>0</v>
      </c>
      <c r="T24" s="123" t="n">
        <f aca="false">IFERROR(S24/K24,0)</f>
        <v>0</v>
      </c>
    </row>
    <row r="25" customFormat="false" ht="15" hidden="false" customHeight="false" outlineLevel="0" collapsed="false">
      <c r="A25" s="130" t="n">
        <v>10010063</v>
      </c>
      <c r="B25" s="130" t="s">
        <v>90</v>
      </c>
      <c r="C25" s="107" t="n">
        <v>0</v>
      </c>
      <c r="D25" s="108" t="n">
        <v>0</v>
      </c>
      <c r="E25" s="109" t="n">
        <v>0</v>
      </c>
      <c r="G25" s="128" t="n">
        <v>10005721</v>
      </c>
      <c r="H25" s="117" t="n">
        <f aca="false">IFERROR(INDEX([2]Resumen!$K$3:$K$63,MATCH(G25,[2]Resumen!$C$3:$C$63,0)),0)*(1+I25*J25)/1000-51.89/1000</f>
        <v>1.9845861732241</v>
      </c>
      <c r="I25" s="119" t="n">
        <v>0.67</v>
      </c>
      <c r="J25" s="119" t="n">
        <v>-0.07</v>
      </c>
      <c r="K25" s="120" t="n">
        <f aca="false">IF(E25&lt;0,0,E25)/1000</f>
        <v>0</v>
      </c>
      <c r="L25" s="121" t="n">
        <f aca="false">IFERROR(H25*K25,0)*1000</f>
        <v>0</v>
      </c>
      <c r="M25" s="121" t="n">
        <f aca="false">207.84*K25</f>
        <v>0</v>
      </c>
      <c r="N25" s="121" t="n">
        <f aca="false">$N$61/$K$59*K25</f>
        <v>0</v>
      </c>
      <c r="O25" s="121" t="n">
        <f aca="false">$O$61/$K$59*K25</f>
        <v>0</v>
      </c>
      <c r="P25" s="121" t="n">
        <f aca="false">$P$61/$K$59*K25</f>
        <v>0</v>
      </c>
      <c r="Q25" s="121" t="n">
        <v>0</v>
      </c>
      <c r="R25" s="122" t="n">
        <v>0</v>
      </c>
      <c r="S25" s="123" t="n">
        <f aca="false">L25+M25+N25+O25</f>
        <v>0</v>
      </c>
      <c r="T25" s="123" t="n">
        <f aca="false">IFERROR(S25/K25,0)</f>
        <v>0</v>
      </c>
    </row>
    <row r="26" customFormat="false" ht="15" hidden="false" customHeight="false" outlineLevel="0" collapsed="false">
      <c r="A26" s="115" t="n">
        <v>10009298</v>
      </c>
      <c r="B26" s="115" t="s">
        <v>91</v>
      </c>
      <c r="C26" s="107" t="n">
        <v>3200</v>
      </c>
      <c r="D26" s="108"/>
      <c r="E26" s="109" t="n">
        <v>3200</v>
      </c>
      <c r="G26" s="128" t="n">
        <v>10005721</v>
      </c>
      <c r="H26" s="117" t="n">
        <f aca="false">IFERROR(INDEX([2]Resumen!$K$3:$K$63,MATCH(G26,[2]Resumen!$C$3:$C$63,0)),0)*(1+I26*J26)/1000-51.89/1000</f>
        <v>1.9845861732241</v>
      </c>
      <c r="I26" s="119" t="n">
        <v>0.67</v>
      </c>
      <c r="J26" s="119" t="n">
        <v>-0.07</v>
      </c>
      <c r="K26" s="120" t="n">
        <f aca="false">IF(E26&lt;0,0,E26)/1000</f>
        <v>3.2</v>
      </c>
      <c r="L26" s="121" t="n">
        <f aca="false">IFERROR(H26*K26,0)*1000</f>
        <v>6350.67575431712</v>
      </c>
      <c r="M26" s="121" t="n">
        <f aca="false">207.84*K26</f>
        <v>665.088</v>
      </c>
      <c r="N26" s="121" t="n">
        <f aca="false">$N$61/$K$59*K26</f>
        <v>201.849335136806</v>
      </c>
      <c r="O26" s="121" t="n">
        <f aca="false">$O$61/$K$59*K26</f>
        <v>396.801592621283</v>
      </c>
      <c r="P26" s="121" t="n">
        <f aca="false">$P$61/$K$59*K26</f>
        <v>317.199683723394</v>
      </c>
      <c r="Q26" s="121" t="n">
        <v>0</v>
      </c>
      <c r="R26" s="122" t="n">
        <v>0</v>
      </c>
      <c r="S26" s="123" t="n">
        <f aca="false">L26+M26+N26+O26</f>
        <v>7614.41468207521</v>
      </c>
      <c r="T26" s="123" t="n">
        <f aca="false">IFERROR(S26/K26,0)</f>
        <v>2379.5045881485</v>
      </c>
    </row>
    <row r="27" customFormat="false" ht="15" hidden="false" customHeight="false" outlineLevel="0" collapsed="false">
      <c r="A27" s="131" t="n">
        <v>10009184</v>
      </c>
      <c r="B27" s="131" t="s">
        <v>92</v>
      </c>
      <c r="C27" s="107" t="n">
        <v>93080</v>
      </c>
      <c r="D27" s="108"/>
      <c r="E27" s="109" t="n">
        <v>93080</v>
      </c>
      <c r="G27" s="132" t="n">
        <v>10005779</v>
      </c>
      <c r="H27" s="117" t="n">
        <f aca="false">IFERROR(INDEX([2]Resumen!$K$3:$K$63,MATCH(G27,[2]Resumen!$C$3:$C$63,0)),0)*(1+I27*J27)/1000-51.89/1000</f>
        <v>1.62201039563835</v>
      </c>
      <c r="I27" s="118" t="n">
        <v>0.65</v>
      </c>
      <c r="J27" s="119" t="n">
        <v>-0.07</v>
      </c>
      <c r="K27" s="120" t="n">
        <f aca="false">IF(E27&lt;0,0,E27)/1000</f>
        <v>93.08</v>
      </c>
      <c r="L27" s="121" t="n">
        <f aca="false">IFERROR(H27*K27,0)*1000</f>
        <v>150976.727626017</v>
      </c>
      <c r="M27" s="121" t="n">
        <f aca="false">207.84*K27</f>
        <v>19345.7472</v>
      </c>
      <c r="N27" s="121" t="n">
        <f aca="false">$N$61/$K$59*K27</f>
        <v>5871.29253579184</v>
      </c>
      <c r="O27" s="121" t="n">
        <f aca="false">$O$61/$K$59*K27</f>
        <v>11541.9663253716</v>
      </c>
      <c r="P27" s="121" t="n">
        <f aca="false">$P$61/$K$59*K27</f>
        <v>9226.54580030424</v>
      </c>
      <c r="Q27" s="121" t="n">
        <v>0</v>
      </c>
      <c r="R27" s="122" t="n">
        <v>0</v>
      </c>
      <c r="S27" s="123" t="n">
        <f aca="false">L27+M27+N27+O27</f>
        <v>187735.733687181</v>
      </c>
      <c r="T27" s="123" t="n">
        <f aca="false">IFERROR(S27/K27,0)</f>
        <v>2016.92881056275</v>
      </c>
    </row>
    <row r="28" customFormat="false" ht="15" hidden="false" customHeight="false" outlineLevel="0" collapsed="false">
      <c r="A28" s="124" t="n">
        <v>10009271</v>
      </c>
      <c r="B28" s="124" t="s">
        <v>93</v>
      </c>
      <c r="C28" s="107" t="n">
        <v>40100</v>
      </c>
      <c r="D28" s="108"/>
      <c r="E28" s="109" t="n">
        <v>40100</v>
      </c>
      <c r="G28" s="132" t="n">
        <v>10005779</v>
      </c>
      <c r="H28" s="117" t="n">
        <f aca="false">IFERROR(INDEX([2]Resumen!$K$3:$K$63,MATCH(G28,[2]Resumen!$C$3:$C$63,0)),0)*(1+I28*J28)/1000-51.89/1000</f>
        <v>1.62201039563835</v>
      </c>
      <c r="I28" s="119" t="n">
        <v>0.65</v>
      </c>
      <c r="J28" s="119" t="n">
        <v>-0.07</v>
      </c>
      <c r="K28" s="120" t="n">
        <f aca="false">IF(E28&lt;0,0,E28)/1000</f>
        <v>40.1</v>
      </c>
      <c r="L28" s="121" t="n">
        <f aca="false">IFERROR(H28*K28,0)*1000</f>
        <v>65042.6168650978</v>
      </c>
      <c r="M28" s="121" t="n">
        <f aca="false">207.84*K28</f>
        <v>8334.384</v>
      </c>
      <c r="N28" s="121" t="n">
        <f aca="false">$N$61/$K$59*K28</f>
        <v>2529.4244809331</v>
      </c>
      <c r="O28" s="121" t="n">
        <f aca="false">$O$61/$K$59*K28</f>
        <v>4972.41995753545</v>
      </c>
      <c r="P28" s="121" t="n">
        <f aca="false">$P$61/$K$59*K28</f>
        <v>3974.90853665879</v>
      </c>
      <c r="Q28" s="121" t="n">
        <v>0</v>
      </c>
      <c r="R28" s="122" t="n">
        <v>0</v>
      </c>
      <c r="S28" s="123" t="n">
        <f aca="false">L28+M28+N28+O28</f>
        <v>80878.8453035663</v>
      </c>
      <c r="T28" s="123" t="n">
        <f aca="false">IFERROR(S28/K28,0)</f>
        <v>2016.92881056275</v>
      </c>
    </row>
    <row r="29" customFormat="false" ht="15" hidden="false" customHeight="false" outlineLevel="0" collapsed="false">
      <c r="A29" s="124" t="n">
        <v>10009183</v>
      </c>
      <c r="B29" s="124" t="s">
        <v>94</v>
      </c>
      <c r="C29" s="107" t="n">
        <v>1040</v>
      </c>
      <c r="D29" s="108"/>
      <c r="E29" s="109" t="n">
        <v>1040</v>
      </c>
      <c r="G29" s="132" t="n">
        <v>10005779</v>
      </c>
      <c r="H29" s="117" t="n">
        <f aca="false">IFERROR(INDEX([2]Resumen!$K$3:$K$63,MATCH(G29,[2]Resumen!$C$3:$C$63,0)),0)*(1+I29*J29)/1000-51.89/1000</f>
        <v>1.62201039563835</v>
      </c>
      <c r="I29" s="119" t="n">
        <v>0.65</v>
      </c>
      <c r="J29" s="119" t="n">
        <v>-0.07</v>
      </c>
      <c r="K29" s="120" t="n">
        <f aca="false">IF(E29&lt;0,0,E29)/1000</f>
        <v>1.04</v>
      </c>
      <c r="L29" s="121" t="n">
        <f aca="false">IFERROR(H29*K29,0)*1000</f>
        <v>1686.89081146388</v>
      </c>
      <c r="M29" s="121" t="n">
        <f aca="false">207.84*K29</f>
        <v>216.1536</v>
      </c>
      <c r="N29" s="121" t="n">
        <f aca="false">$N$61/$K$59*K29</f>
        <v>65.6010339194618</v>
      </c>
      <c r="O29" s="121" t="n">
        <f aca="false">$O$61/$K$59*K29</f>
        <v>128.960517601917</v>
      </c>
      <c r="P29" s="121" t="n">
        <f aca="false">$P$61/$K$59*K29</f>
        <v>103.089897210103</v>
      </c>
      <c r="Q29" s="121" t="n">
        <v>0</v>
      </c>
      <c r="R29" s="122" t="n">
        <v>0</v>
      </c>
      <c r="S29" s="123" t="n">
        <f aca="false">L29+M29+N29+O29</f>
        <v>2097.60596298526</v>
      </c>
      <c r="T29" s="123" t="n">
        <f aca="false">IFERROR(S29/K29,0)</f>
        <v>2016.92881056275</v>
      </c>
    </row>
    <row r="30" customFormat="false" ht="15" hidden="false" customHeight="false" outlineLevel="0" collapsed="false">
      <c r="A30" s="131" t="n">
        <v>10005779</v>
      </c>
      <c r="B30" s="131" t="s">
        <v>95</v>
      </c>
      <c r="C30" s="107" t="n">
        <v>53520</v>
      </c>
      <c r="D30" s="108" t="n">
        <v>24000</v>
      </c>
      <c r="E30" s="109" t="n">
        <v>29520</v>
      </c>
      <c r="G30" s="132" t="n">
        <v>10005779</v>
      </c>
      <c r="H30" s="117" t="n">
        <f aca="false">IFERROR(INDEX([2]Resumen!$K$3:$K$63,MATCH(G30,[2]Resumen!$C$3:$C$63,0)),0)*(1+I30*J30)/1000-51.89/1000</f>
        <v>1.62201039563835</v>
      </c>
      <c r="I30" s="119" t="n">
        <v>0.65</v>
      </c>
      <c r="J30" s="119" t="n">
        <v>-0.07</v>
      </c>
      <c r="K30" s="120" t="n">
        <f aca="false">IF(E30&lt;0,0,E30)/1000</f>
        <v>29.52</v>
      </c>
      <c r="L30" s="121" t="n">
        <f aca="false">IFERROR(H30*K30,0)*1000</f>
        <v>47881.746879244</v>
      </c>
      <c r="M30" s="121" t="n">
        <f aca="false">207.84*K30</f>
        <v>6135.4368</v>
      </c>
      <c r="N30" s="121" t="n">
        <f aca="false">$N$61/$K$59*K30</f>
        <v>1862.06011663703</v>
      </c>
      <c r="O30" s="121" t="n">
        <f aca="false">$O$61/$K$59*K30</f>
        <v>3660.49469193133</v>
      </c>
      <c r="P30" s="121" t="n">
        <f aca="false">$P$61/$K$59*K30</f>
        <v>2926.16708234831</v>
      </c>
      <c r="Q30" s="121" t="n">
        <v>0</v>
      </c>
      <c r="R30" s="122" t="n">
        <v>0</v>
      </c>
      <c r="S30" s="123" t="n">
        <f aca="false">L30+M30+N30+O30</f>
        <v>59539.7384878124</v>
      </c>
      <c r="T30" s="123" t="n">
        <f aca="false">IFERROR(S30/K30,0)</f>
        <v>2016.92881056275</v>
      </c>
    </row>
    <row r="31" customFormat="false" ht="15" hidden="false" customHeight="false" outlineLevel="0" collapsed="false">
      <c r="A31" s="131" t="n">
        <v>10005776</v>
      </c>
      <c r="B31" s="131" t="s">
        <v>96</v>
      </c>
      <c r="C31" s="107" t="n">
        <v>130180</v>
      </c>
      <c r="D31" s="108" t="n">
        <v>58000</v>
      </c>
      <c r="E31" s="109" t="n">
        <v>72180</v>
      </c>
      <c r="G31" s="132" t="n">
        <v>10005779</v>
      </c>
      <c r="H31" s="117" t="n">
        <f aca="false">IFERROR(INDEX([2]Resumen!$K$3:$K$63,MATCH(G31,[2]Resumen!$C$3:$C$63,0)),0)*(1+I31*J31)/1000-51.89/1000</f>
        <v>1.62201039563835</v>
      </c>
      <c r="I31" s="119" t="n">
        <v>0.65</v>
      </c>
      <c r="J31" s="119" t="n">
        <v>-0.07</v>
      </c>
      <c r="K31" s="120" t="n">
        <f aca="false">IF(E31&lt;0,0,E31)/1000</f>
        <v>72.18</v>
      </c>
      <c r="L31" s="121" t="n">
        <f aca="false">IFERROR(H31*K31,0)*1000</f>
        <v>117076.710357176</v>
      </c>
      <c r="M31" s="121" t="n">
        <f aca="false">207.84*K31</f>
        <v>15001.8912</v>
      </c>
      <c r="N31" s="121" t="n">
        <f aca="false">$N$61/$K$59*K31</f>
        <v>4552.96406567957</v>
      </c>
      <c r="O31" s="121" t="n">
        <f aca="false">$O$61/$K$59*K31</f>
        <v>8950.35592356381</v>
      </c>
      <c r="P31" s="121" t="n">
        <f aca="false">$P$61/$K$59*K31</f>
        <v>7154.83536598582</v>
      </c>
      <c r="Q31" s="121" t="n">
        <v>0</v>
      </c>
      <c r="R31" s="122" t="n">
        <v>0</v>
      </c>
      <c r="S31" s="123" t="n">
        <f aca="false">L31+M31+N31+O31</f>
        <v>145581.921546419</v>
      </c>
      <c r="T31" s="123" t="n">
        <f aca="false">IFERROR(S31/K31,0)</f>
        <v>2016.92881056275</v>
      </c>
    </row>
    <row r="32" customFormat="false" ht="15" hidden="false" customHeight="false" outlineLevel="0" collapsed="false">
      <c r="A32" s="131" t="n">
        <v>10005781</v>
      </c>
      <c r="B32" s="131" t="s">
        <v>97</v>
      </c>
      <c r="C32" s="107" t="n">
        <v>4400</v>
      </c>
      <c r="D32" s="108" t="n">
        <v>104000</v>
      </c>
      <c r="E32" s="129" t="n">
        <v>-99600</v>
      </c>
      <c r="G32" s="132" t="n">
        <v>10005779</v>
      </c>
      <c r="H32" s="117" t="n">
        <f aca="false">IFERROR(INDEX([2]Resumen!$K$3:$K$63,MATCH(G32,[2]Resumen!$C$3:$C$63,0)),0)*(1+I32*J32)/1000-51.89/1000</f>
        <v>1.62201039563835</v>
      </c>
      <c r="I32" s="119" t="n">
        <v>0.65</v>
      </c>
      <c r="J32" s="119" t="n">
        <v>-0.07</v>
      </c>
      <c r="K32" s="120" t="n">
        <f aca="false">IF(E32&lt;0,0,E32)/1000</f>
        <v>0</v>
      </c>
      <c r="L32" s="121" t="n">
        <f aca="false">IFERROR(H32*K32,0)*1000</f>
        <v>0</v>
      </c>
      <c r="M32" s="121" t="n">
        <f aca="false">207.84*K32</f>
        <v>0</v>
      </c>
      <c r="N32" s="121" t="n">
        <f aca="false">$N$61/$K$59*K32</f>
        <v>0</v>
      </c>
      <c r="O32" s="121" t="n">
        <f aca="false">$O$61/$K$59*K32</f>
        <v>0</v>
      </c>
      <c r="P32" s="121" t="n">
        <f aca="false">$P$61/$K$59*K32</f>
        <v>0</v>
      </c>
      <c r="Q32" s="121" t="n">
        <v>0</v>
      </c>
      <c r="R32" s="122" t="n">
        <v>0</v>
      </c>
      <c r="S32" s="123" t="n">
        <f aca="false">L32+M32+N32+O32</f>
        <v>0</v>
      </c>
      <c r="T32" s="123" t="n">
        <f aca="false">IFERROR(S32/K32,0)</f>
        <v>0</v>
      </c>
    </row>
    <row r="33" customFormat="false" ht="15" hidden="false" customHeight="false" outlineLevel="0" collapsed="false">
      <c r="A33" s="133" t="n">
        <v>10007567</v>
      </c>
      <c r="B33" s="133" t="s">
        <v>98</v>
      </c>
      <c r="C33" s="107" t="n">
        <v>81600</v>
      </c>
      <c r="D33" s="108" t="n">
        <v>53000</v>
      </c>
      <c r="E33" s="109" t="n">
        <v>28600</v>
      </c>
      <c r="G33" s="134" t="n">
        <v>10007567</v>
      </c>
      <c r="H33" s="117" t="n">
        <f aca="false">IFERROR(INDEX([2]Resumen!$K$3:$K$63,MATCH(G33,[2]Resumen!$C$3:$C$63,0)),0)*(1+I33*J33)/1000-51.89/1000</f>
        <v>1.68265920704243</v>
      </c>
      <c r="I33" s="118" t="n">
        <v>0.68</v>
      </c>
      <c r="J33" s="119" t="n">
        <v>-0.07</v>
      </c>
      <c r="K33" s="120" t="n">
        <f aca="false">IF(E33&lt;0,0,E33)/1000</f>
        <v>28.6</v>
      </c>
      <c r="L33" s="121" t="n">
        <f aca="false">IFERROR(H33*K33,0)*1000</f>
        <v>48124.0533214136</v>
      </c>
      <c r="M33" s="121" t="n">
        <f aca="false">207.84*K33</f>
        <v>5944.224</v>
      </c>
      <c r="N33" s="121" t="n">
        <f aca="false">$N$61/$K$59*K33</f>
        <v>1804.0284327852</v>
      </c>
      <c r="O33" s="121" t="n">
        <f aca="false">$O$61/$K$59*K33</f>
        <v>3546.41423405272</v>
      </c>
      <c r="P33" s="121" t="n">
        <f aca="false">$P$61/$K$59*K33</f>
        <v>2834.97217327784</v>
      </c>
      <c r="Q33" s="121" t="n">
        <v>0</v>
      </c>
      <c r="R33" s="122" t="n">
        <v>0</v>
      </c>
      <c r="S33" s="123" t="n">
        <f aca="false">L33+M33+N33+O33</f>
        <v>59418.7199882515</v>
      </c>
      <c r="T33" s="123" t="n">
        <f aca="false">IFERROR(S33/K33,0)</f>
        <v>2077.57762196684</v>
      </c>
    </row>
    <row r="34" customFormat="false" ht="15" hidden="false" customHeight="false" outlineLevel="0" collapsed="false">
      <c r="A34" s="133" t="n">
        <v>10009975</v>
      </c>
      <c r="B34" s="133" t="s">
        <v>99</v>
      </c>
      <c r="C34" s="107" t="n">
        <v>32860</v>
      </c>
      <c r="D34" s="108"/>
      <c r="E34" s="109" t="n">
        <v>32860</v>
      </c>
      <c r="G34" s="134" t="n">
        <v>10007567</v>
      </c>
      <c r="H34" s="117" t="n">
        <f aca="false">IFERROR(INDEX([2]Resumen!$K$3:$K$63,MATCH(G34,[2]Resumen!$C$3:$C$63,0)),0)*(1+I34*J34)/1000-51.89/1000</f>
        <v>1.68265920704243</v>
      </c>
      <c r="I34" s="119" t="n">
        <v>0.68</v>
      </c>
      <c r="J34" s="119" t="n">
        <v>-0.07</v>
      </c>
      <c r="K34" s="120" t="n">
        <f aca="false">IF(E34&lt;0,0,E34)/1000</f>
        <v>32.86</v>
      </c>
      <c r="L34" s="121" t="n">
        <f aca="false">IFERROR(H34*K34,0)*1000</f>
        <v>55292.1815434144</v>
      </c>
      <c r="M34" s="121" t="n">
        <f aca="false">207.84*K34</f>
        <v>6829.6224</v>
      </c>
      <c r="N34" s="121" t="n">
        <f aca="false">$N$61/$K$59*K34</f>
        <v>2072.74036018607</v>
      </c>
      <c r="O34" s="121" t="n">
        <f aca="false">$O$61/$K$59*K34</f>
        <v>4074.6563542298</v>
      </c>
      <c r="P34" s="121" t="n">
        <f aca="false">$P$61/$K$59*K34</f>
        <v>3257.24425223461</v>
      </c>
      <c r="Q34" s="121" t="n">
        <v>0</v>
      </c>
      <c r="R34" s="122" t="n">
        <v>0</v>
      </c>
      <c r="S34" s="123" t="n">
        <f aca="false">L34+M34+N34+O34</f>
        <v>68269.2006578302</v>
      </c>
      <c r="T34" s="123" t="n">
        <f aca="false">IFERROR(S34/K34,0)</f>
        <v>2077.57762196684</v>
      </c>
    </row>
    <row r="35" customFormat="false" ht="15" hidden="false" customHeight="false" outlineLevel="0" collapsed="false">
      <c r="A35" s="124" t="n">
        <v>10009185</v>
      </c>
      <c r="B35" s="124" t="s">
        <v>100</v>
      </c>
      <c r="C35" s="107" t="n">
        <v>0</v>
      </c>
      <c r="D35" s="108"/>
      <c r="E35" s="109" t="n">
        <v>0</v>
      </c>
      <c r="G35" s="134" t="n">
        <v>10007162</v>
      </c>
      <c r="H35" s="117" t="n">
        <f aca="false">IFERROR(INDEX([2]Resumen!$K$3:$K$63,MATCH(G35,[2]Resumen!$C$3:$C$63,0)),0)*(1+I35*J35)/1000-51.89/1000</f>
        <v>1.74069777348021</v>
      </c>
      <c r="I35" s="119" t="n">
        <v>0.68</v>
      </c>
      <c r="J35" s="119" t="n">
        <v>-0.07</v>
      </c>
      <c r="K35" s="120" t="n">
        <f aca="false">IF(E35&lt;0,0,E35)/1000</f>
        <v>0</v>
      </c>
      <c r="L35" s="121" t="n">
        <f aca="false">IFERROR(H35*K35,0)*1000</f>
        <v>0</v>
      </c>
      <c r="M35" s="121" t="n">
        <f aca="false">207.84*K35</f>
        <v>0</v>
      </c>
      <c r="N35" s="121" t="n">
        <f aca="false">$N$61/$K$59*K35</f>
        <v>0</v>
      </c>
      <c r="O35" s="121" t="n">
        <f aca="false">$O$61/$K$59*K35</f>
        <v>0</v>
      </c>
      <c r="P35" s="121" t="n">
        <f aca="false">$P$61/$K$59*K35</f>
        <v>0</v>
      </c>
      <c r="Q35" s="121" t="n">
        <v>0</v>
      </c>
      <c r="R35" s="122" t="n">
        <v>0</v>
      </c>
      <c r="S35" s="123" t="n">
        <f aca="false">L35+M35+N35+O35</f>
        <v>0</v>
      </c>
      <c r="T35" s="123" t="n">
        <f aca="false">IFERROR(S35/K35,0)</f>
        <v>0</v>
      </c>
    </row>
    <row r="36" customFormat="false" ht="15" hidden="false" customHeight="false" outlineLevel="0" collapsed="false">
      <c r="A36" s="124" t="n">
        <v>10009186</v>
      </c>
      <c r="B36" s="124" t="s">
        <v>101</v>
      </c>
      <c r="C36" s="107" t="n">
        <v>1220</v>
      </c>
      <c r="D36" s="108"/>
      <c r="E36" s="109" t="n">
        <v>1220</v>
      </c>
      <c r="G36" s="134" t="n">
        <v>10007162</v>
      </c>
      <c r="H36" s="117" t="n">
        <f aca="false">IFERROR(INDEX([2]Resumen!$K$3:$K$63,MATCH(G36,[2]Resumen!$C$3:$C$63,0)),0)*(1+I36*J36)/1000-51.89/1000</f>
        <v>1.74069777348021</v>
      </c>
      <c r="I36" s="119" t="n">
        <v>0.68</v>
      </c>
      <c r="J36" s="119" t="n">
        <v>-0.07</v>
      </c>
      <c r="K36" s="120" t="n">
        <f aca="false">IF(E36&lt;0,0,E36)/1000</f>
        <v>1.22</v>
      </c>
      <c r="L36" s="121" t="n">
        <f aca="false">IFERROR(H36*K36,0)*1000</f>
        <v>2123.65128364586</v>
      </c>
      <c r="M36" s="121" t="n">
        <f aca="false">207.84*K36</f>
        <v>253.5648</v>
      </c>
      <c r="N36" s="121" t="n">
        <f aca="false">$N$61/$K$59*K36</f>
        <v>76.9550590209072</v>
      </c>
      <c r="O36" s="121" t="n">
        <f aca="false">$O$61/$K$59*K36</f>
        <v>151.280607186864</v>
      </c>
      <c r="P36" s="121" t="n">
        <f aca="false">$P$61/$K$59*K36</f>
        <v>120.932379419544</v>
      </c>
      <c r="Q36" s="121" t="n">
        <v>0</v>
      </c>
      <c r="R36" s="122" t="n">
        <v>0</v>
      </c>
      <c r="S36" s="123" t="n">
        <f aca="false">L36+M36+N36+O36</f>
        <v>2605.45174985363</v>
      </c>
      <c r="T36" s="123" t="n">
        <f aca="false">IFERROR(S36/K36,0)</f>
        <v>2135.61618840462</v>
      </c>
    </row>
    <row r="37" customFormat="false" ht="15" hidden="false" customHeight="false" outlineLevel="0" collapsed="false">
      <c r="A37" s="124" t="n">
        <v>10009777</v>
      </c>
      <c r="B37" s="124" t="s">
        <v>102</v>
      </c>
      <c r="C37" s="107" t="n">
        <v>13240</v>
      </c>
      <c r="D37" s="108" t="n">
        <v>54000</v>
      </c>
      <c r="E37" s="129" t="n">
        <v>-40760</v>
      </c>
      <c r="G37" s="134" t="n">
        <v>10007162</v>
      </c>
      <c r="H37" s="117" t="n">
        <f aca="false">IFERROR(INDEX([2]Resumen!$K$3:$K$63,MATCH(G37,[2]Resumen!$C$3:$C$63,0)),0)*(1+I37*J37)/1000-51.89/1000</f>
        <v>1.74069777348021</v>
      </c>
      <c r="I37" s="119" t="n">
        <v>0.68</v>
      </c>
      <c r="J37" s="119" t="n">
        <v>-0.07</v>
      </c>
      <c r="K37" s="120" t="n">
        <f aca="false">IF(E37&lt;0,0,E37)/1000</f>
        <v>0</v>
      </c>
      <c r="L37" s="121" t="n">
        <f aca="false">IFERROR(H37*K37,0)*1000</f>
        <v>0</v>
      </c>
      <c r="M37" s="121" t="n">
        <f aca="false">207.84*K37</f>
        <v>0</v>
      </c>
      <c r="N37" s="121" t="n">
        <f aca="false">$N$61/$K$59*K37</f>
        <v>0</v>
      </c>
      <c r="O37" s="121" t="n">
        <f aca="false">$O$61/$K$59*K37</f>
        <v>0</v>
      </c>
      <c r="P37" s="121" t="n">
        <f aca="false">$P$61/$K$59*K37</f>
        <v>0</v>
      </c>
      <c r="Q37" s="121" t="n">
        <v>0</v>
      </c>
      <c r="R37" s="122" t="n">
        <v>0</v>
      </c>
      <c r="S37" s="123" t="n">
        <f aca="false">L37+M37+N37+O37</f>
        <v>0</v>
      </c>
      <c r="T37" s="123" t="n">
        <f aca="false">IFERROR(S37/K37,0)</f>
        <v>0</v>
      </c>
    </row>
    <row r="38" customFormat="false" ht="15" hidden="false" customHeight="false" outlineLevel="0" collapsed="false">
      <c r="A38" s="124" t="n">
        <v>10009989</v>
      </c>
      <c r="B38" s="124" t="s">
        <v>103</v>
      </c>
      <c r="C38" s="107" t="n">
        <v>123740</v>
      </c>
      <c r="D38" s="108"/>
      <c r="E38" s="109" t="n">
        <v>123740</v>
      </c>
      <c r="G38" s="134" t="n">
        <v>10007162</v>
      </c>
      <c r="H38" s="117" t="n">
        <f aca="false">IFERROR(INDEX([2]Resumen!$K$3:$K$63,MATCH(G38,[2]Resumen!$C$3:$C$63,0)),0)*(1+I38*J38)/1000-51.89/1000</f>
        <v>1.74069777348021</v>
      </c>
      <c r="I38" s="119" t="n">
        <v>0.68</v>
      </c>
      <c r="J38" s="119" t="n">
        <v>-0.07</v>
      </c>
      <c r="K38" s="120" t="n">
        <f aca="false">IF(E38&lt;0,0,E38)/1000</f>
        <v>123.74</v>
      </c>
      <c r="L38" s="121" t="n">
        <f aca="false">IFERROR(H38*K38,0)*1000</f>
        <v>215393.942490441</v>
      </c>
      <c r="M38" s="121" t="n">
        <f aca="false">207.84*K38</f>
        <v>25718.1216</v>
      </c>
      <c r="N38" s="121" t="n">
        <f aca="false">$N$61/$K$59*K38</f>
        <v>7805.26147807135</v>
      </c>
      <c r="O38" s="121" t="n">
        <f aca="false">$O$61/$K$59*K38</f>
        <v>15343.8215846742</v>
      </c>
      <c r="P38" s="121" t="n">
        <f aca="false">$P$61/$K$59*K38</f>
        <v>12265.715269979</v>
      </c>
      <c r="Q38" s="121" t="n">
        <v>0</v>
      </c>
      <c r="R38" s="122" t="n">
        <v>0</v>
      </c>
      <c r="S38" s="123" t="n">
        <f aca="false">L38+M38+N38+O38</f>
        <v>264261.147153187</v>
      </c>
      <c r="T38" s="123" t="n">
        <f aca="false">IFERROR(S38/K38,0)</f>
        <v>2135.61618840461</v>
      </c>
    </row>
    <row r="39" customFormat="false" ht="15" hidden="false" customHeight="false" outlineLevel="0" collapsed="false">
      <c r="A39" s="135" t="n">
        <v>10009187</v>
      </c>
      <c r="B39" s="135" t="s">
        <v>104</v>
      </c>
      <c r="C39" s="107" t="n">
        <v>340</v>
      </c>
      <c r="D39" s="108"/>
      <c r="E39" s="109" t="n">
        <v>340</v>
      </c>
      <c r="G39" s="134" t="n">
        <v>10007162</v>
      </c>
      <c r="H39" s="117" t="n">
        <f aca="false">IFERROR(INDEX([2]Resumen!$K$3:$K$63,MATCH(G39,[2]Resumen!$C$3:$C$63,0)),0)*(1+I39*J39)/1000-51.89/1000</f>
        <v>1.74069777348021</v>
      </c>
      <c r="I39" s="119" t="n">
        <v>0.68</v>
      </c>
      <c r="J39" s="119" t="n">
        <v>-0.07</v>
      </c>
      <c r="K39" s="120" t="n">
        <f aca="false">IF(E39&lt;0,0,E39)/1000</f>
        <v>0.34</v>
      </c>
      <c r="L39" s="121" t="n">
        <f aca="false">IFERROR(H39*K39,0)*1000</f>
        <v>591.837242983272</v>
      </c>
      <c r="M39" s="121" t="n">
        <f aca="false">207.84*K39</f>
        <v>70.6656</v>
      </c>
      <c r="N39" s="121" t="n">
        <f aca="false">$N$61/$K$59*K39</f>
        <v>21.4464918582856</v>
      </c>
      <c r="O39" s="121" t="n">
        <f aca="false">$O$61/$K$59*K39</f>
        <v>42.1601692160113</v>
      </c>
      <c r="P39" s="121" t="n">
        <f aca="false">$P$61/$K$59*K39</f>
        <v>33.7024663956107</v>
      </c>
      <c r="Q39" s="121" t="n">
        <v>0</v>
      </c>
      <c r="R39" s="122" t="n">
        <v>0</v>
      </c>
      <c r="S39" s="123" t="n">
        <f aca="false">L39+M39+N39+O39</f>
        <v>726.109504057569</v>
      </c>
      <c r="T39" s="123" t="n">
        <f aca="false">IFERROR(S39/K39,0)</f>
        <v>2135.61618840462</v>
      </c>
    </row>
    <row r="40" customFormat="false" ht="15" hidden="false" customHeight="false" outlineLevel="0" collapsed="false">
      <c r="A40" s="135" t="n">
        <v>10007161</v>
      </c>
      <c r="B40" s="135" t="s">
        <v>105</v>
      </c>
      <c r="C40" s="107" t="n">
        <v>44740</v>
      </c>
      <c r="D40" s="108" t="n">
        <v>15680</v>
      </c>
      <c r="E40" s="109" t="n">
        <v>29060</v>
      </c>
      <c r="G40" s="134" t="n">
        <v>10007162</v>
      </c>
      <c r="H40" s="117" t="n">
        <f aca="false">IFERROR(INDEX([2]Resumen!$K$3:$K$63,MATCH(G40,[2]Resumen!$C$3:$C$63,0)),0)*(1+I40*J40)/1000-51.89/1000</f>
        <v>1.74069777348021</v>
      </c>
      <c r="I40" s="119" t="n">
        <v>0.68</v>
      </c>
      <c r="J40" s="119" t="n">
        <v>-0.07</v>
      </c>
      <c r="K40" s="120" t="n">
        <f aca="false">IF(E40&lt;0,0,E40)/1000</f>
        <v>29.06</v>
      </c>
      <c r="L40" s="121" t="n">
        <f aca="false">IFERROR(H40*K40,0)*1000</f>
        <v>50584.677297335</v>
      </c>
      <c r="M40" s="121" t="n">
        <f aca="false">207.84*K40</f>
        <v>6039.8304</v>
      </c>
      <c r="N40" s="121" t="n">
        <f aca="false">$N$61/$K$59*K40</f>
        <v>1833.04427471112</v>
      </c>
      <c r="O40" s="121" t="n">
        <f aca="false">$O$61/$K$59*K40</f>
        <v>3603.45446299202</v>
      </c>
      <c r="P40" s="121" t="n">
        <f aca="false">$P$61/$K$59*K40</f>
        <v>2880.56962781308</v>
      </c>
      <c r="Q40" s="121" t="n">
        <v>0</v>
      </c>
      <c r="R40" s="122" t="n">
        <v>0</v>
      </c>
      <c r="S40" s="123" t="n">
        <f aca="false">L40+M40+N40+O40</f>
        <v>62061.0064350381</v>
      </c>
      <c r="T40" s="123" t="n">
        <f aca="false">IFERROR(S40/K40,0)</f>
        <v>2135.61618840461</v>
      </c>
    </row>
    <row r="41" customFormat="false" ht="15" hidden="false" customHeight="false" outlineLevel="0" collapsed="false">
      <c r="A41" s="135" t="n">
        <v>10009658</v>
      </c>
      <c r="B41" s="135" t="s">
        <v>106</v>
      </c>
      <c r="C41" s="107" t="n">
        <v>2680</v>
      </c>
      <c r="D41" s="108"/>
      <c r="E41" s="109" t="n">
        <v>2680</v>
      </c>
      <c r="G41" s="134" t="n">
        <v>10007162</v>
      </c>
      <c r="H41" s="117" t="n">
        <f aca="false">IFERROR(INDEX([2]Resumen!$K$3:$K$63,MATCH(G41,[2]Resumen!$C$3:$C$63,0)),0)*(1+I41*J41)/1000-51.89/1000</f>
        <v>1.74069777348021</v>
      </c>
      <c r="I41" s="119" t="n">
        <v>0.68</v>
      </c>
      <c r="J41" s="119" t="n">
        <v>-0.07</v>
      </c>
      <c r="K41" s="120" t="n">
        <f aca="false">IF(E41&lt;0,0,E41)/1000</f>
        <v>2.68</v>
      </c>
      <c r="L41" s="121" t="n">
        <f aca="false">IFERROR(H41*K41,0)*1000</f>
        <v>4665.07003292697</v>
      </c>
      <c r="M41" s="121" t="n">
        <f aca="false">207.84*K41</f>
        <v>557.0112</v>
      </c>
      <c r="N41" s="121" t="n">
        <f aca="false">$N$61/$K$59*K41</f>
        <v>169.048818177075</v>
      </c>
      <c r="O41" s="121" t="n">
        <f aca="false">$O$61/$K$59*K41</f>
        <v>332.321333820324</v>
      </c>
      <c r="P41" s="121" t="n">
        <f aca="false">$P$61/$K$59*K41</f>
        <v>265.654735118343</v>
      </c>
      <c r="Q41" s="121" t="n">
        <v>0</v>
      </c>
      <c r="R41" s="122" t="n">
        <v>0</v>
      </c>
      <c r="S41" s="123" t="n">
        <f aca="false">L41+M41+N41+O41</f>
        <v>5723.45138492437</v>
      </c>
      <c r="T41" s="123" t="n">
        <f aca="false">IFERROR(S41/K41,0)</f>
        <v>2135.61618840461</v>
      </c>
    </row>
    <row r="42" customFormat="false" ht="15" hidden="false" customHeight="false" outlineLevel="0" collapsed="false">
      <c r="A42" s="135" t="n">
        <v>10007163</v>
      </c>
      <c r="B42" s="135" t="s">
        <v>107</v>
      </c>
      <c r="C42" s="107" t="n">
        <v>13240</v>
      </c>
      <c r="D42" s="108" t="n">
        <v>12280</v>
      </c>
      <c r="E42" s="109" t="n">
        <v>960</v>
      </c>
      <c r="G42" s="134" t="n">
        <v>10007162</v>
      </c>
      <c r="H42" s="117" t="n">
        <f aca="false">IFERROR(INDEX([2]Resumen!$K$3:$K$63,MATCH(G42,[2]Resumen!$C$3:$C$63,0)),0)*(1+I42*J42)/1000-51.89/1000</f>
        <v>1.74069777348021</v>
      </c>
      <c r="I42" s="119" t="n">
        <v>0.68</v>
      </c>
      <c r="J42" s="119" t="n">
        <v>-0.07</v>
      </c>
      <c r="K42" s="120" t="n">
        <f aca="false">IF(E42&lt;0,0,E42)/1000</f>
        <v>0.96</v>
      </c>
      <c r="L42" s="121" t="n">
        <f aca="false">IFERROR(H42*K42,0)*1000</f>
        <v>1671.069862541</v>
      </c>
      <c r="M42" s="121" t="n">
        <f aca="false">207.84*K42</f>
        <v>199.5264</v>
      </c>
      <c r="N42" s="121" t="n">
        <f aca="false">$N$61/$K$59*K42</f>
        <v>60.5548005410417</v>
      </c>
      <c r="O42" s="121" t="n">
        <f aca="false">$O$61/$K$59*K42</f>
        <v>119.040477786385</v>
      </c>
      <c r="P42" s="121" t="n">
        <f aca="false">$P$61/$K$59*K42</f>
        <v>95.1599051170183</v>
      </c>
      <c r="Q42" s="121" t="n">
        <v>0</v>
      </c>
      <c r="R42" s="122" t="n">
        <v>0</v>
      </c>
      <c r="S42" s="123" t="n">
        <f aca="false">L42+M42+N42+O42</f>
        <v>2050.19154086843</v>
      </c>
      <c r="T42" s="123" t="n">
        <f aca="false">IFERROR(S42/K42,0)</f>
        <v>2135.61618840461</v>
      </c>
    </row>
    <row r="43" customFormat="false" ht="15" hidden="false" customHeight="false" outlineLevel="0" collapsed="false">
      <c r="A43" s="135" t="n">
        <v>10007162</v>
      </c>
      <c r="B43" s="135" t="s">
        <v>108</v>
      </c>
      <c r="C43" s="107" t="n">
        <v>63680</v>
      </c>
      <c r="D43" s="108" t="n">
        <v>49720</v>
      </c>
      <c r="E43" s="109" t="n">
        <v>13960</v>
      </c>
      <c r="G43" s="134" t="n">
        <v>10007162</v>
      </c>
      <c r="H43" s="117" t="n">
        <f aca="false">IFERROR(INDEX([2]Resumen!$K$3:$K$63,MATCH(G43,[2]Resumen!$C$3:$C$63,0)),0)*(1+I43*J43)/1000-51.89/1000</f>
        <v>1.74069777348021</v>
      </c>
      <c r="I43" s="119" t="n">
        <v>0.68</v>
      </c>
      <c r="J43" s="119" t="n">
        <v>-0.07</v>
      </c>
      <c r="K43" s="120" t="n">
        <f aca="false">IF(E43&lt;0,0,E43)/1000</f>
        <v>13.96</v>
      </c>
      <c r="L43" s="121" t="n">
        <f aca="false">IFERROR(H43*K43,0)*1000</f>
        <v>24300.1409177838</v>
      </c>
      <c r="M43" s="121" t="n">
        <f aca="false">207.84*K43</f>
        <v>2901.4464</v>
      </c>
      <c r="N43" s="121" t="n">
        <f aca="false">$N$61/$K$59*K43</f>
        <v>880.567724534315</v>
      </c>
      <c r="O43" s="121" t="n">
        <f aca="false">$O$61/$K$59*K43</f>
        <v>1731.04694781035</v>
      </c>
      <c r="P43" s="121" t="n">
        <f aca="false">$P$61/$K$59*K43</f>
        <v>1383.78362024331</v>
      </c>
      <c r="Q43" s="121" t="n">
        <v>0</v>
      </c>
      <c r="R43" s="122" t="n">
        <v>0</v>
      </c>
      <c r="S43" s="123" t="n">
        <f aca="false">L43+M43+N43+O43</f>
        <v>29813.2019901284</v>
      </c>
      <c r="T43" s="123" t="n">
        <f aca="false">IFERROR(S43/K43,0)</f>
        <v>2135.61618840461</v>
      </c>
    </row>
    <row r="44" customFormat="false" ht="15" hidden="false" customHeight="false" outlineLevel="0" collapsed="false">
      <c r="A44" s="135" t="n">
        <v>10009336</v>
      </c>
      <c r="B44" s="135" t="s">
        <v>109</v>
      </c>
      <c r="C44" s="107" t="n">
        <v>16400</v>
      </c>
      <c r="D44" s="108"/>
      <c r="E44" s="109" t="n">
        <v>16400</v>
      </c>
      <c r="G44" s="136" t="n">
        <v>10009386</v>
      </c>
      <c r="H44" s="117" t="n">
        <f aca="false">IFERROR(INDEX([2]Resumen!$K$3:$K$63,MATCH(G44,[2]Resumen!$C$3:$C$63,0)),0)*(1+I44*J44)/1000-51.89/1000</f>
        <v>1.74217092686101</v>
      </c>
      <c r="I44" s="119" t="n">
        <v>0.68</v>
      </c>
      <c r="J44" s="119" t="n">
        <v>-0.07</v>
      </c>
      <c r="K44" s="120" t="n">
        <f aca="false">IF(E44&lt;0,0,E44)/1000</f>
        <v>16.4</v>
      </c>
      <c r="L44" s="121" t="n">
        <f aca="false">IFERROR(H44*K44,0)*1000</f>
        <v>28571.6032005206</v>
      </c>
      <c r="M44" s="121" t="n">
        <f aca="false">207.84*K44</f>
        <v>3408.576</v>
      </c>
      <c r="N44" s="121" t="n">
        <f aca="false">$N$61/$K$59*K44</f>
        <v>1034.47784257613</v>
      </c>
      <c r="O44" s="121" t="n">
        <f aca="false">$O$61/$K$59*K44</f>
        <v>2033.60816218407</v>
      </c>
      <c r="P44" s="121" t="n">
        <f aca="false">$P$61/$K$59*K44</f>
        <v>1625.6483790824</v>
      </c>
      <c r="Q44" s="121" t="n">
        <v>0</v>
      </c>
      <c r="R44" s="122" t="n">
        <v>0</v>
      </c>
      <c r="S44" s="123" t="n">
        <f aca="false">L44+M44+N44+O44</f>
        <v>35048.2652052808</v>
      </c>
      <c r="T44" s="123" t="n">
        <f aca="false">IFERROR(S44/K44,0)</f>
        <v>2137.08934178542</v>
      </c>
    </row>
    <row r="45" customFormat="false" ht="15" hidden="false" customHeight="false" outlineLevel="0" collapsed="false">
      <c r="A45" s="137" t="n">
        <v>10009239</v>
      </c>
      <c r="B45" s="137" t="s">
        <v>110</v>
      </c>
      <c r="C45" s="107" t="n">
        <v>48680</v>
      </c>
      <c r="D45" s="108" t="n">
        <v>215700</v>
      </c>
      <c r="E45" s="129" t="n">
        <v>-167020</v>
      </c>
      <c r="G45" s="138" t="n">
        <v>10009239</v>
      </c>
      <c r="H45" s="117" t="n">
        <f aca="false">IFERROR(INDEX([2]Resumen!$K$3:$K$63,MATCH(G45,[2]Resumen!$C$3:$C$63,0)),0)*(1+I45*J45)/1000-51.89/1000</f>
        <v>3.25487774469025</v>
      </c>
      <c r="I45" s="118" t="n">
        <v>0.56</v>
      </c>
      <c r="J45" s="119" t="n">
        <v>-0.07</v>
      </c>
      <c r="K45" s="120" t="n">
        <f aca="false">IF(E45&lt;0,0,E45)/1000</f>
        <v>0</v>
      </c>
      <c r="L45" s="121" t="n">
        <f aca="false">IFERROR(H45*K45,0)*1000</f>
        <v>0</v>
      </c>
      <c r="M45" s="121" t="n">
        <f aca="false">207.84*K45</f>
        <v>0</v>
      </c>
      <c r="N45" s="121" t="n">
        <f aca="false">$N$61/$K$59*K45</f>
        <v>0</v>
      </c>
      <c r="O45" s="121" t="n">
        <f aca="false">$O$61/$K$59*K45</f>
        <v>0</v>
      </c>
      <c r="P45" s="121" t="n">
        <f aca="false">$P$61/$K$59*K45</f>
        <v>0</v>
      </c>
      <c r="Q45" s="121" t="n">
        <v>0</v>
      </c>
      <c r="R45" s="122" t="n">
        <v>0</v>
      </c>
      <c r="S45" s="123" t="n">
        <f aca="false">L45+M45+N45+O45</f>
        <v>0</v>
      </c>
      <c r="T45" s="123" t="n">
        <f aca="false">IFERROR(S45/K45,0)</f>
        <v>0</v>
      </c>
    </row>
    <row r="46" customFormat="false" ht="15" hidden="false" customHeight="false" outlineLevel="0" collapsed="false">
      <c r="A46" s="137" t="n">
        <v>10009251</v>
      </c>
      <c r="B46" s="137" t="s">
        <v>111</v>
      </c>
      <c r="C46" s="107" t="n">
        <v>300</v>
      </c>
      <c r="D46" s="108" t="n">
        <v>300</v>
      </c>
      <c r="E46" s="109" t="n">
        <v>0</v>
      </c>
      <c r="G46" s="138" t="n">
        <v>10009239</v>
      </c>
      <c r="H46" s="117" t="n">
        <f aca="false">IFERROR(INDEX([2]Resumen!$K$3:$K$63,MATCH(G46,[2]Resumen!$C$3:$C$63,0)),0)*(1+I46*J46)/1000-51.89/1000</f>
        <v>3.25487774469025</v>
      </c>
      <c r="I46" s="118" t="n">
        <v>0.56</v>
      </c>
      <c r="J46" s="119" t="n">
        <v>-0.07</v>
      </c>
      <c r="K46" s="120" t="n">
        <f aca="false">IF(E46&lt;0,0,E46)/1000</f>
        <v>0</v>
      </c>
      <c r="L46" s="121" t="n">
        <f aca="false">IFERROR(H46*K46,0)*1000</f>
        <v>0</v>
      </c>
      <c r="M46" s="121" t="n">
        <f aca="false">207.84*K46</f>
        <v>0</v>
      </c>
      <c r="N46" s="121" t="n">
        <f aca="false">$N$61/$K$59*K46</f>
        <v>0</v>
      </c>
      <c r="O46" s="121" t="n">
        <f aca="false">$O$61/$K$59*K46</f>
        <v>0</v>
      </c>
      <c r="P46" s="121" t="n">
        <f aca="false">$P$61/$K$59*K46</f>
        <v>0</v>
      </c>
      <c r="Q46" s="121" t="n">
        <v>0</v>
      </c>
      <c r="R46" s="122" t="n">
        <v>0</v>
      </c>
      <c r="S46" s="123" t="n">
        <f aca="false">L46+M46+N46+O46</f>
        <v>0</v>
      </c>
      <c r="T46" s="123" t="n">
        <f aca="false">IFERROR(S46/K46,0)</f>
        <v>0</v>
      </c>
    </row>
    <row r="47" customFormat="false" ht="15" hidden="false" customHeight="false" outlineLevel="0" collapsed="false">
      <c r="A47" s="125" t="n">
        <v>10009241</v>
      </c>
      <c r="B47" s="125" t="s">
        <v>112</v>
      </c>
      <c r="C47" s="107" t="n">
        <v>260</v>
      </c>
      <c r="D47" s="108" t="n">
        <v>260</v>
      </c>
      <c r="E47" s="109" t="n">
        <v>0</v>
      </c>
      <c r="G47" s="139" t="n">
        <v>10009334</v>
      </c>
      <c r="H47" s="117" t="n">
        <f aca="false">IFERROR(INDEX([2]Resumen!$K$3:$K$63,MATCH(G47,[2]Resumen!$C$3:$C$63,0)),0)*(1+I47*J47)/1000-51.89/1000</f>
        <v>2.82442851148738</v>
      </c>
      <c r="I47" s="118" t="n">
        <v>0.68</v>
      </c>
      <c r="J47" s="119" t="n">
        <v>-0.07</v>
      </c>
      <c r="K47" s="120" t="n">
        <f aca="false">IF(E47&lt;0,0,E47)/1000</f>
        <v>0</v>
      </c>
      <c r="L47" s="121" t="n">
        <f aca="false">IFERROR(H47*K47,0)*1000</f>
        <v>0</v>
      </c>
      <c r="M47" s="121" t="n">
        <f aca="false">207.84*K47</f>
        <v>0</v>
      </c>
      <c r="N47" s="121" t="n">
        <f aca="false">$N$61/$K$59*K47</f>
        <v>0</v>
      </c>
      <c r="O47" s="121" t="n">
        <f aca="false">$O$61/$K$59*K47</f>
        <v>0</v>
      </c>
      <c r="P47" s="121" t="n">
        <f aca="false">$P$61/$K$59*K47</f>
        <v>0</v>
      </c>
      <c r="Q47" s="121" t="n">
        <v>0</v>
      </c>
      <c r="R47" s="122" t="n">
        <v>0</v>
      </c>
      <c r="S47" s="123" t="n">
        <f aca="false">L47+M47+N47+O47</f>
        <v>0</v>
      </c>
      <c r="T47" s="123" t="n">
        <f aca="false">IFERROR(S47/K47,0)</f>
        <v>0</v>
      </c>
    </row>
    <row r="48" customFormat="false" ht="15" hidden="false" customHeight="false" outlineLevel="0" collapsed="false">
      <c r="A48" s="125" t="n">
        <v>10009331</v>
      </c>
      <c r="B48" s="125" t="s">
        <v>113</v>
      </c>
      <c r="C48" s="107" t="n">
        <v>113198</v>
      </c>
      <c r="D48" s="108" t="n">
        <v>120824</v>
      </c>
      <c r="E48" s="129" t="n">
        <v>-7626</v>
      </c>
      <c r="G48" s="139" t="n">
        <v>10009334</v>
      </c>
      <c r="H48" s="117" t="n">
        <f aca="false">IFERROR(INDEX([2]Resumen!$K$3:$K$63,MATCH(G48,[2]Resumen!$C$3:$C$63,0)),0)*(1+I48*J48)/1000-51.89/1000</f>
        <v>2.82442851148738</v>
      </c>
      <c r="I48" s="118" t="n">
        <v>0.68</v>
      </c>
      <c r="J48" s="119" t="n">
        <v>-0.07</v>
      </c>
      <c r="K48" s="120" t="n">
        <f aca="false">IF(E48&lt;0,0,E48)/1000</f>
        <v>0</v>
      </c>
      <c r="L48" s="121" t="n">
        <f aca="false">IFERROR(H48*K48,0)*1000</f>
        <v>0</v>
      </c>
      <c r="M48" s="121" t="n">
        <f aca="false">207.84*K48</f>
        <v>0</v>
      </c>
      <c r="N48" s="121" t="n">
        <f aca="false">$N$61/$K$59*K48</f>
        <v>0</v>
      </c>
      <c r="O48" s="121" t="n">
        <f aca="false">$O$61/$K$59*K48</f>
        <v>0</v>
      </c>
      <c r="P48" s="121" t="n">
        <f aca="false">$P$61/$K$59*K48</f>
        <v>0</v>
      </c>
      <c r="Q48" s="121" t="n">
        <v>0</v>
      </c>
      <c r="R48" s="122" t="n">
        <v>0</v>
      </c>
      <c r="S48" s="123" t="n">
        <f aca="false">L48+M48+N48+O48</f>
        <v>0</v>
      </c>
      <c r="T48" s="123" t="n">
        <f aca="false">IFERROR(S48/K48,0)</f>
        <v>0</v>
      </c>
    </row>
    <row r="49" customFormat="false" ht="15" hidden="false" customHeight="false" outlineLevel="0" collapsed="false">
      <c r="A49" s="125" t="n">
        <v>10009334</v>
      </c>
      <c r="B49" s="125" t="s">
        <v>114</v>
      </c>
      <c r="C49" s="107" t="n">
        <v>14176</v>
      </c>
      <c r="D49" s="108" t="n">
        <v>14176</v>
      </c>
      <c r="E49" s="109" t="n">
        <v>0</v>
      </c>
      <c r="G49" s="139" t="n">
        <v>10009334</v>
      </c>
      <c r="H49" s="117" t="n">
        <f aca="false">IFERROR(INDEX([2]Resumen!$K$3:$K$63,MATCH(G49,[2]Resumen!$C$3:$C$63,0)),0)*(1+I49*J49)/1000-51.89/1000</f>
        <v>2.82442851148738</v>
      </c>
      <c r="I49" s="118" t="n">
        <v>0.68</v>
      </c>
      <c r="J49" s="119" t="n">
        <v>-0.07</v>
      </c>
      <c r="K49" s="120" t="n">
        <f aca="false">IF(E49&lt;0,0,E49)/1000</f>
        <v>0</v>
      </c>
      <c r="L49" s="121" t="n">
        <f aca="false">IFERROR(H49*K49,0)*1000</f>
        <v>0</v>
      </c>
      <c r="M49" s="121" t="n">
        <f aca="false">207.84*K49</f>
        <v>0</v>
      </c>
      <c r="N49" s="121" t="n">
        <f aca="false">$N$61/$K$59*K49</f>
        <v>0</v>
      </c>
      <c r="O49" s="121" t="n">
        <f aca="false">$O$61/$K$59*K49</f>
        <v>0</v>
      </c>
      <c r="P49" s="121" t="n">
        <f aca="false">$P$61/$K$59*K49</f>
        <v>0</v>
      </c>
      <c r="Q49" s="121" t="n">
        <v>0</v>
      </c>
      <c r="R49" s="122" t="n">
        <v>0</v>
      </c>
      <c r="S49" s="123" t="n">
        <f aca="false">L49+M49+N49+O49</f>
        <v>0</v>
      </c>
      <c r="T49" s="123" t="n">
        <f aca="false">IFERROR(S49/K49,0)</f>
        <v>0</v>
      </c>
    </row>
    <row r="50" customFormat="false" ht="15" hidden="false" customHeight="false" outlineLevel="0" collapsed="false">
      <c r="A50" s="124" t="n">
        <v>10007050</v>
      </c>
      <c r="B50" s="124" t="s">
        <v>115</v>
      </c>
      <c r="C50" s="107" t="n">
        <v>15700</v>
      </c>
      <c r="D50" s="108" t="n">
        <v>54000</v>
      </c>
      <c r="E50" s="129" t="n">
        <v>-38300</v>
      </c>
      <c r="G50" s="138" t="n">
        <v>10007050</v>
      </c>
      <c r="H50" s="117" t="n">
        <f aca="false">IFERROR(INDEX([2]Resumen!$K$3:$K$63,MATCH(G50,[2]Resumen!$C$3:$C$63,0)),0)*(1+I50*J50)/1000-51.89/1000</f>
        <v>1.44394595067714</v>
      </c>
      <c r="I50" s="118" t="n">
        <v>0.68</v>
      </c>
      <c r="J50" s="119" t="n">
        <v>-0.07</v>
      </c>
      <c r="K50" s="120" t="n">
        <f aca="false">IF(E50&lt;0,0,E50)/1000</f>
        <v>0</v>
      </c>
      <c r="L50" s="121" t="n">
        <f aca="false">IFERROR(H50*K50,0)*1000</f>
        <v>0</v>
      </c>
      <c r="M50" s="121" t="n">
        <f aca="false">207.84*K50</f>
        <v>0</v>
      </c>
      <c r="N50" s="121" t="n">
        <f aca="false">$N$61/$K$59*K50</f>
        <v>0</v>
      </c>
      <c r="O50" s="121" t="n">
        <f aca="false">$O$61/$K$59*K50</f>
        <v>0</v>
      </c>
      <c r="P50" s="121" t="n">
        <f aca="false">$P$61/$K$59*K50</f>
        <v>0</v>
      </c>
      <c r="Q50" s="121" t="n">
        <v>0</v>
      </c>
      <c r="R50" s="122" t="n">
        <v>0</v>
      </c>
      <c r="S50" s="123" t="n">
        <f aca="false">L50+M50+N50+O50</f>
        <v>0</v>
      </c>
      <c r="T50" s="123" t="n">
        <f aca="false">IFERROR(S50/K50,0)</f>
        <v>0</v>
      </c>
    </row>
    <row r="51" customFormat="false" ht="15" hidden="false" customHeight="false" outlineLevel="0" collapsed="false">
      <c r="A51" s="124" t="n">
        <v>10009337</v>
      </c>
      <c r="B51" s="124" t="s">
        <v>116</v>
      </c>
      <c r="C51" s="107" t="n">
        <v>57395</v>
      </c>
      <c r="D51" s="108"/>
      <c r="E51" s="109" t="n">
        <v>57395</v>
      </c>
      <c r="G51" s="138" t="n">
        <v>10007050</v>
      </c>
      <c r="H51" s="117" t="n">
        <f aca="false">IFERROR(INDEX([2]Resumen!$K$3:$K$63,MATCH(G51,[2]Resumen!$C$3:$C$63,0)),0)*(1+I51*J51)/1000-51.89/1000</f>
        <v>1.44394595067714</v>
      </c>
      <c r="I51" s="118" t="n">
        <v>0.68</v>
      </c>
      <c r="J51" s="119" t="n">
        <v>-0.07</v>
      </c>
      <c r="K51" s="120" t="n">
        <f aca="false">IF(E51&lt;0,0,E51)/1000</f>
        <v>57.395</v>
      </c>
      <c r="L51" s="121" t="n">
        <f aca="false">IFERROR(H51*K51,0)*1000</f>
        <v>82875.2778391147</v>
      </c>
      <c r="M51" s="121" t="n">
        <f aca="false">207.84*K51</f>
        <v>11928.9768</v>
      </c>
      <c r="N51" s="121" t="n">
        <f aca="false">$N$61/$K$59*K51</f>
        <v>3620.3570594303</v>
      </c>
      <c r="O51" s="121" t="n">
        <f aca="false">$O$61/$K$59*K51</f>
        <v>7117.00856515579</v>
      </c>
      <c r="P51" s="121" t="n">
        <f aca="false">$P$61/$K$59*K51</f>
        <v>5689.27370228257</v>
      </c>
      <c r="Q51" s="121" t="n">
        <v>0</v>
      </c>
      <c r="R51" s="122" t="n">
        <v>0</v>
      </c>
      <c r="S51" s="123" t="n">
        <f aca="false">L51+M51+N51+O51</f>
        <v>105541.620263701</v>
      </c>
      <c r="T51" s="123" t="n">
        <f aca="false">IFERROR(S51/K51,0)</f>
        <v>1838.86436560155</v>
      </c>
    </row>
    <row r="52" customFormat="false" ht="15" hidden="false" customHeight="false" outlineLevel="0" collapsed="false">
      <c r="A52" s="124" t="n">
        <v>10009332</v>
      </c>
      <c r="B52" s="124" t="s">
        <v>117</v>
      </c>
      <c r="C52" s="107" t="n">
        <v>45930</v>
      </c>
      <c r="D52" s="108"/>
      <c r="E52" s="109" t="n">
        <v>45930</v>
      </c>
      <c r="G52" s="138" t="n">
        <v>10007050</v>
      </c>
      <c r="H52" s="117" t="n">
        <f aca="false">IFERROR(INDEX([2]Resumen!$K$3:$K$63,MATCH(G52,[2]Resumen!$C$3:$C$63,0)),0)*(1+I52*J52)/1000-51.89/1000</f>
        <v>1.44394595067714</v>
      </c>
      <c r="I52" s="118" t="n">
        <v>0.68</v>
      </c>
      <c r="J52" s="119" t="n">
        <v>-0.07</v>
      </c>
      <c r="K52" s="120" t="n">
        <f aca="false">IF(E52&lt;0,0,E52)/1000</f>
        <v>45.93</v>
      </c>
      <c r="L52" s="121" t="n">
        <f aca="false">IFERROR(H52*K52,0)*1000</f>
        <v>66320.4375146012</v>
      </c>
      <c r="M52" s="121" t="n">
        <f aca="false">207.84*K52</f>
        <v>9546.0912</v>
      </c>
      <c r="N52" s="121" t="n">
        <f aca="false">$N$61/$K$59*K52</f>
        <v>2897.16873838546</v>
      </c>
      <c r="O52" s="121" t="n">
        <f aca="false">$O$61/$K$59*K52</f>
        <v>5695.34285909235</v>
      </c>
      <c r="P52" s="121" t="n">
        <f aca="false">$P$61/$K$59*K52</f>
        <v>4552.80671044235</v>
      </c>
      <c r="Q52" s="121" t="n">
        <v>0</v>
      </c>
      <c r="R52" s="122" t="n">
        <v>0</v>
      </c>
      <c r="S52" s="123" t="n">
        <f aca="false">L52+M52+N52+O52</f>
        <v>84459.040312079</v>
      </c>
      <c r="T52" s="123" t="n">
        <f aca="false">IFERROR(S52/K52,0)</f>
        <v>1838.86436560155</v>
      </c>
    </row>
    <row r="53" customFormat="false" ht="15" hidden="false" customHeight="false" outlineLevel="0" collapsed="false">
      <c r="A53" s="140" t="n">
        <v>10007152</v>
      </c>
      <c r="B53" s="124" t="s">
        <v>118</v>
      </c>
      <c r="C53" s="107" t="n">
        <v>0</v>
      </c>
      <c r="D53" s="108"/>
      <c r="E53" s="109" t="n">
        <v>0</v>
      </c>
      <c r="K53" s="120"/>
      <c r="L53" s="121"/>
      <c r="M53" s="121"/>
      <c r="N53" s="121"/>
      <c r="O53" s="121"/>
      <c r="P53" s="121"/>
      <c r="Q53" s="121" t="n">
        <v>0</v>
      </c>
      <c r="R53" s="122" t="n">
        <v>0</v>
      </c>
      <c r="S53" s="123" t="n">
        <f aca="false">L53+M53+N53+O53</f>
        <v>0</v>
      </c>
      <c r="T53" s="123" t="n">
        <f aca="false">IFERROR(S53/K53,0)</f>
        <v>0</v>
      </c>
    </row>
    <row r="54" customFormat="false" ht="15" hidden="false" customHeight="false" outlineLevel="0" collapsed="false">
      <c r="A54" s="140" t="n">
        <v>10007151</v>
      </c>
      <c r="B54" s="124" t="s">
        <v>119</v>
      </c>
      <c r="C54" s="107" t="n">
        <v>0</v>
      </c>
      <c r="D54" s="108"/>
      <c r="E54" s="109" t="n">
        <v>0</v>
      </c>
      <c r="K54" s="120"/>
      <c r="L54" s="121"/>
      <c r="M54" s="121"/>
      <c r="N54" s="121"/>
      <c r="O54" s="121"/>
      <c r="P54" s="121"/>
      <c r="Q54" s="121" t="n">
        <v>0</v>
      </c>
      <c r="R54" s="122" t="n">
        <v>0</v>
      </c>
      <c r="S54" s="123" t="n">
        <f aca="false">L54+M54+N54+O54</f>
        <v>0</v>
      </c>
      <c r="T54" s="123" t="n">
        <f aca="false">IFERROR(S54/K54,0)</f>
        <v>0</v>
      </c>
    </row>
    <row r="55" customFormat="false" ht="15" hidden="false" customHeight="false" outlineLevel="0" collapsed="false">
      <c r="A55" s="140" t="n">
        <v>10007051</v>
      </c>
      <c r="B55" s="124" t="s">
        <v>120</v>
      </c>
      <c r="C55" s="107" t="n">
        <v>0</v>
      </c>
      <c r="D55" s="108"/>
      <c r="E55" s="109" t="n">
        <v>0</v>
      </c>
      <c r="K55" s="120"/>
      <c r="L55" s="121"/>
      <c r="M55" s="121"/>
      <c r="N55" s="121"/>
      <c r="O55" s="121"/>
      <c r="P55" s="121"/>
      <c r="Q55" s="121" t="n">
        <v>0</v>
      </c>
      <c r="R55" s="122" t="n">
        <v>0</v>
      </c>
      <c r="S55" s="123" t="n">
        <f aca="false">L55+M55+N55+O55</f>
        <v>0</v>
      </c>
      <c r="T55" s="123" t="n">
        <f aca="false">IFERROR(S55/K55,0)</f>
        <v>0</v>
      </c>
    </row>
    <row r="56" customFormat="false" ht="15" hidden="false" customHeight="false" outlineLevel="0" collapsed="false">
      <c r="A56" s="140" t="n">
        <v>10009650</v>
      </c>
      <c r="B56" s="124" t="s">
        <v>121</v>
      </c>
      <c r="C56" s="107" t="n">
        <v>184620</v>
      </c>
      <c r="D56" s="108"/>
      <c r="E56" s="109" t="n">
        <f aca="false">+C56</f>
        <v>184620</v>
      </c>
      <c r="K56" s="120"/>
      <c r="L56" s="121"/>
      <c r="M56" s="121"/>
      <c r="N56" s="121"/>
      <c r="O56" s="121"/>
      <c r="P56" s="121"/>
      <c r="Q56" s="121" t="n">
        <v>0</v>
      </c>
      <c r="R56" s="122" t="n">
        <v>0</v>
      </c>
      <c r="S56" s="123" t="n">
        <f aca="false">L56+M56+N56+O56</f>
        <v>0</v>
      </c>
      <c r="T56" s="123" t="n">
        <f aca="false">IFERROR(S56/K56,0)</f>
        <v>0</v>
      </c>
    </row>
    <row r="57" customFormat="false" ht="15" hidden="false" customHeight="false" outlineLevel="0" collapsed="false">
      <c r="A57" s="140" t="n">
        <v>10009828</v>
      </c>
      <c r="B57" s="124" t="s">
        <v>122</v>
      </c>
      <c r="C57" s="107" t="n">
        <v>0</v>
      </c>
      <c r="D57" s="108"/>
      <c r="E57" s="109" t="n">
        <v>0</v>
      </c>
      <c r="K57" s="120"/>
      <c r="L57" s="121"/>
      <c r="M57" s="121"/>
      <c r="N57" s="121"/>
      <c r="O57" s="121"/>
      <c r="P57" s="121"/>
      <c r="Q57" s="121" t="n">
        <v>0</v>
      </c>
      <c r="R57" s="122" t="n">
        <v>0</v>
      </c>
      <c r="S57" s="123" t="n">
        <f aca="false">L57+M57+N57+O57</f>
        <v>0</v>
      </c>
      <c r="T57" s="123" t="n">
        <f aca="false">IFERROR(S57/K57,0)</f>
        <v>0</v>
      </c>
    </row>
    <row r="58" customFormat="false" ht="15" hidden="false" customHeight="false" outlineLevel="0" collapsed="false">
      <c r="A58" s="141"/>
      <c r="B58" s="127" t="s">
        <v>123</v>
      </c>
      <c r="C58" s="107" t="n">
        <v>0</v>
      </c>
      <c r="D58" s="108"/>
      <c r="E58" s="109" t="n">
        <v>0</v>
      </c>
      <c r="K58" s="120"/>
      <c r="L58" s="121"/>
      <c r="M58" s="121"/>
      <c r="N58" s="121"/>
      <c r="O58" s="121"/>
      <c r="P58" s="121"/>
      <c r="Q58" s="121" t="n">
        <v>0</v>
      </c>
      <c r="R58" s="122" t="n">
        <v>0</v>
      </c>
      <c r="S58" s="123" t="n">
        <f aca="false">L58+M58+N58+O58</f>
        <v>0</v>
      </c>
      <c r="T58" s="123" t="n">
        <f aca="false">IFERROR(S58/K58,0)</f>
        <v>0</v>
      </c>
    </row>
    <row r="59" customFormat="false" ht="15" hidden="false" customHeight="false" outlineLevel="0" collapsed="false">
      <c r="A59" s="142"/>
      <c r="B59" s="142"/>
      <c r="C59" s="107"/>
      <c r="D59" s="108"/>
      <c r="E59" s="109"/>
      <c r="K59" s="143" t="n">
        <f aca="false">SUM(K2:K58)</f>
        <v>1245.745</v>
      </c>
      <c r="L59" s="144" t="n">
        <f aca="false">SUM(L2:L58)</f>
        <v>2240969.2442677</v>
      </c>
      <c r="M59" s="144" t="n">
        <f aca="false">SUM(M2:M58)</f>
        <v>258915.6408</v>
      </c>
      <c r="N59" s="144" t="n">
        <f aca="false">SUM(N2:N58)</f>
        <v>78579</v>
      </c>
      <c r="O59" s="144" t="n">
        <f aca="false">SUM(O2:O58)</f>
        <v>154473</v>
      </c>
      <c r="P59" s="144" t="n">
        <f aca="false">SUM(P2:P58)</f>
        <v>123484.35</v>
      </c>
      <c r="Q59" s="144" t="n">
        <f aca="false">SUM(Q2:Q58)</f>
        <v>0</v>
      </c>
      <c r="R59" s="145" t="n">
        <v>0</v>
      </c>
      <c r="S59" s="146" t="n">
        <f aca="false">SUM(S2:S58)</f>
        <v>2732936.8850677</v>
      </c>
      <c r="T59" s="146" t="n">
        <f aca="false">IFERROR(S59/K59,0)</f>
        <v>2193.81726201405</v>
      </c>
    </row>
    <row r="61" customFormat="false" ht="15" hidden="false" customHeight="false" outlineLevel="0" collapsed="false">
      <c r="M61" s="105" t="s">
        <v>124</v>
      </c>
      <c r="N61" s="144" t="n">
        <v>78579</v>
      </c>
      <c r="O61" s="144" t="n">
        <v>154473</v>
      </c>
      <c r="P61" s="144" t="n">
        <v>123484.35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2026-06-15T15:03:25Z</dcterms:created>
  <dc:creator>Jerecson Frank Ali Encalada (PFRO)</dc:creator>
  <dc:description/>
  <dc:language>es-ES</dc:language>
  <cp:lastModifiedBy/>
  <dcterms:modified xsi:type="dcterms:W3CDTF">2026-06-16T01:08:36Z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