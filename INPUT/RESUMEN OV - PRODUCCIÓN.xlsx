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ydukcorporacion-my.sharepoint.com/personal/asisprod_perufrost_com/Documents/ANTHONYGB/CONTROL/"/>
    </mc:Choice>
  </mc:AlternateContent>
  <xr:revisionPtr revIDLastSave="65" documentId="8_{694A3090-A93E-4CBB-8397-34E4900102E0}" xr6:coauthVersionLast="47" xr6:coauthVersionMax="47" xr10:uidLastSave="{FBB9E885-564B-4141-B403-AE8A9CEBCC2C}"/>
  <bookViews>
    <workbookView xWindow="-108" yWindow="-108" windowWidth="23256" windowHeight="12456" xr2:uid="{A1C5962C-BA26-483B-B392-E578514EA32D}"/>
  </bookViews>
  <sheets>
    <sheet name="OV" sheetId="1" r:id="rId1"/>
  </sheets>
  <externalReferences>
    <externalReference r:id="rId2"/>
  </externalReferences>
  <definedNames>
    <definedName name="ESPECIE_EXT">[1]!PARAM_ESPECIE_EXT[ESPECIE]</definedName>
    <definedName name="ID_ESPECIE">#REF!</definedName>
    <definedName name="ID_MONEDA">#REF!</definedName>
    <definedName name="ID_OPE">#REF!</definedName>
    <definedName name="ID_OV">#REF!</definedName>
    <definedName name="ID_PROCESO">#REF!</definedName>
    <definedName name="ID_SERVICIOS">#REF!</definedName>
    <definedName name="ID_USUARIO">#REF!</definedName>
    <definedName name="LIST_SERVICES">[1]!PARAM_SERVICIO_EXT[SERVICIO]</definedName>
    <definedName name="MONEDA_EXT">#REF!</definedName>
    <definedName name="OPERACIÓN">#REF!</definedName>
    <definedName name="PROCESO">#REF!</definedName>
    <definedName name="PROCESO_EXT">[1]!PARAM_PROCESO_EXT[PROCESO]</definedName>
    <definedName name="USUARIO">#REF!</definedName>
    <definedName name="USUARIO_EXT">[1]!PARAM_USUARIO_EXT[USUARIO]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" i="1" l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<sst xmlns="http://schemas.openxmlformats.org/spreadsheetml/2006/main" count="173" uniqueCount="64">
  <si>
    <t>ORDENES DE VENTA</t>
  </si>
  <si>
    <t>ACTUALIZADO:</t>
  </si>
  <si>
    <t>FP</t>
  </si>
  <si>
    <t>PRODUCTO</t>
  </si>
  <si>
    <t>PAÍS</t>
  </si>
  <si>
    <t>CLIENTE</t>
  </si>
  <si>
    <t>ESTADO</t>
  </si>
  <si>
    <t>NAVIERA</t>
  </si>
  <si>
    <t>NAVE</t>
  </si>
  <si>
    <t>FECHA RESERVA</t>
  </si>
  <si>
    <t xml:space="preserve">N° FCL </t>
  </si>
  <si>
    <t>TN</t>
  </si>
  <si>
    <t>CHINA</t>
  </si>
  <si>
    <t>PACKING</t>
  </si>
  <si>
    <t>POTA ALAS FR CONGELADA</t>
  </si>
  <si>
    <t>POTA FILETE FR CONGELADA</t>
  </si>
  <si>
    <t>198-2026</t>
  </si>
  <si>
    <t>LONGKOU JIABAO AQUATIC</t>
  </si>
  <si>
    <t>ESPAÑA</t>
  </si>
  <si>
    <t>221-2026</t>
  </si>
  <si>
    <t xml:space="preserve">JAPÓN </t>
  </si>
  <si>
    <t>TSUJINO</t>
  </si>
  <si>
    <t>222-2026</t>
  </si>
  <si>
    <t>KULALIA</t>
  </si>
  <si>
    <t>TAILANDIA</t>
  </si>
  <si>
    <t>224-2026</t>
  </si>
  <si>
    <t>ANTAI HONGCHANG</t>
  </si>
  <si>
    <t>POTA REJOS FR CONGELADA</t>
  </si>
  <si>
    <t>POTA FILETE CONGELADO</t>
  </si>
  <si>
    <t>PENDIENTE</t>
  </si>
  <si>
    <t>POTA ALAS PC</t>
  </si>
  <si>
    <t>219-2026</t>
  </si>
  <si>
    <t>KOREA</t>
  </si>
  <si>
    <t>NINGBO JUN TAO</t>
  </si>
  <si>
    <t>226-2026</t>
  </si>
  <si>
    <t>232-2026</t>
  </si>
  <si>
    <t>SHENZHEN YUESHI SUPLLY</t>
  </si>
  <si>
    <t>Total general</t>
  </si>
  <si>
    <t>LONGKOU SANMING</t>
  </si>
  <si>
    <t>POTA ALAS COCIDAS</t>
  </si>
  <si>
    <t>BOOKING</t>
  </si>
  <si>
    <t>-</t>
  </si>
  <si>
    <t>237-2026</t>
  </si>
  <si>
    <t>244-2026</t>
  </si>
  <si>
    <t>POTA FILETE FR Y NUCAS FR</t>
  </si>
  <si>
    <t>JAPON</t>
  </si>
  <si>
    <t>243-2026</t>
  </si>
  <si>
    <t>POTA NUCAS FR CONGELADA</t>
  </si>
  <si>
    <t>PELAGICS INTERNATIONAL</t>
  </si>
  <si>
    <t>POTA ALAS PC CONGELADA</t>
  </si>
  <si>
    <t>242-2026</t>
  </si>
  <si>
    <t>KS FROZEN COMPANY</t>
  </si>
  <si>
    <t>245-2026</t>
  </si>
  <si>
    <t>POTA FILETE DARUMA</t>
  </si>
  <si>
    <t>POTA FILETE PC CONGELADA</t>
  </si>
  <si>
    <t>ONE</t>
  </si>
  <si>
    <t>ECO MARIN 26024S</t>
  </si>
  <si>
    <t>LIMG09468700</t>
  </si>
  <si>
    <t>LIMG09466500</t>
  </si>
  <si>
    <t>ECO SIROCCO 26023N</t>
  </si>
  <si>
    <t>LIMG09469800</t>
  </si>
  <si>
    <t>246-2026</t>
  </si>
  <si>
    <t>POTA CONO FR CONGELADA</t>
  </si>
  <si>
    <t>SERENE OCEAN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</si>
</sst>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_-* #,##0.0000_-;\-* #,##0.0000_-;_-* &quot;-&quot;????_-;_-@_-"/>
    <numFmt numFmtId="165" formatCode="#,##0.00_ ;\-#,##0.00\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0"/>
      <color theme="0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0"/>
      <color theme="1"/>
      <name val="Calibri"/>
      <family val="2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64" fontId="5" fillId="0" borderId="0" xfId="0" applyNumberFormat="1" applyFont="1" applyAlignment="1">
      <alignment horizontal="left" vertical="center"/>
    </xf>
    <xf numFmtId="43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6" fillId="2" borderId="0" xfId="0" applyFont="1" applyFill="1"/>
    <xf numFmtId="43" fontId="6" fillId="2" borderId="0" xfId="0" applyNumberFormat="1" applyFont="1" applyFill="1"/>
    <xf numFmtId="165" fontId="6" fillId="2" borderId="0" xfId="0" applyNumberFormat="1" applyFont="1" applyFill="1"/>
    <xf numFmtId="14" fontId="6" fillId="2" borderId="0" xfId="0" applyNumberFormat="1" applyFont="1" applyFill="1"/>
    <xf numFmtId="14" fontId="5" fillId="0" borderId="0" xfId="0" applyNumberFormat="1" applyFont="1" applyAlignment="1">
      <alignment horizontal="left" vertical="center"/>
    </xf>
    <xf numFmtId="164" fontId="3" fillId="2" borderId="0" xfId="0" applyNumberFormat="1" applyFont="1" applyFill="1" applyAlignment="1">
      <alignment horizontal="right" vertical="center"/>
    </xf>
    <xf numFmtId="0" fontId="0" fillId="0" borderId="0" xfId="0" applyAlignment="1">
      <alignment horizontal="right"/>
    </xf>
    <xf numFmtId="0" fontId="6" fillId="2" borderId="0" xfId="0" applyFont="1" applyFill="1" applyAlignment="1">
      <alignment horizontal="right"/>
    </xf>
    <xf numFmtId="0" fontId="5" fillId="0" borderId="0" xfId="0" applyFont="1" applyAlignment="1">
      <alignment horizontal="right" vertical="center"/>
    </xf>
    <xf numFmtId="0" fontId="7" fillId="2" borderId="0" xfId="0" applyFont="1" applyFill="1" applyAlignment="1">
      <alignment horizontal="center" vertical="center"/>
    </xf>
    <xf numFmtId="14" fontId="7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</cellXfs>
  <cellStyles count="2">
    <cellStyle name="Millares 2" xfId="1" xr:uid="{7DCB591F-3BD7-4DEC-B5EF-0E501760798E}"/>
    <cellStyle name="Normal" xfId="0" builtinId="0"/>
  </cellStyles>
  <dxfs count="24">
    <dxf>
      <fill>
        <patternFill>
          <bgColor theme="5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rgb="FFFFFF00"/>
        </patternFill>
      </fill>
    </dxf>
    <dxf>
      <numFmt numFmtId="165" formatCode="#,##0.00_ ;\-#,##0.00\ "/>
    </dxf>
    <dxf>
      <numFmt numFmtId="35" formatCode="_-* #,##0.00_-;\-* #,##0.00_-;_-* &quot;-&quot;??_-;_-@_-"/>
    </dxf>
    <dxf>
      <numFmt numFmtId="19" formatCode="d/mm/yyyy"/>
    </dxf>
    <dxf>
      <alignment horizontal="right" textRotation="0" wrapText="0" indent="0" justifyLastLine="0" shrinkToFit="0" readingOrder="0"/>
    </dxf>
    <dxf>
      <font>
        <b/>
      </font>
      <fill>
        <patternFill patternType="solid">
          <fgColor indexed="64"/>
          <bgColor rgb="FF002060"/>
        </patternFill>
      </fill>
      <alignment horizontal="center" vertical="center" textRotation="0" indent="0" justifyLastLine="0" shrinkToFit="0" readingOrder="0"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color theme="1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color theme="0"/>
      </font>
      <fill>
        <patternFill>
          <fgColor rgb="FF002060"/>
          <bgColor rgb="FF002060"/>
        </patternFill>
      </fill>
      <border>
        <left style="double">
          <color theme="1"/>
        </left>
        <right style="double">
          <color theme="1"/>
        </right>
        <top style="double">
          <color theme="1"/>
        </top>
        <bottom style="double">
          <color theme="1"/>
        </bottom>
        <vertical style="double">
          <color theme="1"/>
        </vertical>
        <horizontal style="double">
          <color theme="1"/>
        </horizontal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border>
        <top style="thin">
          <color theme="1"/>
        </top>
        <bottom style="thin">
          <color theme="1"/>
        </bottom>
      </border>
    </dxf>
    <dxf>
      <fill>
        <patternFill patternType="none"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none">
          <fgColor indexed="64"/>
          <bgColor auto="1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ill>
        <patternFill patternType="solid">
          <fgColor theme="0" tint="-0.14999847407452621"/>
          <bgColor theme="0" tint="-0.14999847407452621"/>
        </patternFill>
      </fill>
      <border>
        <top style="thin">
          <color theme="0" tint="-0.249977111117893"/>
        </top>
        <bottom style="thin">
          <color theme="0" tint="-0.249977111117893"/>
        </bottom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  <dxf>
      <font>
        <color theme="1"/>
      </font>
      <fill>
        <patternFill patternType="none">
          <fgColor indexed="64"/>
          <bgColor auto="1"/>
        </patternFill>
      </fill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</dxf>
  </dxfs>
  <tableStyles count="2" defaultTableStyle="TableStyleMedium2" defaultPivotStyle="PivotStyleLight16">
    <tableStyle name="TD" table="0" count="7" xr9:uid="{B1ADD2D1-CFDC-4790-B1D4-2D2E05E40723}">
      <tableStyleElement type="wholeTable" dxfId="23"/>
      <tableStyleElement type="headerRow" dxfId="22"/>
      <tableStyleElement type="totalRow" dxfId="21"/>
      <tableStyleElement type="firstRowStripe" dxfId="20"/>
      <tableStyleElement type="firstColumnStripe" dxfId="19"/>
      <tableStyleElement type="pageFieldLabels" dxfId="18"/>
      <tableStyleElement type="pageFieldValues" dxfId="17"/>
    </tableStyle>
    <tableStyle name="TM" pivot="0" count="9" xr9:uid="{049F88AA-2FCF-4E95-80D2-6984626EE1AB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secondRowStripe" dxfId="10"/>
      <tableStyleElement type="firstColumnStripe" dxfId="9"/>
      <tableStyleElement type="secondColumnStripe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haydukcorporacion-my.sharepoint.com/personal/asisprod_perufrost_com/Documents/ANTHONYGB/CONTROL/CONTROL.xlsm" TargetMode="External"/><Relationship Id="rId1" Type="http://schemas.openxmlformats.org/officeDocument/2006/relationships/externalLinkPath" Target="CONTROL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P"/>
      <sheetName val="PPTT"/>
      <sheetName val="DETALLE_OV"/>
      <sheetName val="CONTROL"/>
      <sheetName val="PARTE DÍA"/>
      <sheetName val="PARTE SEMANA"/>
      <sheetName val="BALANCES"/>
      <sheetName val="PROYECCIONES"/>
      <sheetName val="SERVICIOS"/>
      <sheetName val="COSTEO"/>
      <sheetName val="REPORTES"/>
      <sheetName val="OV"/>
      <sheetName val="PL"/>
      <sheetName val="CUADRE SAP"/>
      <sheetName val="BD_KG"/>
      <sheetName val="SBA"/>
      <sheetName val="REPROCES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F3C0C2A7-8CB7-4ADC-8CA1-85F6B5624A5C}"/>
</namedSheetView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0FF696-8C05-40A7-8014-CEBE09F2E4E9}" name="Tabla1" displayName="Tabla1" ref="A3:K22" totalsRowShown="0" headerRowDxfId="7">
  <autoFilter ref="A3:K22" xr:uid="{C30FF696-8C05-40A7-8014-CEBE09F2E4E9}"/>
  <tableColumns count="11">
    <tableColumn id="1" xr3:uid="{B97A6C3D-5994-4A37-A097-77884EF5C82D}" name="ESTADO"/>
    <tableColumn id="2" xr3:uid="{7046D883-3635-4C83-98E1-456CF81AC3E4}" name="FP"/>
    <tableColumn id="3" xr3:uid="{69028C7E-EE1F-4DCD-9705-AA2035AAFA39}" name="PRODUCTO"/>
    <tableColumn id="4" xr3:uid="{4803BDF2-B4E6-4FDC-BD36-E28089DB4A0D}" name="PAÍS"/>
    <tableColumn id="5" xr3:uid="{2C5DDC8A-2753-459F-9B5E-CA1B2E3AB73E}" name="CLIENTE"/>
    <tableColumn id="6" xr3:uid="{18411DC6-9AEC-4C58-B7C4-4A1E873E4939}" name="NAVIERA"/>
    <tableColumn id="7" xr3:uid="{6CFA8179-4CDF-47DE-BB2B-EB1A1AD3379B}" name="NAVE"/>
    <tableColumn id="8" xr3:uid="{21758A63-6374-4613-8438-F8461A4CB704}" name="BOOKING" dataDxfId="6"/>
    <tableColumn id="9" xr3:uid="{2F8240DF-E8F4-45DC-9C7D-1641AD417C32}" name="FECHA RESERVA" dataDxfId="5"/>
    <tableColumn id="10" xr3:uid="{EC3BE078-7A90-4D40-B283-18DF583E8E87}" name="N° FCL " dataDxfId="4"/>
    <tableColumn id="11" xr3:uid="{0349ABB6-A94C-463B-9E90-D5A037D86290}" name="TN" dataDxfId="3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F0262-DCCF-484D-8A54-F850DD3ABA56}">
  <sheetPr codeName="Hoja8"/>
  <dimension ref="A1:U22"/>
  <sheetViews>
    <sheetView showGridLines="0" tabSelected="1" zoomScale="80" zoomScaleNormal="80" workbookViewId="0">
      <selection activeCell="K22" sqref="A1:K22"/>
    </sheetView>
  </sheetViews>
  <sheetFormatPr baseColWidth="10" defaultColWidth="11.5546875" defaultRowHeight="13.8" x14ac:dyDescent="0.3"/>
  <cols>
    <col min="1" max="1" width="12.21875" style="1" bestFit="1" customWidth="1"/>
    <col min="2" max="2" width="8.6640625" style="1" bestFit="1" customWidth="1"/>
    <col min="3" max="3" width="32.6640625" style="1" bestFit="1" customWidth="1"/>
    <col min="4" max="4" width="9.88671875" style="1" bestFit="1" customWidth="1"/>
    <col min="5" max="5" width="32.109375" style="2" bestFit="1" customWidth="1"/>
    <col min="6" max="6" width="11.33203125" style="2" bestFit="1" customWidth="1"/>
    <col min="7" max="7" width="19" style="1" bestFit="1" customWidth="1"/>
    <col min="8" max="8" width="16.44140625" style="15" bestFit="1" customWidth="1"/>
    <col min="9" max="9" width="18.21875" style="11" bestFit="1" customWidth="1"/>
    <col min="10" max="10" width="10.109375" style="1" bestFit="1" customWidth="1"/>
    <col min="11" max="11" width="8.44140625" style="1" bestFit="1" customWidth="1"/>
    <col min="12" max="12" width="11.5546875" style="1"/>
    <col min="13" max="15" width="11.5546875" style="3"/>
    <col min="16" max="20" width="11.5546875" style="1"/>
    <col min="21" max="21" width="11.5546875" style="2"/>
    <col min="22" max="16384" width="11.5546875" style="1"/>
  </cols>
  <sheetData>
    <row r="1" spans="1:21" ht="25.8" x14ac:dyDescent="0.3">
      <c r="A1" s="21" t="e" vm="1">
        <v>#VALUE!</v>
      </c>
      <c r="B1" s="21"/>
      <c r="C1" s="21"/>
      <c r="D1" s="21" t="s">
        <v>0</v>
      </c>
      <c r="E1" s="21"/>
      <c r="F1" s="21"/>
      <c r="G1" s="21"/>
      <c r="H1" s="12" t="s">
        <v>1</v>
      </c>
      <c r="I1" s="22">
        <f ca="1">TODAY()</f>
        <v>46177</v>
      </c>
      <c r="J1" s="22"/>
      <c r="K1" s="22"/>
    </row>
    <row r="3" spans="1:21" s="18" customFormat="1" ht="14.4" x14ac:dyDescent="0.3">
      <c r="A3" s="16" t="s">
        <v>6</v>
      </c>
      <c r="B3" s="16" t="s">
        <v>2</v>
      </c>
      <c r="C3" s="16" t="s">
        <v>3</v>
      </c>
      <c r="D3" s="16" t="s">
        <v>4</v>
      </c>
      <c r="E3" s="16" t="s">
        <v>5</v>
      </c>
      <c r="F3" s="16" t="s">
        <v>7</v>
      </c>
      <c r="G3" s="16" t="s">
        <v>8</v>
      </c>
      <c r="H3" s="16" t="s">
        <v>40</v>
      </c>
      <c r="I3" s="17" t="s">
        <v>9</v>
      </c>
      <c r="J3" s="16" t="s">
        <v>10</v>
      </c>
      <c r="K3" s="16" t="s">
        <v>11</v>
      </c>
      <c r="M3" s="19"/>
      <c r="N3" s="19"/>
      <c r="O3" s="19"/>
      <c r="U3" s="20"/>
    </row>
    <row r="4" spans="1:21" ht="14.4" x14ac:dyDescent="0.3">
      <c r="A4" t="s">
        <v>13</v>
      </c>
      <c r="B4" t="s">
        <v>31</v>
      </c>
      <c r="C4" t="s">
        <v>14</v>
      </c>
      <c r="D4" t="s">
        <v>32</v>
      </c>
      <c r="E4" t="s">
        <v>21</v>
      </c>
      <c r="F4" t="s">
        <v>55</v>
      </c>
      <c r="G4" t="s">
        <v>56</v>
      </c>
      <c r="H4" s="13" t="s">
        <v>57</v>
      </c>
      <c r="I4" s="5">
        <v>46185</v>
      </c>
      <c r="J4" s="4">
        <v>1</v>
      </c>
      <c r="K4" s="6">
        <v>24</v>
      </c>
    </row>
    <row r="5" spans="1:21" ht="14.4" x14ac:dyDescent="0.3">
      <c r="A5" t="s">
        <v>13</v>
      </c>
      <c r="B5" t="s">
        <v>31</v>
      </c>
      <c r="C5" t="s">
        <v>14</v>
      </c>
      <c r="D5" t="s">
        <v>32</v>
      </c>
      <c r="E5" t="s">
        <v>21</v>
      </c>
      <c r="F5" t="s">
        <v>41</v>
      </c>
      <c r="G5" t="s">
        <v>41</v>
      </c>
      <c r="H5" s="13" t="s">
        <v>41</v>
      </c>
      <c r="I5" s="5" t="s">
        <v>41</v>
      </c>
      <c r="J5" s="4">
        <v>2</v>
      </c>
      <c r="K5" s="6">
        <v>48</v>
      </c>
    </row>
    <row r="6" spans="1:21" ht="14.4" x14ac:dyDescent="0.3">
      <c r="A6" t="s">
        <v>13</v>
      </c>
      <c r="B6" t="s">
        <v>22</v>
      </c>
      <c r="C6" t="s">
        <v>27</v>
      </c>
      <c r="D6" t="s">
        <v>18</v>
      </c>
      <c r="E6" t="s">
        <v>23</v>
      </c>
      <c r="F6" t="s">
        <v>41</v>
      </c>
      <c r="G6" t="s">
        <v>41</v>
      </c>
      <c r="H6" s="13" t="s">
        <v>41</v>
      </c>
      <c r="I6" s="5" t="s">
        <v>41</v>
      </c>
      <c r="J6" s="4">
        <v>1</v>
      </c>
      <c r="K6" s="6">
        <v>26</v>
      </c>
    </row>
    <row r="7" spans="1:21" ht="14.4" x14ac:dyDescent="0.3">
      <c r="A7" t="s">
        <v>13</v>
      </c>
      <c r="B7" t="s">
        <v>25</v>
      </c>
      <c r="C7" t="s">
        <v>27</v>
      </c>
      <c r="D7" t="s">
        <v>12</v>
      </c>
      <c r="E7" t="s">
        <v>26</v>
      </c>
      <c r="F7" t="s">
        <v>41</v>
      </c>
      <c r="G7" t="s">
        <v>41</v>
      </c>
      <c r="H7" s="13" t="s">
        <v>41</v>
      </c>
      <c r="I7" s="5" t="s">
        <v>41</v>
      </c>
      <c r="J7" s="4">
        <v>1</v>
      </c>
      <c r="K7" s="6">
        <v>27</v>
      </c>
    </row>
    <row r="8" spans="1:21" ht="14.4" x14ac:dyDescent="0.3">
      <c r="A8" t="s">
        <v>13</v>
      </c>
      <c r="B8" t="s">
        <v>42</v>
      </c>
      <c r="C8" t="s">
        <v>49</v>
      </c>
      <c r="D8" t="s">
        <v>12</v>
      </c>
      <c r="E8" t="s">
        <v>38</v>
      </c>
      <c r="F8" t="s">
        <v>55</v>
      </c>
      <c r="G8" t="s">
        <v>59</v>
      </c>
      <c r="H8" s="13" t="s">
        <v>58</v>
      </c>
      <c r="I8" s="5">
        <v>46183</v>
      </c>
      <c r="J8" s="4">
        <v>1</v>
      </c>
      <c r="K8" s="6">
        <v>27</v>
      </c>
    </row>
    <row r="9" spans="1:21" ht="14.4" x14ac:dyDescent="0.3">
      <c r="A9" t="s">
        <v>13</v>
      </c>
      <c r="B9" t="s">
        <v>46</v>
      </c>
      <c r="C9" t="s">
        <v>47</v>
      </c>
      <c r="D9" t="s">
        <v>24</v>
      </c>
      <c r="E9" t="s">
        <v>48</v>
      </c>
      <c r="F9" t="s">
        <v>55</v>
      </c>
      <c r="G9" t="s">
        <v>59</v>
      </c>
      <c r="H9" s="13" t="s">
        <v>60</v>
      </c>
      <c r="I9" s="5">
        <v>46183</v>
      </c>
      <c r="J9" s="4">
        <v>1</v>
      </c>
      <c r="K9" s="6">
        <v>24</v>
      </c>
    </row>
    <row r="10" spans="1:21" ht="14.4" x14ac:dyDescent="0.3">
      <c r="A10" t="s">
        <v>13</v>
      </c>
      <c r="B10" t="s">
        <v>52</v>
      </c>
      <c r="C10" t="s">
        <v>54</v>
      </c>
      <c r="D10" t="s">
        <v>12</v>
      </c>
      <c r="E10" t="s">
        <v>17</v>
      </c>
      <c r="F10" t="s">
        <v>41</v>
      </c>
      <c r="G10" t="s">
        <v>41</v>
      </c>
      <c r="H10" s="13" t="s">
        <v>41</v>
      </c>
      <c r="I10" s="5" t="s">
        <v>41</v>
      </c>
      <c r="J10" s="4">
        <v>3</v>
      </c>
      <c r="K10" s="6">
        <v>81</v>
      </c>
    </row>
    <row r="11" spans="1:21" ht="14.4" x14ac:dyDescent="0.3">
      <c r="A11" t="s">
        <v>29</v>
      </c>
      <c r="B11" t="s">
        <v>16</v>
      </c>
      <c r="C11" t="s">
        <v>30</v>
      </c>
      <c r="D11" t="s">
        <v>12</v>
      </c>
      <c r="E11" t="s">
        <v>17</v>
      </c>
      <c r="F11" t="s">
        <v>41</v>
      </c>
      <c r="G11" t="s">
        <v>41</v>
      </c>
      <c r="H11" s="13" t="s">
        <v>41</v>
      </c>
      <c r="I11" s="5" t="s">
        <v>41</v>
      </c>
      <c r="J11" s="4">
        <v>2</v>
      </c>
      <c r="K11" s="6">
        <v>54</v>
      </c>
    </row>
    <row r="12" spans="1:21" ht="14.4" x14ac:dyDescent="0.3">
      <c r="A12" t="s">
        <v>29</v>
      </c>
      <c r="B12" t="s">
        <v>19</v>
      </c>
      <c r="C12" t="s">
        <v>15</v>
      </c>
      <c r="D12" t="s">
        <v>20</v>
      </c>
      <c r="E12" t="s">
        <v>21</v>
      </c>
      <c r="F12" t="s">
        <v>41</v>
      </c>
      <c r="G12" t="s">
        <v>41</v>
      </c>
      <c r="H12" s="13" t="s">
        <v>41</v>
      </c>
      <c r="I12" s="5" t="s">
        <v>41</v>
      </c>
      <c r="J12" s="4">
        <v>1</v>
      </c>
      <c r="K12" s="6">
        <v>24</v>
      </c>
    </row>
    <row r="13" spans="1:21" ht="14.4" x14ac:dyDescent="0.3">
      <c r="A13" t="s">
        <v>29</v>
      </c>
      <c r="B13" t="s">
        <v>22</v>
      </c>
      <c r="C13" t="s">
        <v>27</v>
      </c>
      <c r="D13" t="s">
        <v>18</v>
      </c>
      <c r="E13" t="s">
        <v>23</v>
      </c>
      <c r="F13" t="s">
        <v>41</v>
      </c>
      <c r="G13" t="s">
        <v>41</v>
      </c>
      <c r="H13" s="13" t="s">
        <v>41</v>
      </c>
      <c r="I13" s="5" t="s">
        <v>41</v>
      </c>
      <c r="J13" s="4">
        <v>2</v>
      </c>
      <c r="K13" s="6">
        <v>52</v>
      </c>
    </row>
    <row r="14" spans="1:21" ht="14.4" x14ac:dyDescent="0.3">
      <c r="A14" t="s">
        <v>29</v>
      </c>
      <c r="B14" t="s">
        <v>34</v>
      </c>
      <c r="C14" t="s">
        <v>27</v>
      </c>
      <c r="D14" t="s">
        <v>12</v>
      </c>
      <c r="E14" t="s">
        <v>33</v>
      </c>
      <c r="F14" t="s">
        <v>41</v>
      </c>
      <c r="G14" t="s">
        <v>41</v>
      </c>
      <c r="H14" s="13" t="s">
        <v>41</v>
      </c>
      <c r="I14" s="5" t="s">
        <v>41</v>
      </c>
      <c r="J14" s="4">
        <v>2</v>
      </c>
      <c r="K14" s="6">
        <v>54</v>
      </c>
    </row>
    <row r="15" spans="1:21" ht="14.4" x14ac:dyDescent="0.3">
      <c r="A15" t="s">
        <v>29</v>
      </c>
      <c r="B15" t="s">
        <v>35</v>
      </c>
      <c r="C15" t="s">
        <v>14</v>
      </c>
      <c r="D15" t="s">
        <v>12</v>
      </c>
      <c r="E15" t="s">
        <v>36</v>
      </c>
      <c r="F15" t="s">
        <v>41</v>
      </c>
      <c r="G15" t="s">
        <v>41</v>
      </c>
      <c r="H15" s="13" t="s">
        <v>41</v>
      </c>
      <c r="I15" s="5" t="s">
        <v>41</v>
      </c>
      <c r="J15" s="4">
        <v>1</v>
      </c>
      <c r="K15" s="6">
        <v>27</v>
      </c>
    </row>
    <row r="16" spans="1:21" ht="14.4" x14ac:dyDescent="0.3">
      <c r="A16" t="s">
        <v>29</v>
      </c>
      <c r="B16" t="s">
        <v>42</v>
      </c>
      <c r="C16" t="s">
        <v>39</v>
      </c>
      <c r="D16" t="s">
        <v>12</v>
      </c>
      <c r="E16" t="s">
        <v>38</v>
      </c>
      <c r="F16" t="s">
        <v>41</v>
      </c>
      <c r="G16" t="s">
        <v>41</v>
      </c>
      <c r="H16" s="13" t="s">
        <v>41</v>
      </c>
      <c r="I16" s="5" t="s">
        <v>41</v>
      </c>
      <c r="J16" s="4">
        <v>3</v>
      </c>
      <c r="K16" s="6">
        <v>81</v>
      </c>
    </row>
    <row r="17" spans="1:11" ht="14.4" x14ac:dyDescent="0.3">
      <c r="A17" t="s">
        <v>29</v>
      </c>
      <c r="B17" t="s">
        <v>42</v>
      </c>
      <c r="C17" t="s">
        <v>28</v>
      </c>
      <c r="D17" t="s">
        <v>12</v>
      </c>
      <c r="E17" t="s">
        <v>38</v>
      </c>
      <c r="F17" t="s">
        <v>41</v>
      </c>
      <c r="G17" t="s">
        <v>41</v>
      </c>
      <c r="H17" s="13" t="s">
        <v>41</v>
      </c>
      <c r="I17" s="5" t="s">
        <v>41</v>
      </c>
      <c r="J17" s="4">
        <v>3</v>
      </c>
      <c r="K17" s="6">
        <v>81</v>
      </c>
    </row>
    <row r="18" spans="1:11" ht="14.4" x14ac:dyDescent="0.3">
      <c r="A18" t="s">
        <v>29</v>
      </c>
      <c r="B18" t="s">
        <v>43</v>
      </c>
      <c r="C18" t="s">
        <v>44</v>
      </c>
      <c r="D18" t="s">
        <v>45</v>
      </c>
      <c r="E18" t="s">
        <v>21</v>
      </c>
      <c r="F18" t="s">
        <v>41</v>
      </c>
      <c r="G18" t="s">
        <v>41</v>
      </c>
      <c r="H18" s="13" t="s">
        <v>41</v>
      </c>
      <c r="I18" s="5" t="s">
        <v>41</v>
      </c>
      <c r="J18" s="4">
        <v>1</v>
      </c>
      <c r="K18" s="6">
        <v>24</v>
      </c>
    </row>
    <row r="19" spans="1:11" ht="14.4" x14ac:dyDescent="0.3">
      <c r="A19" t="s">
        <v>29</v>
      </c>
      <c r="B19" t="s">
        <v>50</v>
      </c>
      <c r="C19" t="s">
        <v>47</v>
      </c>
      <c r="D19" t="s">
        <v>24</v>
      </c>
      <c r="E19" t="s">
        <v>51</v>
      </c>
      <c r="F19" t="s">
        <v>41</v>
      </c>
      <c r="G19" t="s">
        <v>41</v>
      </c>
      <c r="H19" s="13" t="s">
        <v>41</v>
      </c>
      <c r="I19" s="5" t="s">
        <v>41</v>
      </c>
      <c r="J19" s="4">
        <v>4</v>
      </c>
      <c r="K19" s="6">
        <v>104</v>
      </c>
    </row>
    <row r="20" spans="1:11" ht="14.4" x14ac:dyDescent="0.3">
      <c r="A20" t="s">
        <v>29</v>
      </c>
      <c r="B20" t="s">
        <v>52</v>
      </c>
      <c r="C20" t="s">
        <v>53</v>
      </c>
      <c r="D20" t="s">
        <v>12</v>
      </c>
      <c r="E20" t="s">
        <v>17</v>
      </c>
      <c r="F20" t="s">
        <v>41</v>
      </c>
      <c r="G20" t="s">
        <v>41</v>
      </c>
      <c r="H20" s="13" t="s">
        <v>41</v>
      </c>
      <c r="I20" s="5" t="s">
        <v>41</v>
      </c>
      <c r="J20" s="4">
        <v>2</v>
      </c>
      <c r="K20" s="6">
        <v>54</v>
      </c>
    </row>
    <row r="21" spans="1:11" ht="14.4" x14ac:dyDescent="0.3">
      <c r="A21" t="s">
        <v>29</v>
      </c>
      <c r="B21" t="s">
        <v>61</v>
      </c>
      <c r="C21" t="s">
        <v>62</v>
      </c>
      <c r="D21" t="s">
        <v>12</v>
      </c>
      <c r="E21" t="s">
        <v>63</v>
      </c>
      <c r="F21" t="s">
        <v>41</v>
      </c>
      <c r="G21" t="s">
        <v>41</v>
      </c>
      <c r="H21" s="13" t="s">
        <v>41</v>
      </c>
      <c r="I21" s="5" t="s">
        <v>41</v>
      </c>
      <c r="J21" s="4">
        <v>1</v>
      </c>
      <c r="K21" s="6">
        <v>27</v>
      </c>
    </row>
    <row r="22" spans="1:11" ht="14.4" x14ac:dyDescent="0.3">
      <c r="A22" s="7" t="s">
        <v>37</v>
      </c>
      <c r="B22" s="7"/>
      <c r="C22" s="7"/>
      <c r="D22" s="7"/>
      <c r="E22" s="7"/>
      <c r="F22" s="7"/>
      <c r="G22" s="7"/>
      <c r="H22" s="14"/>
      <c r="I22" s="10"/>
      <c r="J22" s="8">
        <v>69</v>
      </c>
      <c r="K22" s="9">
        <v>1838</v>
      </c>
    </row>
  </sheetData>
  <mergeCells count="3">
    <mergeCell ref="D1:G1"/>
    <mergeCell ref="I1:K1"/>
    <mergeCell ref="A1:C1"/>
  </mergeCells>
  <conditionalFormatting sqref="A4:K484">
    <cfRule type="expression" dxfId="2" priority="1">
      <formula>$A4 = "PACKING"</formula>
    </cfRule>
    <cfRule type="expression" dxfId="1" priority="2">
      <formula>$A4 = "POR ENVIAR"</formula>
    </cfRule>
    <cfRule type="expression" dxfId="0" priority="3">
      <formula>$A4 = "PENDIENTE"</formula>
    </cfRule>
  </conditionalFormatting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 Produccion (PFRO)</dc:creator>
  <cp:lastModifiedBy>Asis Produccion (PFRO)</cp:lastModifiedBy>
  <dcterms:created xsi:type="dcterms:W3CDTF">2026-05-12T15:57:54Z</dcterms:created>
  <dcterms:modified xsi:type="dcterms:W3CDTF">2026-06-04T15:43:46Z</dcterms:modified>
</cp:coreProperties>
</file>