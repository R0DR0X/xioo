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366C2474-4C4E-439C-8824-84214DD2AC8C}" xr6:coauthVersionLast="47" xr6:coauthVersionMax="47" xr10:uidLastSave="{00000000-0000-0000-0000-000000000000}"/>
  <bookViews>
    <workbookView xWindow="-108" yWindow="-108" windowWidth="23256" windowHeight="13896" xr2:uid="{DD5F4A18-F2A0-42B4-A472-1A1C6B0554F6}"/>
  </bookViews>
  <sheets>
    <sheet name="Resumen Inventario" sheetId="3" r:id="rId1"/>
    <sheet name="Venta Octubre" sheetId="4" r:id="rId2"/>
    <sheet name="TD" sheetId="2" r:id="rId3"/>
    <sheet name="Stock" sheetId="1" r:id="rId4"/>
  </sheets>
  <externalReferences>
    <externalReference r:id="rId5"/>
    <externalReference r:id="rId6"/>
    <externalReference r:id="rId7"/>
  </externalReferences>
  <definedNames>
    <definedName name="_xlnm._FilterDatabase" localSheetId="1" hidden="1">'Venta Octubre'!$A$4:$AA$21</definedName>
  </definedNames>
  <calcPr calcId="191029" iterate="1"/>
  <pivotCaches>
    <pivotCache cacheId="8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12" i="4" l="1"/>
  <c r="AD12" i="4"/>
  <c r="AE12" i="4"/>
  <c r="AF12" i="4"/>
  <c r="AC13" i="4"/>
  <c r="AD13" i="4"/>
  <c r="AE13" i="4"/>
  <c r="AF13" i="4"/>
  <c r="AC14" i="4"/>
  <c r="AD14" i="4"/>
  <c r="AE14" i="4"/>
  <c r="AF14" i="4"/>
  <c r="AC15" i="4"/>
  <c r="AD15" i="4"/>
  <c r="AE15" i="4"/>
  <c r="AF15" i="4"/>
  <c r="AC16" i="4"/>
  <c r="AD16" i="4"/>
  <c r="AE16" i="4"/>
  <c r="AF16" i="4"/>
  <c r="AC17" i="4"/>
  <c r="AD17" i="4"/>
  <c r="AE17" i="4"/>
  <c r="AF17" i="4"/>
  <c r="AC18" i="4"/>
  <c r="AD18" i="4"/>
  <c r="AE18" i="4"/>
  <c r="AF18" i="4"/>
  <c r="AC19" i="4"/>
  <c r="AD19" i="4"/>
  <c r="AE19" i="4"/>
  <c r="AF19" i="4"/>
  <c r="AC20" i="4"/>
  <c r="AD20" i="4"/>
  <c r="AE20" i="4"/>
  <c r="AF20" i="4"/>
  <c r="AC21" i="4"/>
  <c r="AD21" i="4"/>
  <c r="AE21" i="4"/>
  <c r="AF21" i="4"/>
  <c r="R14" i="4"/>
  <c r="S14" i="4" s="1"/>
  <c r="T14" i="4"/>
  <c r="V14" i="4"/>
  <c r="R15" i="4"/>
  <c r="S15" i="4"/>
  <c r="T15" i="4"/>
  <c r="V15" i="4"/>
  <c r="T16" i="4"/>
  <c r="V16" i="4"/>
  <c r="R17" i="4"/>
  <c r="S17" i="4"/>
  <c r="T17" i="4"/>
  <c r="V17" i="4"/>
  <c r="R18" i="4"/>
  <c r="S18" i="4" s="1"/>
  <c r="T18" i="4"/>
  <c r="V18" i="4"/>
  <c r="Q20" i="4"/>
  <c r="Q19" i="4"/>
  <c r="Q18" i="4"/>
  <c r="Q17" i="4"/>
  <c r="Q15" i="4"/>
  <c r="Q16" i="4" s="1"/>
  <c r="Q14" i="4"/>
  <c r="Q13" i="4"/>
  <c r="Q12" i="4"/>
  <c r="Q8" i="4"/>
  <c r="Q9" i="4" s="1"/>
  <c r="Q10" i="4" s="1"/>
  <c r="Q11" i="4" s="1"/>
  <c r="Q7" i="4"/>
  <c r="Q6" i="4"/>
  <c r="Q5" i="4"/>
  <c r="R16" i="4" l="1"/>
  <c r="S16" i="4" s="1"/>
  <c r="Q21" i="4"/>
  <c r="Z23" i="4"/>
  <c r="X23" i="4"/>
  <c r="U23" i="4"/>
  <c r="F23" i="4"/>
  <c r="X8" i="4" s="1"/>
  <c r="T21" i="4"/>
  <c r="R21" i="4"/>
  <c r="T20" i="4"/>
  <c r="T19" i="4"/>
  <c r="V19" i="4"/>
  <c r="T13" i="4"/>
  <c r="T12" i="4"/>
  <c r="R12" i="4"/>
  <c r="T11" i="4"/>
  <c r="V11" i="4"/>
  <c r="T10" i="4"/>
  <c r="R20" i="4"/>
  <c r="T9" i="4"/>
  <c r="R9" i="4"/>
  <c r="V9" i="4"/>
  <c r="T8" i="4"/>
  <c r="R8" i="4"/>
  <c r="V8" i="4"/>
  <c r="T7" i="4"/>
  <c r="T6" i="4"/>
  <c r="R6" i="4"/>
  <c r="T5" i="4"/>
  <c r="R5" i="4"/>
  <c r="V5" i="4"/>
  <c r="U16" i="4" l="1"/>
  <c r="U15" i="4"/>
  <c r="W15" i="4" s="1"/>
  <c r="U17" i="4"/>
  <c r="W17" i="4" s="1"/>
  <c r="U14" i="4"/>
  <c r="W14" i="4" s="1"/>
  <c r="U18" i="4"/>
  <c r="W18" i="4" s="1"/>
  <c r="X16" i="4"/>
  <c r="X18" i="4"/>
  <c r="X17" i="4"/>
  <c r="X14" i="4"/>
  <c r="X15" i="4"/>
  <c r="Z16" i="4"/>
  <c r="Z17" i="4"/>
  <c r="Z14" i="4"/>
  <c r="Z18" i="4"/>
  <c r="Z15" i="4"/>
  <c r="W16" i="4"/>
  <c r="X11" i="4"/>
  <c r="S6" i="4"/>
  <c r="AC6" i="4" s="1"/>
  <c r="Z11" i="4"/>
  <c r="S12" i="4"/>
  <c r="U6" i="4"/>
  <c r="V6" i="4"/>
  <c r="X6" i="4"/>
  <c r="Z19" i="4"/>
  <c r="Z8" i="4"/>
  <c r="R7" i="4"/>
  <c r="S7" i="4" s="1"/>
  <c r="S20" i="4"/>
  <c r="Z6" i="4"/>
  <c r="U9" i="4"/>
  <c r="X19" i="4"/>
  <c r="R19" i="4"/>
  <c r="S19" i="4" s="1"/>
  <c r="Z9" i="4"/>
  <c r="V12" i="4"/>
  <c r="U19" i="4"/>
  <c r="X5" i="4"/>
  <c r="X12" i="4"/>
  <c r="U20" i="4"/>
  <c r="X21" i="4"/>
  <c r="X9" i="4"/>
  <c r="U12" i="4"/>
  <c r="Z12" i="4"/>
  <c r="V20" i="4"/>
  <c r="Z10" i="4"/>
  <c r="S9" i="4"/>
  <c r="AC9" i="4" s="1"/>
  <c r="Z5" i="4"/>
  <c r="Z20" i="4"/>
  <c r="R13" i="4"/>
  <c r="S13" i="4" s="1"/>
  <c r="V7" i="4"/>
  <c r="T23" i="4"/>
  <c r="S21" i="4"/>
  <c r="R10" i="4"/>
  <c r="S10" i="4" s="1"/>
  <c r="X20" i="4"/>
  <c r="R11" i="4"/>
  <c r="S11" i="4" s="1"/>
  <c r="U13" i="4"/>
  <c r="U21" i="4"/>
  <c r="V10" i="4"/>
  <c r="V13" i="4"/>
  <c r="V21" i="4"/>
  <c r="S5" i="4"/>
  <c r="S8" i="4"/>
  <c r="X7" i="4"/>
  <c r="X10" i="4"/>
  <c r="X13" i="4"/>
  <c r="U5" i="4"/>
  <c r="U8" i="4"/>
  <c r="U11" i="4"/>
  <c r="Z13" i="4"/>
  <c r="Z21" i="4"/>
  <c r="U7" i="4"/>
  <c r="U10" i="4"/>
  <c r="O23" i="4"/>
  <c r="Z7" i="4"/>
  <c r="K65" i="1"/>
  <c r="K64" i="1"/>
  <c r="K63" i="1"/>
  <c r="D25" i="3" s="1"/>
  <c r="R25" i="3" s="1"/>
  <c r="Q28" i="3"/>
  <c r="Q27" i="3"/>
  <c r="Q26" i="3"/>
  <c r="Q24" i="3"/>
  <c r="Q23" i="3"/>
  <c r="E60" i="1"/>
  <c r="F60" i="1"/>
  <c r="F59" i="1"/>
  <c r="F58" i="1"/>
  <c r="D60" i="1"/>
  <c r="H52" i="1"/>
  <c r="H49" i="1"/>
  <c r="H41" i="1"/>
  <c r="H36" i="1"/>
  <c r="H24" i="1"/>
  <c r="H23" i="1"/>
  <c r="H22" i="1"/>
  <c r="H21" i="1"/>
  <c r="H19" i="1"/>
  <c r="H13" i="1"/>
  <c r="H6" i="1"/>
  <c r="H7" i="1"/>
  <c r="H8" i="1"/>
  <c r="H9" i="1"/>
  <c r="H10" i="1"/>
  <c r="H11" i="1"/>
  <c r="H12" i="1"/>
  <c r="H14" i="1"/>
  <c r="H15" i="1"/>
  <c r="H16" i="1"/>
  <c r="H17" i="1"/>
  <c r="H18" i="1"/>
  <c r="H20" i="1"/>
  <c r="H25" i="1"/>
  <c r="H26" i="1"/>
  <c r="H27" i="1"/>
  <c r="H28" i="1"/>
  <c r="H29" i="1"/>
  <c r="H30" i="1"/>
  <c r="H31" i="1"/>
  <c r="H32" i="1"/>
  <c r="H33" i="1"/>
  <c r="H34" i="1"/>
  <c r="H35" i="1"/>
  <c r="H37" i="1"/>
  <c r="H38" i="1"/>
  <c r="H39" i="1"/>
  <c r="H40" i="1"/>
  <c r="H42" i="1"/>
  <c r="H43" i="1"/>
  <c r="H44" i="1"/>
  <c r="H45" i="1"/>
  <c r="H46" i="1"/>
  <c r="H47" i="1"/>
  <c r="H48" i="1"/>
  <c r="H50" i="1"/>
  <c r="H51" i="1"/>
  <c r="D59" i="1"/>
  <c r="D58" i="1"/>
  <c r="K29" i="3"/>
  <c r="G23" i="3"/>
  <c r="G24" i="3"/>
  <c r="G28" i="3"/>
  <c r="F23" i="3"/>
  <c r="F24" i="3"/>
  <c r="F28" i="3"/>
  <c r="D23" i="3"/>
  <c r="D24" i="3"/>
  <c r="D26" i="3"/>
  <c r="D27" i="3"/>
  <c r="R27" i="3" s="1"/>
  <c r="D28" i="3"/>
  <c r="J7" i="3"/>
  <c r="J8" i="3"/>
  <c r="J9" i="3"/>
  <c r="J10" i="3"/>
  <c r="J11" i="3"/>
  <c r="J12" i="3"/>
  <c r="J13" i="3"/>
  <c r="J14" i="3"/>
  <c r="J15" i="3"/>
  <c r="J16" i="3"/>
  <c r="J17" i="3"/>
  <c r="J18" i="3"/>
  <c r="I7" i="3"/>
  <c r="I8" i="3"/>
  <c r="I9" i="3"/>
  <c r="I10" i="3"/>
  <c r="I11" i="3"/>
  <c r="I12" i="3"/>
  <c r="I13" i="3"/>
  <c r="I14" i="3"/>
  <c r="I15" i="3"/>
  <c r="I16" i="3"/>
  <c r="I17" i="3"/>
  <c r="I18" i="3"/>
  <c r="H7" i="3"/>
  <c r="H8" i="3"/>
  <c r="H9" i="3"/>
  <c r="H10" i="3"/>
  <c r="H11" i="3"/>
  <c r="H12" i="3"/>
  <c r="H13" i="3"/>
  <c r="H14" i="3"/>
  <c r="H15" i="3"/>
  <c r="H16" i="3"/>
  <c r="H17" i="3"/>
  <c r="H18" i="3"/>
  <c r="G7" i="3"/>
  <c r="G8" i="3"/>
  <c r="G9" i="3"/>
  <c r="G10" i="3"/>
  <c r="G11" i="3"/>
  <c r="G12" i="3"/>
  <c r="G13" i="3"/>
  <c r="G14" i="3"/>
  <c r="G15" i="3"/>
  <c r="G16" i="3"/>
  <c r="G17" i="3"/>
  <c r="G18" i="3"/>
  <c r="F7" i="3"/>
  <c r="F8" i="3"/>
  <c r="F9" i="3"/>
  <c r="F10" i="3"/>
  <c r="F11" i="3"/>
  <c r="O11" i="3" s="1"/>
  <c r="F12" i="3"/>
  <c r="F13" i="3"/>
  <c r="F14" i="3"/>
  <c r="F15" i="3"/>
  <c r="F16" i="3"/>
  <c r="F17" i="3"/>
  <c r="O17" i="3" s="1"/>
  <c r="F18" i="3"/>
  <c r="D7" i="3"/>
  <c r="E7" i="3" s="1"/>
  <c r="D8" i="3"/>
  <c r="R8" i="3" s="1"/>
  <c r="D9" i="3"/>
  <c r="D10" i="3"/>
  <c r="D11" i="3"/>
  <c r="D12" i="3"/>
  <c r="R12" i="3" s="1"/>
  <c r="D13" i="3"/>
  <c r="D14" i="3"/>
  <c r="D15" i="3"/>
  <c r="D16" i="3"/>
  <c r="D17" i="3"/>
  <c r="D18" i="3"/>
  <c r="R18" i="3" s="1"/>
  <c r="R28" i="3"/>
  <c r="E28" i="3"/>
  <c r="R24" i="3"/>
  <c r="E24" i="3"/>
  <c r="R23" i="3"/>
  <c r="K19" i="3"/>
  <c r="K31" i="3" s="1"/>
  <c r="R14" i="3"/>
  <c r="R10" i="3"/>
  <c r="E10" i="3"/>
  <c r="R9" i="3"/>
  <c r="E9" i="3"/>
  <c r="B4" i="2"/>
  <c r="B5" i="2"/>
  <c r="B6" i="2"/>
  <c r="B7" i="2"/>
  <c r="B8" i="2"/>
  <c r="B9" i="2"/>
  <c r="B10" i="2"/>
  <c r="B11" i="2"/>
  <c r="B12" i="2"/>
  <c r="B13" i="2"/>
  <c r="D53" i="1"/>
  <c r="AA18" i="4" l="1"/>
  <c r="Y18" i="4"/>
  <c r="Y16" i="4"/>
  <c r="AA16" i="4"/>
  <c r="AA14" i="4"/>
  <c r="Y14" i="4"/>
  <c r="Y17" i="4"/>
  <c r="AA17" i="4"/>
  <c r="AA15" i="4"/>
  <c r="Y15" i="4"/>
  <c r="W20" i="4"/>
  <c r="Y20" i="4" s="1"/>
  <c r="W12" i="4"/>
  <c r="W6" i="4"/>
  <c r="Y6" i="4" s="1"/>
  <c r="AE6" i="4" s="1"/>
  <c r="W9" i="4"/>
  <c r="AA9" i="4" s="1"/>
  <c r="AF9" i="4" s="1"/>
  <c r="W13" i="4"/>
  <c r="Y13" i="4" s="1"/>
  <c r="W11" i="4"/>
  <c r="AC11" i="4"/>
  <c r="V23" i="4"/>
  <c r="W19" i="4"/>
  <c r="W21" i="4"/>
  <c r="W8" i="4"/>
  <c r="AC8" i="4"/>
  <c r="AD6" i="4"/>
  <c r="AA6" i="4"/>
  <c r="AF6" i="4" s="1"/>
  <c r="W10" i="4"/>
  <c r="AC10" i="4"/>
  <c r="S23" i="4"/>
  <c r="AC23" i="4" s="1"/>
  <c r="W5" i="4"/>
  <c r="AC5" i="4"/>
  <c r="R23" i="4"/>
  <c r="W7" i="4"/>
  <c r="AC7" i="4"/>
  <c r="F19" i="3"/>
  <c r="H19" i="3"/>
  <c r="E14" i="3"/>
  <c r="E13" i="3"/>
  <c r="O15" i="3"/>
  <c r="J19" i="3"/>
  <c r="E15" i="3"/>
  <c r="O14" i="3"/>
  <c r="O12" i="3"/>
  <c r="P12" i="3" s="1"/>
  <c r="E12" i="3"/>
  <c r="M9" i="3"/>
  <c r="N9" i="3" s="1"/>
  <c r="R13" i="3"/>
  <c r="O8" i="3"/>
  <c r="R26" i="3"/>
  <c r="O9" i="3"/>
  <c r="P9" i="3" s="1"/>
  <c r="O18" i="3"/>
  <c r="P18" i="3" s="1"/>
  <c r="M15" i="3"/>
  <c r="N15" i="3" s="1"/>
  <c r="E18" i="3"/>
  <c r="E16" i="3"/>
  <c r="M18" i="3"/>
  <c r="U18" i="3" s="1"/>
  <c r="V18" i="3" s="1"/>
  <c r="M12" i="3"/>
  <c r="U12" i="3" s="1"/>
  <c r="V12" i="3" s="1"/>
  <c r="E17" i="3"/>
  <c r="E11" i="3"/>
  <c r="R7" i="3"/>
  <c r="P15" i="3"/>
  <c r="R16" i="3"/>
  <c r="R15" i="3"/>
  <c r="E8" i="3"/>
  <c r="P17" i="3"/>
  <c r="P8" i="3"/>
  <c r="O13" i="3"/>
  <c r="P13" i="3" s="1"/>
  <c r="M13" i="3"/>
  <c r="N13" i="3" s="1"/>
  <c r="D19" i="3"/>
  <c r="E19" i="3" s="1"/>
  <c r="R17" i="3"/>
  <c r="R29" i="3"/>
  <c r="P14" i="3"/>
  <c r="O7" i="3"/>
  <c r="M7" i="3"/>
  <c r="S7" i="3" s="1"/>
  <c r="P11" i="3"/>
  <c r="M16" i="3"/>
  <c r="N16" i="3" s="1"/>
  <c r="O16" i="3"/>
  <c r="P16" i="3" s="1"/>
  <c r="G19" i="3"/>
  <c r="I19" i="3"/>
  <c r="O10" i="3"/>
  <c r="P10" i="3" s="1"/>
  <c r="M10" i="3"/>
  <c r="N10" i="3" s="1"/>
  <c r="R11" i="3"/>
  <c r="D29" i="3"/>
  <c r="S36" i="3" s="1"/>
  <c r="E23" i="3"/>
  <c r="M8" i="3"/>
  <c r="N8" i="3" s="1"/>
  <c r="M11" i="3"/>
  <c r="N11" i="3" s="1"/>
  <c r="M14" i="3"/>
  <c r="N14" i="3" s="1"/>
  <c r="M17" i="3"/>
  <c r="N17" i="3" s="1"/>
  <c r="Y12" i="4" l="1"/>
  <c r="AA12" i="4"/>
  <c r="Y9" i="4"/>
  <c r="AE9" i="4" s="1"/>
  <c r="AD9" i="4"/>
  <c r="AA20" i="4"/>
  <c r="AA13" i="4"/>
  <c r="AD8" i="4"/>
  <c r="AA8" i="4"/>
  <c r="AF8" i="4" s="1"/>
  <c r="Y8" i="4"/>
  <c r="AE8" i="4" s="1"/>
  <c r="AA21" i="4"/>
  <c r="Y21" i="4"/>
  <c r="AA11" i="4"/>
  <c r="AF11" i="4" s="1"/>
  <c r="AD11" i="4"/>
  <c r="Y11" i="4"/>
  <c r="AE11" i="4" s="1"/>
  <c r="AA10" i="4"/>
  <c r="AF10" i="4" s="1"/>
  <c r="AD10" i="4"/>
  <c r="Y10" i="4"/>
  <c r="AE10" i="4" s="1"/>
  <c r="AA7" i="4"/>
  <c r="AF7" i="4" s="1"/>
  <c r="Y7" i="4"/>
  <c r="AE7" i="4" s="1"/>
  <c r="AD7" i="4"/>
  <c r="AD5" i="4"/>
  <c r="W23" i="4"/>
  <c r="AD23" i="4" s="1"/>
  <c r="Y5" i="4"/>
  <c r="AA5" i="4"/>
  <c r="AA19" i="4"/>
  <c r="Y19" i="4"/>
  <c r="Q29" i="3"/>
  <c r="U7" i="3"/>
  <c r="S9" i="3"/>
  <c r="T9" i="3" s="1"/>
  <c r="U10" i="3"/>
  <c r="V10" i="3" s="1"/>
  <c r="N18" i="3"/>
  <c r="U9" i="3"/>
  <c r="V9" i="3" s="1"/>
  <c r="S18" i="3"/>
  <c r="T18" i="3" s="1"/>
  <c r="R19" i="3"/>
  <c r="R31" i="3" s="1"/>
  <c r="S12" i="3"/>
  <c r="T12" i="3" s="1"/>
  <c r="U15" i="3"/>
  <c r="V15" i="3" s="1"/>
  <c r="S10" i="3"/>
  <c r="T10" i="3" s="1"/>
  <c r="N12" i="3"/>
  <c r="U16" i="3"/>
  <c r="V16" i="3" s="1"/>
  <c r="S16" i="3"/>
  <c r="T16" i="3" s="1"/>
  <c r="S15" i="3"/>
  <c r="T15" i="3" s="1"/>
  <c r="Q19" i="3"/>
  <c r="V7" i="3"/>
  <c r="U17" i="3"/>
  <c r="V17" i="3" s="1"/>
  <c r="S17" i="3"/>
  <c r="T17" i="3" s="1"/>
  <c r="U13" i="3"/>
  <c r="V13" i="3" s="1"/>
  <c r="S14" i="3"/>
  <c r="T14" i="3" s="1"/>
  <c r="S13" i="3"/>
  <c r="T13" i="3" s="1"/>
  <c r="U14" i="3"/>
  <c r="V14" i="3" s="1"/>
  <c r="D31" i="3"/>
  <c r="S8" i="3"/>
  <c r="T8" i="3" s="1"/>
  <c r="T7" i="3"/>
  <c r="U11" i="3"/>
  <c r="V11" i="3" s="1"/>
  <c r="S11" i="3"/>
  <c r="T11" i="3" s="1"/>
  <c r="M19" i="3"/>
  <c r="N7" i="3"/>
  <c r="U8" i="3"/>
  <c r="V8" i="3" s="1"/>
  <c r="P7" i="3"/>
  <c r="O19" i="3"/>
  <c r="AE5" i="4" l="1"/>
  <c r="Y23" i="4"/>
  <c r="AE23" i="4" s="1"/>
  <c r="AA23" i="4"/>
  <c r="AF23" i="4" s="1"/>
  <c r="AF5" i="4"/>
  <c r="Q31" i="3"/>
  <c r="N19" i="3"/>
  <c r="U19" i="3"/>
  <c r="P19" i="3"/>
  <c r="S19" i="3"/>
  <c r="T19" i="3" l="1"/>
  <c r="V19" i="3"/>
  <c r="R67" i="1" l="1"/>
  <c r="Q67" i="1"/>
  <c r="K67" i="1"/>
  <c r="P66" i="1" s="1"/>
  <c r="J28" i="3" s="1"/>
  <c r="M66" i="1"/>
  <c r="L66" i="1"/>
  <c r="M65" i="1"/>
  <c r="G27" i="3" s="1"/>
  <c r="I65" i="1"/>
  <c r="L65" i="1" s="1"/>
  <c r="F27" i="3" s="1"/>
  <c r="E27" i="3" s="1"/>
  <c r="M64" i="1"/>
  <c r="G26" i="3" s="1"/>
  <c r="I64" i="1"/>
  <c r="L64" i="1" s="1"/>
  <c r="F26" i="3" s="1"/>
  <c r="P63" i="1"/>
  <c r="J25" i="3" s="1"/>
  <c r="M63" i="1"/>
  <c r="G25" i="3" s="1"/>
  <c r="I63" i="1"/>
  <c r="L63" i="1" s="1"/>
  <c r="F25" i="3" s="1"/>
  <c r="E25" i="3" s="1"/>
  <c r="M62" i="1"/>
  <c r="L62" i="1"/>
  <c r="M61" i="1"/>
  <c r="L61" i="1"/>
  <c r="F11" i="1"/>
  <c r="L11" i="1" s="1"/>
  <c r="F10" i="1"/>
  <c r="L10" i="1" s="1"/>
  <c r="F9" i="1"/>
  <c r="L9" i="1" s="1"/>
  <c r="Q52" i="1"/>
  <c r="M52" i="1"/>
  <c r="L52" i="1"/>
  <c r="K52" i="1"/>
  <c r="F52" i="1"/>
  <c r="M51" i="1"/>
  <c r="K51" i="1"/>
  <c r="F51" i="1"/>
  <c r="L51" i="1" s="1"/>
  <c r="Q50" i="1"/>
  <c r="M50" i="1"/>
  <c r="K50" i="1"/>
  <c r="F50" i="1"/>
  <c r="L50" i="1" s="1"/>
  <c r="Q49" i="1"/>
  <c r="M49" i="1"/>
  <c r="K49" i="1"/>
  <c r="L49" i="1"/>
  <c r="F49" i="1"/>
  <c r="Q48" i="1"/>
  <c r="M48" i="1"/>
  <c r="K48" i="1"/>
  <c r="F48" i="1"/>
  <c r="L48" i="1" s="1"/>
  <c r="Q47" i="1"/>
  <c r="M47" i="1"/>
  <c r="K47" i="1"/>
  <c r="F47" i="1"/>
  <c r="L47" i="1" s="1"/>
  <c r="Q46" i="1"/>
  <c r="M46" i="1"/>
  <c r="K46" i="1"/>
  <c r="F46" i="1"/>
  <c r="L46" i="1" s="1"/>
  <c r="Q45" i="1"/>
  <c r="M45" i="1"/>
  <c r="K45" i="1"/>
  <c r="F45" i="1"/>
  <c r="L45" i="1" s="1"/>
  <c r="Q44" i="1"/>
  <c r="M44" i="1"/>
  <c r="K44" i="1"/>
  <c r="F44" i="1"/>
  <c r="L44" i="1" s="1"/>
  <c r="Q43" i="1"/>
  <c r="M43" i="1"/>
  <c r="K43" i="1"/>
  <c r="F43" i="1"/>
  <c r="L43" i="1" s="1"/>
  <c r="M42" i="1"/>
  <c r="K42" i="1"/>
  <c r="F42" i="1"/>
  <c r="L42" i="1" s="1"/>
  <c r="Q41" i="1"/>
  <c r="M41" i="1"/>
  <c r="K41" i="1"/>
  <c r="L41" i="1"/>
  <c r="F41" i="1"/>
  <c r="Q40" i="1"/>
  <c r="M40" i="1"/>
  <c r="K40" i="1"/>
  <c r="F40" i="1"/>
  <c r="L40" i="1" s="1"/>
  <c r="Q39" i="1"/>
  <c r="M39" i="1"/>
  <c r="K39" i="1"/>
  <c r="F39" i="1"/>
  <c r="L39" i="1" s="1"/>
  <c r="Q38" i="1"/>
  <c r="M38" i="1"/>
  <c r="K38" i="1"/>
  <c r="F38" i="1"/>
  <c r="L38" i="1" s="1"/>
  <c r="Q37" i="1"/>
  <c r="M37" i="1"/>
  <c r="K37" i="1"/>
  <c r="F37" i="1"/>
  <c r="L37" i="1" s="1"/>
  <c r="Q36" i="1"/>
  <c r="M36" i="1"/>
  <c r="L36" i="1"/>
  <c r="K36" i="1"/>
  <c r="F36" i="1"/>
  <c r="Q35" i="1"/>
  <c r="M35" i="1"/>
  <c r="K35" i="1"/>
  <c r="F35" i="1"/>
  <c r="L35" i="1" s="1"/>
  <c r="Q34" i="1"/>
  <c r="M34" i="1"/>
  <c r="K34" i="1"/>
  <c r="F34" i="1"/>
  <c r="L34" i="1" s="1"/>
  <c r="Q33" i="1"/>
  <c r="M33" i="1"/>
  <c r="K33" i="1"/>
  <c r="F33" i="1"/>
  <c r="L33" i="1" s="1"/>
  <c r="Q32" i="1"/>
  <c r="M32" i="1"/>
  <c r="K32" i="1"/>
  <c r="L32" i="1"/>
  <c r="F32" i="1"/>
  <c r="Q31" i="1"/>
  <c r="M31" i="1"/>
  <c r="K31" i="1"/>
  <c r="F31" i="1"/>
  <c r="L31" i="1" s="1"/>
  <c r="Q30" i="1"/>
  <c r="M30" i="1"/>
  <c r="K30" i="1"/>
  <c r="F30" i="1"/>
  <c r="L30" i="1" s="1"/>
  <c r="Q29" i="1"/>
  <c r="M29" i="1"/>
  <c r="K29" i="1"/>
  <c r="F29" i="1"/>
  <c r="L29" i="1" s="1"/>
  <c r="Q28" i="1"/>
  <c r="M28" i="1"/>
  <c r="K28" i="1"/>
  <c r="F28" i="1"/>
  <c r="L28" i="1" s="1"/>
  <c r="Q27" i="1"/>
  <c r="M27" i="1"/>
  <c r="K27" i="1"/>
  <c r="F27" i="1"/>
  <c r="L27" i="1" s="1"/>
  <c r="Q26" i="1"/>
  <c r="M26" i="1"/>
  <c r="K26" i="1"/>
  <c r="L26" i="1"/>
  <c r="F26" i="1"/>
  <c r="Q25" i="1"/>
  <c r="M25" i="1"/>
  <c r="K25" i="1"/>
  <c r="F25" i="1"/>
  <c r="L25" i="1" s="1"/>
  <c r="Q24" i="1"/>
  <c r="M24" i="1"/>
  <c r="K24" i="1"/>
  <c r="F24" i="1"/>
  <c r="L24" i="1" s="1"/>
  <c r="Q23" i="1"/>
  <c r="M23" i="1"/>
  <c r="L23" i="1"/>
  <c r="K23" i="1"/>
  <c r="F23" i="1"/>
  <c r="Q22" i="1"/>
  <c r="M22" i="1"/>
  <c r="L22" i="1"/>
  <c r="K22" i="1"/>
  <c r="F22" i="1"/>
  <c r="Q21" i="1"/>
  <c r="M21" i="1"/>
  <c r="K21" i="1"/>
  <c r="L21" i="1"/>
  <c r="F21" i="1"/>
  <c r="Q20" i="1"/>
  <c r="M20" i="1"/>
  <c r="K20" i="1"/>
  <c r="F20" i="1"/>
  <c r="L20" i="1" s="1"/>
  <c r="Q19" i="1"/>
  <c r="M19" i="1"/>
  <c r="K19" i="1"/>
  <c r="F19" i="1"/>
  <c r="L19" i="1" s="1"/>
  <c r="Q18" i="1"/>
  <c r="M18" i="1"/>
  <c r="K18" i="1"/>
  <c r="F18" i="1"/>
  <c r="L18" i="1" s="1"/>
  <c r="Q17" i="1"/>
  <c r="M17" i="1"/>
  <c r="K17" i="1"/>
  <c r="F17" i="1"/>
  <c r="L17" i="1" s="1"/>
  <c r="Q16" i="1"/>
  <c r="M16" i="1"/>
  <c r="K16" i="1"/>
  <c r="F16" i="1"/>
  <c r="L16" i="1" s="1"/>
  <c r="Q15" i="1"/>
  <c r="M15" i="1"/>
  <c r="L15" i="1"/>
  <c r="K15" i="1"/>
  <c r="F15" i="1"/>
  <c r="Q14" i="1"/>
  <c r="M14" i="1"/>
  <c r="K14" i="1"/>
  <c r="F14" i="1"/>
  <c r="L14" i="1" s="1"/>
  <c r="Q13" i="1"/>
  <c r="M13" i="1"/>
  <c r="K13" i="1"/>
  <c r="L13" i="1"/>
  <c r="F13" i="1"/>
  <c r="Q12" i="1"/>
  <c r="M12" i="1"/>
  <c r="K12" i="1"/>
  <c r="F12" i="1"/>
  <c r="L12" i="1" s="1"/>
  <c r="M11" i="1"/>
  <c r="K11" i="1"/>
  <c r="M10" i="1"/>
  <c r="K10" i="1"/>
  <c r="Q9" i="1"/>
  <c r="M9" i="1"/>
  <c r="K9" i="1"/>
  <c r="Q8" i="1"/>
  <c r="M8" i="1"/>
  <c r="L8" i="1"/>
  <c r="K8" i="1"/>
  <c r="F8" i="1"/>
  <c r="Q7" i="1"/>
  <c r="M7" i="1"/>
  <c r="K7" i="1"/>
  <c r="L7" i="1"/>
  <c r="F7" i="1"/>
  <c r="Q6" i="1"/>
  <c r="M6" i="1"/>
  <c r="K6" i="1"/>
  <c r="F6" i="1"/>
  <c r="L6" i="1" s="1"/>
  <c r="Q5" i="1"/>
  <c r="Q53" i="1" s="1"/>
  <c r="M5" i="1"/>
  <c r="K5" i="1"/>
  <c r="F5" i="1"/>
  <c r="H5" i="1" s="1"/>
  <c r="L5" i="1" s="1"/>
  <c r="G29" i="3" l="1"/>
  <c r="G31" i="3" s="1"/>
  <c r="E26" i="3"/>
  <c r="F29" i="3"/>
  <c r="M67" i="1"/>
  <c r="N65" i="1"/>
  <c r="H27" i="3" s="1"/>
  <c r="O63" i="1"/>
  <c r="I25" i="3" s="1"/>
  <c r="K53" i="1"/>
  <c r="O39" i="1" s="1"/>
  <c r="M53" i="1"/>
  <c r="N26" i="1"/>
  <c r="O5" i="1"/>
  <c r="N62" i="1"/>
  <c r="O65" i="1"/>
  <c r="L67" i="1"/>
  <c r="O62" i="1"/>
  <c r="I24" i="3" s="1"/>
  <c r="P65" i="1"/>
  <c r="J27" i="3" s="1"/>
  <c r="P62" i="1"/>
  <c r="J24" i="3" s="1"/>
  <c r="N64" i="1"/>
  <c r="H26" i="3" s="1"/>
  <c r="O64" i="1"/>
  <c r="N61" i="1"/>
  <c r="P64" i="1"/>
  <c r="J26" i="3" s="1"/>
  <c r="O61" i="1"/>
  <c r="I23" i="3" s="1"/>
  <c r="N66" i="1"/>
  <c r="H28" i="3" s="1"/>
  <c r="P61" i="1"/>
  <c r="J23" i="3" s="1"/>
  <c r="O66" i="1"/>
  <c r="I28" i="3" s="1"/>
  <c r="N63" i="1"/>
  <c r="O29" i="1"/>
  <c r="P42" i="1"/>
  <c r="O45" i="1"/>
  <c r="P8" i="1"/>
  <c r="P22" i="1"/>
  <c r="P43" i="1"/>
  <c r="N28" i="1"/>
  <c r="N16" i="1"/>
  <c r="N6" i="1"/>
  <c r="P48" i="1"/>
  <c r="N35" i="1"/>
  <c r="O48" i="1"/>
  <c r="P38" i="1"/>
  <c r="O25" i="1"/>
  <c r="P49" i="1"/>
  <c r="N36" i="1"/>
  <c r="O49" i="1"/>
  <c r="N25" i="1"/>
  <c r="O14" i="1"/>
  <c r="P46" i="1"/>
  <c r="P37" i="1"/>
  <c r="N23" i="1"/>
  <c r="O12" i="1"/>
  <c r="P26" i="1"/>
  <c r="P27" i="1"/>
  <c r="P5" i="1"/>
  <c r="P35" i="1"/>
  <c r="O47" i="1"/>
  <c r="P25" i="1"/>
  <c r="P13" i="1"/>
  <c r="N24" i="1"/>
  <c r="S24" i="1" s="1"/>
  <c r="T24" i="1" s="1"/>
  <c r="O13" i="1"/>
  <c r="P15" i="1"/>
  <c r="O36" i="1"/>
  <c r="N47" i="1"/>
  <c r="N12" i="1"/>
  <c r="S12" i="1" s="1"/>
  <c r="T12" i="1" s="1"/>
  <c r="P50" i="1"/>
  <c r="O38" i="1"/>
  <c r="N13" i="1"/>
  <c r="O46" i="1"/>
  <c r="P36" i="1"/>
  <c r="O35" i="1"/>
  <c r="P24" i="1"/>
  <c r="O23" i="1"/>
  <c r="P12" i="1"/>
  <c r="P51" i="1"/>
  <c r="P40" i="1"/>
  <c r="P28" i="1"/>
  <c r="P16" i="1"/>
  <c r="P6" i="1"/>
  <c r="P23" i="1"/>
  <c r="N46" i="1"/>
  <c r="S46" i="1" s="1"/>
  <c r="T46" i="1" s="1"/>
  <c r="O24" i="1"/>
  <c r="O37" i="1"/>
  <c r="P14" i="1"/>
  <c r="N48" i="1"/>
  <c r="P39" i="1"/>
  <c r="N37" i="1"/>
  <c r="O26" i="1"/>
  <c r="O51" i="1"/>
  <c r="O40" i="1"/>
  <c r="O28" i="1"/>
  <c r="O16" i="1"/>
  <c r="O6" i="1"/>
  <c r="P19" i="1"/>
  <c r="N51" i="1"/>
  <c r="O15" i="1"/>
  <c r="N38" i="1"/>
  <c r="N49" i="1"/>
  <c r="S49" i="1" s="1"/>
  <c r="T49" i="1" s="1"/>
  <c r="P52" i="1"/>
  <c r="N32" i="1"/>
  <c r="P31" i="1"/>
  <c r="O41" i="1"/>
  <c r="N44" i="1"/>
  <c r="N14" i="1"/>
  <c r="S14" i="1" s="1"/>
  <c r="T14" i="1" s="1"/>
  <c r="O27" i="1"/>
  <c r="P30" i="1"/>
  <c r="P20" i="1"/>
  <c r="P18" i="1"/>
  <c r="N40" i="1"/>
  <c r="O17" i="1"/>
  <c r="O9" i="1"/>
  <c r="P33" i="1"/>
  <c r="O7" i="1"/>
  <c r="S34" i="1"/>
  <c r="T34" i="1" s="1"/>
  <c r="L53" i="1"/>
  <c r="N10" i="1"/>
  <c r="P21" i="1"/>
  <c r="O34" i="1"/>
  <c r="P47" i="1"/>
  <c r="N33" i="1"/>
  <c r="P11" i="1"/>
  <c r="O21" i="1"/>
  <c r="P10" i="1"/>
  <c r="O18" i="1"/>
  <c r="P7" i="1"/>
  <c r="N15" i="1"/>
  <c r="P17" i="1"/>
  <c r="N27" i="1"/>
  <c r="S27" i="1" s="1"/>
  <c r="T27" i="1" s="1"/>
  <c r="P29" i="1"/>
  <c r="N39" i="1"/>
  <c r="P41" i="1"/>
  <c r="N50" i="1"/>
  <c r="O11" i="1"/>
  <c r="N20" i="1"/>
  <c r="O33" i="1"/>
  <c r="N8" i="1"/>
  <c r="S8" i="1" s="1"/>
  <c r="T8" i="1" s="1"/>
  <c r="N7" i="1"/>
  <c r="S7" i="1" s="1"/>
  <c r="T7" i="1" s="1"/>
  <c r="P9" i="1"/>
  <c r="N5" i="1"/>
  <c r="S5" i="1" s="1"/>
  <c r="N11" i="1"/>
  <c r="N22" i="1"/>
  <c r="N34" i="1"/>
  <c r="N45" i="1"/>
  <c r="N43" i="1"/>
  <c r="S43" i="1" s="1"/>
  <c r="T43" i="1" s="1"/>
  <c r="O44" i="1"/>
  <c r="P45" i="1"/>
  <c r="N21" i="1"/>
  <c r="S21" i="1" s="1"/>
  <c r="T21" i="1" s="1"/>
  <c r="P34" i="1"/>
  <c r="N9" i="1"/>
  <c r="S9" i="1" s="1"/>
  <c r="T9" i="1" s="1"/>
  <c r="O10" i="1"/>
  <c r="N19" i="1"/>
  <c r="O20" i="1"/>
  <c r="N31" i="1"/>
  <c r="O32" i="1"/>
  <c r="O43" i="1"/>
  <c r="P44" i="1"/>
  <c r="O22" i="1"/>
  <c r="S22" i="1" s="1"/>
  <c r="T22" i="1" s="1"/>
  <c r="N18" i="1"/>
  <c r="O19" i="1"/>
  <c r="N30" i="1"/>
  <c r="S30" i="1" s="1"/>
  <c r="T30" i="1" s="1"/>
  <c r="O31" i="1"/>
  <c r="S31" i="1" s="1"/>
  <c r="T31" i="1" s="1"/>
  <c r="P32" i="1"/>
  <c r="N42" i="1"/>
  <c r="S42" i="1" s="1"/>
  <c r="T42" i="1" s="1"/>
  <c r="N52" i="1"/>
  <c r="N29" i="1"/>
  <c r="O30" i="1"/>
  <c r="N41" i="1"/>
  <c r="O42" i="1"/>
  <c r="O52" i="1"/>
  <c r="O8" i="1"/>
  <c r="N17" i="1"/>
  <c r="S17" i="1" s="1"/>
  <c r="T17" i="1" s="1"/>
  <c r="J29" i="3" l="1"/>
  <c r="J31" i="3" s="1"/>
  <c r="O26" i="3"/>
  <c r="P26" i="3" s="1"/>
  <c r="N67" i="1"/>
  <c r="H23" i="3"/>
  <c r="O27" i="3"/>
  <c r="P27" i="3" s="1"/>
  <c r="S63" i="1"/>
  <c r="H25" i="3"/>
  <c r="F31" i="3"/>
  <c r="E29" i="3"/>
  <c r="S62" i="1"/>
  <c r="T62" i="1" s="1"/>
  <c r="H24" i="3"/>
  <c r="O28" i="3"/>
  <c r="P28" i="3" s="1"/>
  <c r="M28" i="3"/>
  <c r="S64" i="1"/>
  <c r="T64" i="1" s="1"/>
  <c r="I26" i="3"/>
  <c r="M26" i="3" s="1"/>
  <c r="S65" i="1"/>
  <c r="T65" i="1" s="1"/>
  <c r="I27" i="3"/>
  <c r="M27" i="3" s="1"/>
  <c r="S50" i="1"/>
  <c r="T50" i="1" s="1"/>
  <c r="S20" i="1"/>
  <c r="T20" i="1" s="1"/>
  <c r="S11" i="1"/>
  <c r="T11" i="1" s="1"/>
  <c r="S40" i="1"/>
  <c r="T40" i="1" s="1"/>
  <c r="S26" i="1"/>
  <c r="T26" i="1" s="1"/>
  <c r="S41" i="1"/>
  <c r="T41" i="1" s="1"/>
  <c r="S45" i="1"/>
  <c r="T45" i="1" s="1"/>
  <c r="S28" i="1"/>
  <c r="T28" i="1" s="1"/>
  <c r="O50" i="1"/>
  <c r="S47" i="1"/>
  <c r="T47" i="1" s="1"/>
  <c r="S52" i="1"/>
  <c r="T52" i="1" s="1"/>
  <c r="S6" i="1"/>
  <c r="T6" i="1" s="1"/>
  <c r="S16" i="1"/>
  <c r="T16" i="1" s="1"/>
  <c r="S25" i="1"/>
  <c r="T25" i="1" s="1"/>
  <c r="S36" i="1"/>
  <c r="T36" i="1" s="1"/>
  <c r="S38" i="1"/>
  <c r="T38" i="1" s="1"/>
  <c r="S29" i="1"/>
  <c r="T29" i="1" s="1"/>
  <c r="S23" i="1"/>
  <c r="T23" i="1" s="1"/>
  <c r="S33" i="1"/>
  <c r="T33" i="1" s="1"/>
  <c r="S37" i="1"/>
  <c r="T37" i="1" s="1"/>
  <c r="S39" i="1"/>
  <c r="T39" i="1" s="1"/>
  <c r="S13" i="1"/>
  <c r="T13" i="1" s="1"/>
  <c r="S18" i="1"/>
  <c r="T18" i="1" s="1"/>
  <c r="S48" i="1"/>
  <c r="T48" i="1" s="1"/>
  <c r="O53" i="1"/>
  <c r="S19" i="1"/>
  <c r="T19" i="1" s="1"/>
  <c r="S32" i="1"/>
  <c r="T32" i="1" s="1"/>
  <c r="S51" i="1"/>
  <c r="T51" i="1" s="1"/>
  <c r="S44" i="1"/>
  <c r="T44" i="1" s="1"/>
  <c r="S35" i="1"/>
  <c r="T35" i="1" s="1"/>
  <c r="S15" i="1"/>
  <c r="T15" i="1" s="1"/>
  <c r="S10" i="1"/>
  <c r="T10" i="1" s="1"/>
  <c r="P67" i="1"/>
  <c r="S66" i="1"/>
  <c r="T66" i="1" s="1"/>
  <c r="O67" i="1"/>
  <c r="S61" i="1"/>
  <c r="T5" i="1"/>
  <c r="P53" i="1"/>
  <c r="N53" i="1"/>
  <c r="N27" i="3" l="1"/>
  <c r="S27" i="3"/>
  <c r="T27" i="3" s="1"/>
  <c r="U27" i="3"/>
  <c r="V27" i="3" s="1"/>
  <c r="M25" i="3"/>
  <c r="O25" i="3"/>
  <c r="P25" i="3" s="1"/>
  <c r="N26" i="3"/>
  <c r="S26" i="3"/>
  <c r="T26" i="3" s="1"/>
  <c r="U26" i="3"/>
  <c r="V26" i="3" s="1"/>
  <c r="H29" i="3"/>
  <c r="H31" i="3" s="1"/>
  <c r="O23" i="3"/>
  <c r="M23" i="3"/>
  <c r="O24" i="3"/>
  <c r="P24" i="3" s="1"/>
  <c r="M24" i="3"/>
  <c r="S34" i="3"/>
  <c r="S35" i="3" s="1"/>
  <c r="E31" i="3"/>
  <c r="N28" i="3"/>
  <c r="U28" i="3"/>
  <c r="V28" i="3" s="1"/>
  <c r="S28" i="3"/>
  <c r="T28" i="3" s="1"/>
  <c r="I29" i="3"/>
  <c r="I31" i="3" s="1"/>
  <c r="S53" i="1"/>
  <c r="T53" i="1" s="1"/>
  <c r="S67" i="1"/>
  <c r="T67" i="1" s="1"/>
  <c r="T61" i="1"/>
  <c r="N24" i="3" l="1"/>
  <c r="U24" i="3"/>
  <c r="V24" i="3" s="1"/>
  <c r="S24" i="3"/>
  <c r="T24" i="3" s="1"/>
  <c r="S23" i="3"/>
  <c r="M29" i="3"/>
  <c r="U23" i="3"/>
  <c r="N23" i="3"/>
  <c r="O29" i="3"/>
  <c r="P23" i="3"/>
  <c r="N25" i="3"/>
  <c r="U25" i="3"/>
  <c r="V25" i="3" s="1"/>
  <c r="S25" i="3"/>
  <c r="T25" i="3" s="1"/>
  <c r="P29" i="3" l="1"/>
  <c r="O31" i="3"/>
  <c r="P31" i="3" s="1"/>
  <c r="V23" i="3"/>
  <c r="U29" i="3"/>
  <c r="N29" i="3"/>
  <c r="M31" i="3"/>
  <c r="N31" i="3" s="1"/>
  <c r="T23" i="3"/>
  <c r="S29" i="3"/>
  <c r="T29" i="3" l="1"/>
  <c r="S31" i="3"/>
  <c r="T31" i="3" s="1"/>
  <c r="V29" i="3"/>
  <c r="U31" i="3"/>
  <c r="V31" i="3" s="1"/>
</calcChain>
</file>

<file path=xl/sharedStrings.xml><?xml version="1.0" encoding="utf-8"?>
<sst xmlns="http://schemas.openxmlformats.org/spreadsheetml/2006/main" count="427" uniqueCount="225">
  <si>
    <t>CODIGO</t>
  </si>
  <si>
    <t>PRODUCTO</t>
  </si>
  <si>
    <t>STOCK LIBRE</t>
  </si>
  <si>
    <t>POTA ALAS FR C/P C/C (B) S/COD BL10 S20</t>
  </si>
  <si>
    <t>POTA ALAS FR C/P C/C &lt;0.5 BL10 S20</t>
  </si>
  <si>
    <t>POTA ALAS FR C/P C/C 0.5-1 BL10 S20</t>
  </si>
  <si>
    <t xml:space="preserve">POTA ALAS FR C/P C/C 1-2 BL10 S20  </t>
  </si>
  <si>
    <t>POTA ALAS FR C/P C/C 1-2 BL10 S20  ENTERA</t>
  </si>
  <si>
    <t>POTA LABIOS FR S/COD BL10 S20</t>
  </si>
  <si>
    <t>POTA CONOS</t>
  </si>
  <si>
    <t xml:space="preserve">POTA FILETE C/M C/T FR 1-2 BL10 S20  </t>
  </si>
  <si>
    <t>POTA FILETE C/M C/T FR 1.0 - 3.0 BL10 S20</t>
  </si>
  <si>
    <t>POTA FILETE C/M C/T FR 2-4  S20</t>
  </si>
  <si>
    <t xml:space="preserve">POTA FILETE C/M C/T FR &lt;0.5 Kg AA BL10 S20  </t>
  </si>
  <si>
    <t xml:space="preserve">POTA FILETE C/M C/T FR 2-4  (AA) BL10 S20  </t>
  </si>
  <si>
    <t>POTA FILETE C/M C/T FR 1.0 - 3.0 AA BL10 S20</t>
  </si>
  <si>
    <t>POTA FILETE C/M C/T FR 1-2 AA BL10 S20  JAPON</t>
  </si>
  <si>
    <t>POTA FILETE C/M C/T FR 1-2 AA BL10 S20  50% ROSADO</t>
  </si>
  <si>
    <t xml:space="preserve">POTA FILETE SM ST 1-2 CM/ESP </t>
  </si>
  <si>
    <t>POTA FILETE C/M C/T 4.0 - UP AA BL10 S20</t>
  </si>
  <si>
    <t>POTA FILETE C/M C/T 4.0 - UP BL10 S20</t>
  </si>
  <si>
    <t>POTA MANTO C/M C/T FR 2.0 - 4.0 BL10 S20</t>
  </si>
  <si>
    <t>POTA MANTO C/M C/T FR 2.0 - 4.0 AA BL10 S20</t>
  </si>
  <si>
    <t>POTA NUCAS FR ABIERTAS 0.1 - 0.3 BL10 S2</t>
  </si>
  <si>
    <t>POTA NUCAS FR CERRADA 0.1 - 0.3 BL10 S2</t>
  </si>
  <si>
    <t>POTA NUCAS FR CERRADA &lt;0.1 BL10 S2</t>
  </si>
  <si>
    <t>POTA NUCAS FR ABIERTAS 0.5-1 BL10 S20</t>
  </si>
  <si>
    <t>POTA NUCAS FR ABIERTAS 0.3-0.5 BL10 S20</t>
  </si>
  <si>
    <t>POTA NUCAS FR ABIERTAS 1-2 BL10 S20</t>
  </si>
  <si>
    <t>POTA REJOS OR FR LIMPIOS S/COD BL10 S20</t>
  </si>
  <si>
    <t>POTA REJOS OR FR LIMPIOS &lt;60 cm BL10 S20</t>
  </si>
  <si>
    <t>POTA REJOS FR C/U C/V S/OR 0.1-0.3 BL10</t>
  </si>
  <si>
    <t>POTA REJOS FR  C/U C/V S/OR 0.3-0.5BL10</t>
  </si>
  <si>
    <t>POTA REJOS FR  C/U C/V S/OR 0.5-1.0 BL10</t>
  </si>
  <si>
    <t>POTA REJOS FR C/B S/U S/V S/OR 3.0 - UP BL10 S20</t>
  </si>
  <si>
    <t>POTA REJOS FR C/B S/U S/V S/OR 0.3-0.5 BL10</t>
  </si>
  <si>
    <t>POTA REJOS FR C/B S/U S/V S/OR 0.5-1 BL1 0</t>
  </si>
  <si>
    <t>POTA REJOS FR C/B C/U C/V S/OR 1.0  up BL 10S20</t>
  </si>
  <si>
    <t>POTA REJOS FR C/B S/U S/V S/OR 2-UP BL10</t>
  </si>
  <si>
    <t>POTA REJOS FR C/B S/U S/V S/OR 2.0 -3.0 BL10 S20</t>
  </si>
  <si>
    <t xml:space="preserve">POTA REJOS FR C/B S/U S/V S/OR 1-2 BL10  </t>
  </si>
  <si>
    <t>VENTOSAS DE REJOS</t>
  </si>
  <si>
    <t xml:space="preserve">POTA FILETE PRE COCIDO S/M S/T C/P S/COD  </t>
  </si>
  <si>
    <t>POTA FILETE PRE COCIDO S/M S/T C/P 0.6-1.0</t>
  </si>
  <si>
    <t>POTA ALAS PRE COC 0.3 UP C/PIEL BL10 S20</t>
  </si>
  <si>
    <t>POTA ALAS PRE COC 0.3up BL9 S18</t>
  </si>
  <si>
    <t>POTA ALAS PRE COC B BL9 S18</t>
  </si>
  <si>
    <t>POTA RECORTES PRE COC BL9 S18</t>
  </si>
  <si>
    <t>POTA RECORTES LAM PRE COC (M) BL7.5 S15</t>
  </si>
  <si>
    <t>POTA RECORTES LAM PRE COC (T) BL7.5 S15</t>
  </si>
  <si>
    <t>FILETE CM CT PARA REPROCESO</t>
  </si>
  <si>
    <t>TOTAL LIBRE</t>
  </si>
  <si>
    <t>STOCK EN PAITA</t>
  </si>
  <si>
    <t>Al cierre de Agosto</t>
  </si>
  <si>
    <t>Simulador Septiembre</t>
  </si>
  <si>
    <t>CU Producción</t>
  </si>
  <si>
    <t>Promedio CU</t>
  </si>
  <si>
    <t>CÓDIGO</t>
  </si>
  <si>
    <t>TM en Stock</t>
  </si>
  <si>
    <t>Costo Ventas</t>
  </si>
  <si>
    <t>Gasto Ventas</t>
  </si>
  <si>
    <t>Gasto ADM</t>
  </si>
  <si>
    <t>Gasto Fin</t>
  </si>
  <si>
    <t>Depreciación</t>
  </si>
  <si>
    <t>Utilidad Neta</t>
  </si>
  <si>
    <t>Margen Neto</t>
  </si>
  <si>
    <t>Venta Equilibrio</t>
  </si>
  <si>
    <t>Precio Equilibrio x TM</t>
  </si>
  <si>
    <t>ALAS FRESCAS</t>
  </si>
  <si>
    <t>CONOS</t>
  </si>
  <si>
    <t>FILETE FRESCO</t>
  </si>
  <si>
    <t>MANTO</t>
  </si>
  <si>
    <t>NUCAS</t>
  </si>
  <si>
    <t>REPRODUCTORES</t>
  </si>
  <si>
    <t>REJOS</t>
  </si>
  <si>
    <t>VENTOSAS</t>
  </si>
  <si>
    <t>DARUMA</t>
  </si>
  <si>
    <t>ALAS COCIDAS</t>
  </si>
  <si>
    <t>RECORTES</t>
  </si>
  <si>
    <t>totales</t>
  </si>
  <si>
    <t>STOCK EN CHINA (FUENTE: CUADRO DE EXPORTACIONES DE ROXANA)</t>
  </si>
  <si>
    <t>Filete</t>
  </si>
  <si>
    <t>Alas</t>
  </si>
  <si>
    <t>Rejos</t>
  </si>
  <si>
    <t>Daruma</t>
  </si>
  <si>
    <t>Alas Cocidas</t>
  </si>
  <si>
    <t>Recortes</t>
  </si>
  <si>
    <t>Etiquetas de fila</t>
  </si>
  <si>
    <t>Total general</t>
  </si>
  <si>
    <t>Suma de TM en Stock</t>
  </si>
  <si>
    <t>Suma de Costo Ventas</t>
  </si>
  <si>
    <t>Suma de Gasto Ventas</t>
  </si>
  <si>
    <t>Suma de Gasto ADM</t>
  </si>
  <si>
    <t>Suma de Gasto Fin</t>
  </si>
  <si>
    <t>Suma de Depreciación</t>
  </si>
  <si>
    <t>POTA FILETE CONGELADO</t>
  </si>
  <si>
    <t>POTA NUCAS CONGELADAS</t>
  </si>
  <si>
    <t>POTA ALAS CONGELADAS</t>
  </si>
  <si>
    <t>POTA RECORTES COCIDOS</t>
  </si>
  <si>
    <t>POTA REJOS CONGELADOS</t>
  </si>
  <si>
    <t>POTA REPRODUCTORES</t>
  </si>
  <si>
    <t>POTA FILETE DARUMA</t>
  </si>
  <si>
    <t>POTA ALAS COCIDAS</t>
  </si>
  <si>
    <t>STOCK OCTUBRE</t>
  </si>
  <si>
    <t>PERU FROST</t>
  </si>
  <si>
    <t>STOCK PAITA</t>
  </si>
  <si>
    <t>RENTABILIDAD DEL INVENTARIO</t>
  </si>
  <si>
    <t>Código</t>
  </si>
  <si>
    <t>Producto</t>
  </si>
  <si>
    <t>TM en 
Stock Libre</t>
  </si>
  <si>
    <t>CU</t>
  </si>
  <si>
    <t>Venta Equilibrio 
a Utd Neta</t>
  </si>
  <si>
    <t>Precio Equilibrio 
x TM a Utd Neta</t>
  </si>
  <si>
    <t>Venta Equilibro 
a EBITDA</t>
  </si>
  <si>
    <t>Precio Equilibrio 
x TM a EBITDA</t>
  </si>
  <si>
    <t>Precio Mercado</t>
  </si>
  <si>
    <t>Venta total</t>
  </si>
  <si>
    <t>Utilidad</t>
  </si>
  <si>
    <t>Mg Neto</t>
  </si>
  <si>
    <t>EBITDA</t>
  </si>
  <si>
    <t>Mg EBITDA</t>
  </si>
  <si>
    <t>TOTAL</t>
  </si>
  <si>
    <t>STOCK DE CHINA</t>
  </si>
  <si>
    <t>costo financiero mes</t>
  </si>
  <si>
    <t>costo financiero por tm</t>
  </si>
  <si>
    <t>costo almacenamiento mensual</t>
  </si>
  <si>
    <t>AVANCE COMERCIAL AL 19-10-2026</t>
  </si>
  <si>
    <t>chicas</t>
  </si>
  <si>
    <t>grandes</t>
  </si>
  <si>
    <t>FILETE REPROCESO</t>
  </si>
  <si>
    <t>MES</t>
  </si>
  <si>
    <t>FP</t>
  </si>
  <si>
    <t>Fecha FP</t>
  </si>
  <si>
    <t>Fecha Embarque</t>
  </si>
  <si>
    <t xml:space="preserve"> Cantidad </t>
  </si>
  <si>
    <t>Corte</t>
  </si>
  <si>
    <t>Espec.</t>
  </si>
  <si>
    <t>País</t>
  </si>
  <si>
    <t xml:space="preserve">Puerto </t>
  </si>
  <si>
    <t>Cliente (Razón Social)</t>
  </si>
  <si>
    <t xml:space="preserve">Contacto </t>
  </si>
  <si>
    <t>Stock</t>
  </si>
  <si>
    <t>Precio TM</t>
  </si>
  <si>
    <t>VENTA 
CFR</t>
  </si>
  <si>
    <t>Flete</t>
  </si>
  <si>
    <t>Costo 
Ventas</t>
  </si>
  <si>
    <t>Utilidad 
Bruta</t>
  </si>
  <si>
    <t>Gasto 
Ventas</t>
  </si>
  <si>
    <t>Gasto 
Adm</t>
  </si>
  <si>
    <t>Drawback</t>
  </si>
  <si>
    <t>Utilidad 
Operativa</t>
  </si>
  <si>
    <t>Gasto 
Financiero</t>
  </si>
  <si>
    <t>Utilidad 
Neta</t>
  </si>
  <si>
    <t>Margen 
Bruto</t>
  </si>
  <si>
    <t>Margen 
Operativo</t>
  </si>
  <si>
    <t>Margen 
Neto</t>
  </si>
  <si>
    <t>Margen 
EBITDA</t>
  </si>
  <si>
    <t>Rejos Re</t>
  </si>
  <si>
    <t>+  60 CM , SUCKERS OFF</t>
  </si>
  <si>
    <t>Mexico</t>
  </si>
  <si>
    <t>Manzanillo</t>
  </si>
  <si>
    <t>GOLDEN SEAFOOD</t>
  </si>
  <si>
    <t>alexander</t>
  </si>
  <si>
    <t>Paita</t>
  </si>
  <si>
    <t>POTA NUCAS</t>
  </si>
  <si>
    <t>Nucas</t>
  </si>
  <si>
    <t>Tailandia</t>
  </si>
  <si>
    <t>Lat Krabang</t>
  </si>
  <si>
    <t xml:space="preserve">TSUJINO </t>
  </si>
  <si>
    <t>Jose</t>
  </si>
  <si>
    <t>Conos</t>
  </si>
  <si>
    <t xml:space="preserve">China </t>
  </si>
  <si>
    <t>Qingdao</t>
  </si>
  <si>
    <t>Shenzhen Yueshi Supply</t>
  </si>
  <si>
    <t>James</t>
  </si>
  <si>
    <t>China</t>
  </si>
  <si>
    <t>cobrado</t>
  </si>
  <si>
    <t>pendiente cobro primera semana de octubre</t>
  </si>
  <si>
    <t>OCTUBRE</t>
  </si>
  <si>
    <t>281-2026A</t>
  </si>
  <si>
    <t>283-2026</t>
  </si>
  <si>
    <t xml:space="preserve">1-2 SIN CORTAR </t>
  </si>
  <si>
    <t xml:space="preserve">Japón </t>
  </si>
  <si>
    <t>Hachinohe</t>
  </si>
  <si>
    <t>284-2026</t>
  </si>
  <si>
    <t>289-2026</t>
  </si>
  <si>
    <t xml:space="preserve">1-2 no cortadas plate frozen </t>
  </si>
  <si>
    <t>Shidao</t>
  </si>
  <si>
    <t>Susan</t>
  </si>
  <si>
    <t>290-2026</t>
  </si>
  <si>
    <t>Dexianhui Technology</t>
  </si>
  <si>
    <t>291-2026A</t>
  </si>
  <si>
    <t xml:space="preserve">1-2 SIN CORTAR  tunel </t>
  </si>
  <si>
    <t>291-2026B</t>
  </si>
  <si>
    <t>295-2026</t>
  </si>
  <si>
    <t>POTA LABIOS CONGELADOS</t>
  </si>
  <si>
    <t>Labios</t>
  </si>
  <si>
    <t>QINGDAO OCEAN</t>
  </si>
  <si>
    <t>Barton</t>
  </si>
  <si>
    <t>296-2026</t>
  </si>
  <si>
    <t>297-2026</t>
  </si>
  <si>
    <t>500 - 1300  - sucios</t>
  </si>
  <si>
    <t>shidao</t>
  </si>
  <si>
    <t>VIMARSA IMPORTACIONES SLU</t>
  </si>
  <si>
    <t>Lucia Conde</t>
  </si>
  <si>
    <t>299-2026</t>
  </si>
  <si>
    <t>POTA  TELILLA PRECOCIDA</t>
  </si>
  <si>
    <t>Telilla PC</t>
  </si>
  <si>
    <t>Yantai</t>
  </si>
  <si>
    <t>YANTAI HIZEN INTERNATIONAL</t>
  </si>
  <si>
    <t>Alicia</t>
  </si>
  <si>
    <t>POTA  MEMBRANA PRECOCIDA</t>
  </si>
  <si>
    <t>Membrana PC</t>
  </si>
  <si>
    <t>301-2026</t>
  </si>
  <si>
    <t>RD FP 275A</t>
  </si>
  <si>
    <t>Alas Precocidas</t>
  </si>
  <si>
    <t>Qingdao Haiyujia</t>
  </si>
  <si>
    <t xml:space="preserve">Mark </t>
  </si>
  <si>
    <t>302-2026A</t>
  </si>
  <si>
    <t>500-up</t>
  </si>
  <si>
    <t>303-2026</t>
  </si>
  <si>
    <t>RD FP 275B</t>
  </si>
  <si>
    <t>LONGKOU JIABAO AQUATIC</t>
  </si>
  <si>
    <t>304-2026</t>
  </si>
  <si>
    <t>VENTA DE OCTUBRE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</si>
</sst>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* #,##0.0_-;\-* #,##0.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sz val="11"/>
      <color theme="1"/>
      <name val="Cambria"/>
      <family val="1"/>
    </font>
    <font>
      <sz val="12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249977111117893"/>
        <bgColor theme="9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59">
    <xf numFmtId="0" fontId="0" fillId="0" borderId="0" xfId="0"/>
    <xf numFmtId="43" fontId="0" fillId="0" borderId="0" xfId="1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3" fontId="4" fillId="3" borderId="2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43" fontId="0" fillId="0" borderId="0" xfId="0" applyNumberFormat="1" applyFont="1"/>
    <xf numFmtId="0" fontId="4" fillId="0" borderId="0" xfId="0" applyFont="1"/>
    <xf numFmtId="0" fontId="7" fillId="0" borderId="0" xfId="0" applyFont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9" fontId="7" fillId="0" borderId="5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164" fontId="0" fillId="0" borderId="0" xfId="1" applyNumberFormat="1" applyFont="1"/>
    <xf numFmtId="43" fontId="0" fillId="0" borderId="0" xfId="0" applyNumberFormat="1"/>
    <xf numFmtId="0" fontId="0" fillId="12" borderId="7" xfId="0" applyFill="1" applyBorder="1" applyAlignment="1">
      <alignment horizontal="center" vertical="top"/>
    </xf>
    <xf numFmtId="164" fontId="0" fillId="0" borderId="8" xfId="1" applyNumberFormat="1" applyFont="1" applyBorder="1"/>
    <xf numFmtId="164" fontId="9" fillId="0" borderId="0" xfId="1" applyNumberFormat="1" applyFont="1" applyBorder="1"/>
    <xf numFmtId="164" fontId="9" fillId="0" borderId="0" xfId="1" applyNumberFormat="1" applyFont="1" applyBorder="1" applyAlignment="1">
      <alignment horizontal="center"/>
    </xf>
    <xf numFmtId="164" fontId="9" fillId="2" borderId="9" xfId="1" applyNumberFormat="1" applyFont="1" applyFill="1" applyBorder="1"/>
    <xf numFmtId="164" fontId="9" fillId="2" borderId="10" xfId="1" applyNumberFormat="1" applyFont="1" applyFill="1" applyBorder="1"/>
    <xf numFmtId="164" fontId="9" fillId="2" borderId="11" xfId="1" applyNumberFormat="1" applyFont="1" applyFill="1" applyBorder="1"/>
    <xf numFmtId="43" fontId="3" fillId="0" borderId="0" xfId="0" applyNumberFormat="1" applyFont="1"/>
    <xf numFmtId="0" fontId="0" fillId="0" borderId="2" xfId="0" applyBorder="1"/>
    <xf numFmtId="0" fontId="0" fillId="4" borderId="7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/>
    </xf>
    <xf numFmtId="164" fontId="0" fillId="0" borderId="0" xfId="0" applyNumberFormat="1"/>
    <xf numFmtId="0" fontId="0" fillId="2" borderId="7" xfId="0" applyFill="1" applyBorder="1" applyAlignment="1">
      <alignment horizontal="center" vertical="top"/>
    </xf>
    <xf numFmtId="0" fontId="0" fillId="13" borderId="7" xfId="0" applyFill="1" applyBorder="1" applyAlignment="1">
      <alignment horizontal="center" vertical="top"/>
    </xf>
    <xf numFmtId="0" fontId="0" fillId="0" borderId="12" xfId="0" applyBorder="1" applyAlignment="1">
      <alignment horizontal="center"/>
    </xf>
    <xf numFmtId="164" fontId="0" fillId="0" borderId="13" xfId="1" applyNumberFormat="1" applyFont="1" applyBorder="1"/>
    <xf numFmtId="164" fontId="9" fillId="0" borderId="14" xfId="1" applyNumberFormat="1" applyFont="1" applyBorder="1"/>
    <xf numFmtId="164" fontId="9" fillId="0" borderId="14" xfId="1" applyNumberFormat="1" applyFont="1" applyBorder="1" applyAlignment="1">
      <alignment horizontal="center"/>
    </xf>
    <xf numFmtId="164" fontId="9" fillId="2" borderId="15" xfId="1" applyNumberFormat="1" applyFont="1" applyFill="1" applyBorder="1"/>
    <xf numFmtId="164" fontId="9" fillId="2" borderId="16" xfId="1" applyNumberFormat="1" applyFont="1" applyFill="1" applyBorder="1"/>
    <xf numFmtId="164" fontId="7" fillId="0" borderId="4" xfId="1" applyNumberFormat="1" applyFont="1" applyBorder="1"/>
    <xf numFmtId="164" fontId="7" fillId="0" borderId="5" xfId="1" applyNumberFormat="1" applyFont="1" applyBorder="1"/>
    <xf numFmtId="164" fontId="7" fillId="0" borderId="5" xfId="1" applyNumberFormat="1" applyFont="1" applyBorder="1" applyAlignment="1">
      <alignment horizontal="center"/>
    </xf>
    <xf numFmtId="164" fontId="7" fillId="2" borderId="6" xfId="1" applyNumberFormat="1" applyFont="1" applyFill="1" applyBorder="1"/>
    <xf numFmtId="0" fontId="0" fillId="0" borderId="0" xfId="0" applyAlignment="1">
      <alignment horizontal="center"/>
    </xf>
    <xf numFmtId="43" fontId="10" fillId="0" borderId="0" xfId="1" applyFont="1"/>
    <xf numFmtId="0" fontId="11" fillId="14" borderId="0" xfId="0" applyFont="1" applyFill="1"/>
    <xf numFmtId="0" fontId="4" fillId="3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2" fillId="0" borderId="0" xfId="0" applyFont="1"/>
    <xf numFmtId="0" fontId="0" fillId="0" borderId="17" xfId="0" applyBorder="1"/>
    <xf numFmtId="0" fontId="0" fillId="0" borderId="17" xfId="0" applyBorder="1" applyAlignment="1">
      <alignment vertical="top"/>
    </xf>
    <xf numFmtId="0" fontId="1" fillId="0" borderId="0" xfId="2"/>
    <xf numFmtId="0" fontId="13" fillId="0" borderId="0" xfId="2" applyFont="1"/>
    <xf numFmtId="0" fontId="4" fillId="0" borderId="0" xfId="2" applyFont="1"/>
    <xf numFmtId="164" fontId="1" fillId="0" borderId="0" xfId="2" applyNumberFormat="1"/>
    <xf numFmtId="165" fontId="0" fillId="0" borderId="0" xfId="3" applyNumberFormat="1" applyFont="1"/>
    <xf numFmtId="43" fontId="1" fillId="0" borderId="0" xfId="2" applyNumberFormat="1"/>
    <xf numFmtId="0" fontId="4" fillId="10" borderId="0" xfId="2" applyFont="1" applyFill="1" applyAlignment="1">
      <alignment horizontal="center"/>
    </xf>
    <xf numFmtId="0" fontId="4" fillId="0" borderId="4" xfId="2" applyFont="1" applyBorder="1" applyAlignment="1">
      <alignment horizontal="center"/>
    </xf>
    <xf numFmtId="0" fontId="4" fillId="0" borderId="5" xfId="2" applyFont="1" applyBorder="1" applyAlignment="1">
      <alignment horizontal="center"/>
    </xf>
    <xf numFmtId="0" fontId="4" fillId="0" borderId="18" xfId="2" applyFont="1" applyBorder="1" applyAlignment="1">
      <alignment horizontal="center"/>
    </xf>
    <xf numFmtId="0" fontId="4" fillId="15" borderId="1" xfId="2" applyFont="1" applyFill="1" applyBorder="1" applyAlignment="1">
      <alignment vertical="center"/>
    </xf>
    <xf numFmtId="0" fontId="4" fillId="0" borderId="2" xfId="2" applyFont="1" applyBorder="1" applyAlignment="1">
      <alignment horizontal="center" vertical="center"/>
    </xf>
    <xf numFmtId="0" fontId="4" fillId="11" borderId="19" xfId="2" applyFont="1" applyFill="1" applyBorder="1" applyAlignment="1">
      <alignment horizontal="center" vertical="center" wrapText="1"/>
    </xf>
    <xf numFmtId="0" fontId="4" fillId="11" borderId="20" xfId="2" applyFont="1" applyFill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9" fontId="4" fillId="0" borderId="5" xfId="2" applyNumberFormat="1" applyFont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/>
    </xf>
    <xf numFmtId="0" fontId="1" fillId="0" borderId="0" xfId="2" applyAlignment="1">
      <alignment vertical="center"/>
    </xf>
    <xf numFmtId="0" fontId="1" fillId="0" borderId="0" xfId="2" applyAlignment="1">
      <alignment horizontal="left"/>
    </xf>
    <xf numFmtId="0" fontId="1" fillId="0" borderId="17" xfId="2" applyBorder="1"/>
    <xf numFmtId="1" fontId="1" fillId="11" borderId="3" xfId="2" applyNumberFormat="1" applyFill="1" applyBorder="1" applyAlignment="1">
      <alignment horizontal="center"/>
    </xf>
    <xf numFmtId="164" fontId="0" fillId="11" borderId="21" xfId="4" applyNumberFormat="1" applyFont="1" applyFill="1" applyBorder="1" applyAlignment="1">
      <alignment horizontal="center"/>
    </xf>
    <xf numFmtId="164" fontId="0" fillId="0" borderId="0" xfId="4" applyNumberFormat="1" applyFont="1"/>
    <xf numFmtId="164" fontId="0" fillId="0" borderId="0" xfId="4" applyNumberFormat="1" applyFont="1" applyBorder="1"/>
    <xf numFmtId="9" fontId="1" fillId="0" borderId="0" xfId="2" applyNumberFormat="1"/>
    <xf numFmtId="164" fontId="11" fillId="2" borderId="11" xfId="2" applyNumberFormat="1" applyFont="1" applyFill="1" applyBorder="1"/>
    <xf numFmtId="164" fontId="11" fillId="2" borderId="11" xfId="4" applyNumberFormat="1" applyFont="1" applyFill="1" applyBorder="1"/>
    <xf numFmtId="164" fontId="11" fillId="0" borderId="11" xfId="4" applyNumberFormat="1" applyFont="1" applyFill="1" applyBorder="1"/>
    <xf numFmtId="9" fontId="11" fillId="0" borderId="11" xfId="3" applyFont="1" applyFill="1" applyBorder="1" applyAlignment="1">
      <alignment horizontal="center"/>
    </xf>
    <xf numFmtId="0" fontId="1" fillId="0" borderId="17" xfId="2" applyBorder="1" applyAlignment="1">
      <alignment vertical="top"/>
    </xf>
    <xf numFmtId="164" fontId="11" fillId="0" borderId="10" xfId="4" applyNumberFormat="1" applyFont="1" applyFill="1" applyBorder="1"/>
    <xf numFmtId="0" fontId="4" fillId="0" borderId="22" xfId="2" applyFont="1" applyBorder="1" applyAlignment="1">
      <alignment horizontal="center"/>
    </xf>
    <xf numFmtId="1" fontId="4" fillId="11" borderId="23" xfId="2" applyNumberFormat="1" applyFont="1" applyFill="1" applyBorder="1" applyAlignment="1">
      <alignment horizontal="center"/>
    </xf>
    <xf numFmtId="164" fontId="4" fillId="11" borderId="24" xfId="4" applyNumberFormat="1" applyFont="1" applyFill="1" applyBorder="1" applyAlignment="1">
      <alignment horizontal="center"/>
    </xf>
    <xf numFmtId="164" fontId="4" fillId="0" borderId="5" xfId="4" applyNumberFormat="1" applyFont="1" applyBorder="1"/>
    <xf numFmtId="9" fontId="4" fillId="0" borderId="5" xfId="3" applyFont="1" applyBorder="1"/>
    <xf numFmtId="164" fontId="5" fillId="2" borderId="6" xfId="4" applyNumberFormat="1" applyFont="1" applyFill="1" applyBorder="1"/>
    <xf numFmtId="164" fontId="5" fillId="0" borderId="6" xfId="4" applyNumberFormat="1" applyFont="1" applyFill="1" applyBorder="1"/>
    <xf numFmtId="164" fontId="5" fillId="0" borderId="18" xfId="4" applyNumberFormat="1" applyFont="1" applyFill="1" applyBorder="1"/>
    <xf numFmtId="9" fontId="5" fillId="0" borderId="6" xfId="3" applyFont="1" applyFill="1" applyBorder="1" applyAlignment="1">
      <alignment horizontal="center"/>
    </xf>
    <xf numFmtId="0" fontId="1" fillId="0" borderId="0" xfId="2" applyAlignment="1">
      <alignment horizontal="right"/>
    </xf>
    <xf numFmtId="164" fontId="0" fillId="0" borderId="0" xfId="4" applyNumberFormat="1" applyFont="1" applyAlignment="1">
      <alignment horizontal="center"/>
    </xf>
    <xf numFmtId="43" fontId="0" fillId="0" borderId="0" xfId="4" applyFont="1" applyAlignment="1">
      <alignment horizontal="center"/>
    </xf>
    <xf numFmtId="0" fontId="4" fillId="11" borderId="2" xfId="2" applyFont="1" applyFill="1" applyBorder="1" applyAlignment="1">
      <alignment horizontal="center" vertical="center" wrapText="1"/>
    </xf>
    <xf numFmtId="0" fontId="4" fillId="11" borderId="2" xfId="2" applyFont="1" applyFill="1" applyBorder="1" applyAlignment="1">
      <alignment horizontal="center" vertical="center"/>
    </xf>
    <xf numFmtId="9" fontId="4" fillId="0" borderId="2" xfId="2" applyNumberFormat="1" applyFont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16" fontId="1" fillId="0" borderId="0" xfId="2" applyNumberFormat="1"/>
    <xf numFmtId="0" fontId="4" fillId="0" borderId="25" xfId="2" applyFont="1" applyBorder="1" applyAlignment="1">
      <alignment horizontal="center"/>
    </xf>
    <xf numFmtId="164" fontId="0" fillId="0" borderId="0" xfId="4" applyNumberFormat="1" applyFont="1" applyAlignment="1">
      <alignment horizontal="right"/>
    </xf>
    <xf numFmtId="9" fontId="0" fillId="0" borderId="0" xfId="3" applyFont="1"/>
    <xf numFmtId="4" fontId="0" fillId="0" borderId="0" xfId="0" applyNumberFormat="1" applyFont="1"/>
    <xf numFmtId="0" fontId="12" fillId="0" borderId="0" xfId="5" applyFont="1"/>
    <xf numFmtId="0" fontId="14" fillId="0" borderId="0" xfId="5"/>
    <xf numFmtId="0" fontId="2" fillId="16" borderId="2" xfId="5" applyFont="1" applyFill="1" applyBorder="1" applyAlignment="1">
      <alignment horizontal="center" vertical="center"/>
    </xf>
    <xf numFmtId="0" fontId="2" fillId="16" borderId="2" xfId="5" applyFont="1" applyFill="1" applyBorder="1" applyAlignment="1">
      <alignment horizontal="center" vertical="center" wrapText="1"/>
    </xf>
    <xf numFmtId="14" fontId="2" fillId="16" borderId="2" xfId="5" applyNumberFormat="1" applyFont="1" applyFill="1" applyBorder="1" applyAlignment="1">
      <alignment horizontal="center" vertical="center" wrapText="1"/>
    </xf>
    <xf numFmtId="43" fontId="2" fillId="16" borderId="2" xfId="4" applyFont="1" applyFill="1" applyBorder="1" applyAlignment="1">
      <alignment horizontal="center" vertical="center"/>
    </xf>
    <xf numFmtId="43" fontId="2" fillId="16" borderId="2" xfId="4" applyFont="1" applyFill="1" applyBorder="1" applyAlignment="1">
      <alignment horizontal="center" vertical="center" wrapText="1"/>
    </xf>
    <xf numFmtId="16" fontId="11" fillId="0" borderId="2" xfId="5" applyNumberFormat="1" applyFont="1" applyBorder="1" applyAlignment="1">
      <alignment horizontal="left"/>
    </xf>
    <xf numFmtId="0" fontId="11" fillId="0" borderId="2" xfId="5" applyFont="1" applyBorder="1" applyAlignment="1">
      <alignment vertical="center"/>
    </xf>
    <xf numFmtId="16" fontId="11" fillId="0" borderId="2" xfId="5" applyNumberFormat="1" applyFont="1" applyBorder="1" applyAlignment="1">
      <alignment horizontal="center"/>
    </xf>
    <xf numFmtId="2" fontId="15" fillId="0" borderId="2" xfId="5" applyNumberFormat="1" applyFont="1" applyBorder="1"/>
    <xf numFmtId="43" fontId="11" fillId="0" borderId="2" xfId="1" applyFont="1" applyFill="1" applyBorder="1" applyAlignment="1">
      <alignment horizontal="center"/>
    </xf>
    <xf numFmtId="0" fontId="11" fillId="0" borderId="2" xfId="5" applyFont="1" applyBorder="1"/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center"/>
    </xf>
    <xf numFmtId="164" fontId="5" fillId="0" borderId="2" xfId="6" applyNumberFormat="1" applyFont="1" applyFill="1" applyBorder="1"/>
    <xf numFmtId="164" fontId="0" fillId="0" borderId="2" xfId="6" applyNumberFormat="1" applyFont="1" applyBorder="1"/>
    <xf numFmtId="164" fontId="12" fillId="0" borderId="2" xfId="6" applyNumberFormat="1" applyFont="1" applyBorder="1"/>
    <xf numFmtId="164" fontId="1" fillId="0" borderId="2" xfId="6" applyNumberFormat="1" applyFont="1" applyBorder="1"/>
    <xf numFmtId="9" fontId="0" fillId="0" borderId="2" xfId="7" applyFont="1" applyBorder="1" applyAlignment="1">
      <alignment horizontal="center"/>
    </xf>
    <xf numFmtId="16" fontId="11" fillId="0" borderId="2" xfId="5" applyNumberFormat="1" applyFont="1" applyBorder="1"/>
    <xf numFmtId="43" fontId="14" fillId="0" borderId="0" xfId="1" applyFont="1"/>
    <xf numFmtId="0" fontId="12" fillId="2" borderId="2" xfId="5" applyFont="1" applyFill="1" applyBorder="1"/>
    <xf numFmtId="164" fontId="12" fillId="2" borderId="2" xfId="1" applyNumberFormat="1" applyFont="1" applyFill="1" applyBorder="1"/>
    <xf numFmtId="164" fontId="12" fillId="2" borderId="2" xfId="6" applyNumberFormat="1" applyFont="1" applyFill="1" applyBorder="1"/>
    <xf numFmtId="166" fontId="12" fillId="2" borderId="2" xfId="6" applyNumberFormat="1" applyFont="1" applyFill="1" applyBorder="1"/>
    <xf numFmtId="9" fontId="12" fillId="2" borderId="2" xfId="7" applyFont="1" applyFill="1" applyBorder="1" applyAlignment="1">
      <alignment horizontal="center"/>
    </xf>
    <xf numFmtId="164" fontId="11" fillId="0" borderId="2" xfId="1" applyNumberFormat="1" applyFont="1" applyFill="1" applyBorder="1" applyAlignment="1">
      <alignment horizontal="center"/>
    </xf>
    <xf numFmtId="43" fontId="14" fillId="0" borderId="0" xfId="5" applyNumberFormat="1"/>
    <xf numFmtId="16" fontId="11" fillId="0" borderId="2" xfId="5" applyNumberFormat="1" applyFont="1" applyFill="1" applyBorder="1" applyAlignment="1">
      <alignment horizontal="left"/>
    </xf>
    <xf numFmtId="0" fontId="11" fillId="0" borderId="2" xfId="5" applyFont="1" applyFill="1" applyBorder="1"/>
    <xf numFmtId="16" fontId="11" fillId="0" borderId="2" xfId="5" applyNumberFormat="1" applyFont="1" applyFill="1" applyBorder="1" applyAlignment="1">
      <alignment horizontal="center"/>
    </xf>
    <xf numFmtId="2" fontId="15" fillId="0" borderId="2" xfId="5" applyNumberFormat="1" applyFont="1" applyFill="1" applyBorder="1"/>
    <xf numFmtId="16" fontId="11" fillId="0" borderId="2" xfId="5" applyNumberFormat="1" applyFont="1" applyFill="1" applyBorder="1"/>
    <xf numFmtId="0" fontId="11" fillId="0" borderId="2" xfId="5" applyFont="1" applyFill="1" applyBorder="1" applyAlignment="1">
      <alignment horizontal="center" vertical="center"/>
    </xf>
    <xf numFmtId="0" fontId="11" fillId="0" borderId="2" xfId="5" applyFont="1" applyFill="1" applyBorder="1" applyAlignment="1">
      <alignment horizontal="center"/>
    </xf>
    <xf numFmtId="164" fontId="0" fillId="0" borderId="2" xfId="6" applyNumberFormat="1" applyFont="1" applyFill="1" applyBorder="1"/>
    <xf numFmtId="164" fontId="12" fillId="0" borderId="2" xfId="6" applyNumberFormat="1" applyFont="1" applyFill="1" applyBorder="1"/>
    <xf numFmtId="0" fontId="11" fillId="0" borderId="2" xfId="5" applyFont="1" applyFill="1" applyBorder="1" applyAlignment="1">
      <alignment vertical="center"/>
    </xf>
    <xf numFmtId="164" fontId="11" fillId="0" borderId="2" xfId="1" applyNumberFormat="1" applyFont="1" applyBorder="1" applyAlignment="1">
      <alignment horizontal="center"/>
    </xf>
  </cellXfs>
  <cellStyles count="8">
    <cellStyle name="Millares" xfId="1" builtinId="3"/>
    <cellStyle name="Millares 2" xfId="4" xr:uid="{82321856-7D4A-4612-A12A-49C8AB6B8CB8}"/>
    <cellStyle name="Millares 3" xfId="6" xr:uid="{3BEDFD59-57FE-4230-A6A2-4632433DA94A}"/>
    <cellStyle name="Normal" xfId="0" builtinId="0"/>
    <cellStyle name="Normal 2" xfId="2" xr:uid="{936EE7BB-0266-45CA-885A-75B320CC6DE3}"/>
    <cellStyle name="Normal 3" xfId="5" xr:uid="{F7501EF6-5015-47EE-9E8C-321F79BFD3FB}"/>
    <cellStyle name="Porcentaje 2" xfId="3" xr:uid="{2A4B261F-93F2-4275-AEC3-AFA049FDA3F6}"/>
    <cellStyle name="Porcentaje 3" xfId="7" xr:uid="{AD3305F4-3B01-4882-B952-FC63BA7CA458}"/>
  </cellStyles>
  <dxfs count="2">
    <dxf>
      <font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Stock%20Agosto%202026%20SAP.xlsx" TargetMode="External"/><Relationship Id="rId1" Type="http://schemas.openxmlformats.org/officeDocument/2006/relationships/externalLinkPath" Target="Stock%20Agosto%202026%20SA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Inventario%20PT%20y%20Avance%20Comercial%20al%205-10-2026.xlsx" TargetMode="External"/><Relationship Id="rId1" Type="http://schemas.openxmlformats.org/officeDocument/2006/relationships/externalLinkPath" Target="Inventario%20PT%20y%20Avance%20Comercial%20al%205-10-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Inventario%20PT%20y%20Avance%20Comercial%20al%2028-9-2026.xlsx" TargetMode="External"/><Relationship Id="rId1" Type="http://schemas.openxmlformats.org/officeDocument/2006/relationships/externalLinkPath" Target="Inventario%20PT%20y%20Avance%20Comercial%20al%2028-9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Data"/>
    </sheetNames>
    <sheetDataSet>
      <sheetData sheetId="0">
        <row r="25">
          <cell r="I25">
            <v>10004433</v>
          </cell>
          <cell r="J25">
            <v>0</v>
          </cell>
        </row>
        <row r="26">
          <cell r="I26">
            <v>10004434</v>
          </cell>
          <cell r="J26">
            <v>2064.636363636364</v>
          </cell>
        </row>
        <row r="27">
          <cell r="I27">
            <v>10004435</v>
          </cell>
          <cell r="J27">
            <v>1758.0257826887662</v>
          </cell>
        </row>
        <row r="28">
          <cell r="I28">
            <v>10005708</v>
          </cell>
          <cell r="J28">
            <v>2023.8796296296298</v>
          </cell>
        </row>
        <row r="29">
          <cell r="I29">
            <v>10005711</v>
          </cell>
          <cell r="J29">
            <v>2106</v>
          </cell>
        </row>
        <row r="30">
          <cell r="I30">
            <v>10005718</v>
          </cell>
          <cell r="J30">
            <v>1904.1872529644268</v>
          </cell>
        </row>
        <row r="31">
          <cell r="I31">
            <v>10005721</v>
          </cell>
          <cell r="J31">
            <v>1959.7102564102565</v>
          </cell>
        </row>
        <row r="32">
          <cell r="I32">
            <v>10005776</v>
          </cell>
          <cell r="J32">
            <v>1787.9197545026959</v>
          </cell>
        </row>
        <row r="33">
          <cell r="I33">
            <v>10005779</v>
          </cell>
          <cell r="J33">
            <v>1735.8204057279236</v>
          </cell>
        </row>
        <row r="34">
          <cell r="I34">
            <v>10005781</v>
          </cell>
          <cell r="J34">
            <v>1774.9850374064838</v>
          </cell>
        </row>
        <row r="35">
          <cell r="I35">
            <v>10006668</v>
          </cell>
          <cell r="J35">
            <v>1665.3823529411764</v>
          </cell>
        </row>
        <row r="36">
          <cell r="I36">
            <v>10006719</v>
          </cell>
          <cell r="J36">
            <v>1559.625</v>
          </cell>
        </row>
        <row r="37">
          <cell r="I37">
            <v>10006720</v>
          </cell>
          <cell r="J37">
            <v>1725.3333333333333</v>
          </cell>
        </row>
        <row r="38">
          <cell r="I38">
            <v>10006722</v>
          </cell>
          <cell r="J38">
            <v>1866.9166666666667</v>
          </cell>
        </row>
        <row r="39">
          <cell r="I39">
            <v>10007050</v>
          </cell>
          <cell r="J39">
            <v>2999.2982491856678</v>
          </cell>
        </row>
        <row r="40">
          <cell r="I40">
            <v>10007051</v>
          </cell>
          <cell r="J40">
            <v>1593.75</v>
          </cell>
        </row>
        <row r="41">
          <cell r="I41">
            <v>10007161</v>
          </cell>
          <cell r="J41">
            <v>1928.2289473684211</v>
          </cell>
        </row>
        <row r="42">
          <cell r="I42">
            <v>10007162</v>
          </cell>
          <cell r="J42">
            <v>1900.3944901030209</v>
          </cell>
        </row>
        <row r="43">
          <cell r="I43">
            <v>10007567</v>
          </cell>
          <cell r="J43">
            <v>1661.5121916236376</v>
          </cell>
        </row>
        <row r="44">
          <cell r="I44">
            <v>10007969</v>
          </cell>
          <cell r="J44">
            <v>1226.375</v>
          </cell>
        </row>
        <row r="45">
          <cell r="I45">
            <v>10009176</v>
          </cell>
          <cell r="J45">
            <v>0</v>
          </cell>
        </row>
        <row r="46">
          <cell r="I46">
            <v>10009177</v>
          </cell>
          <cell r="J46">
            <v>0</v>
          </cell>
        </row>
        <row r="47">
          <cell r="I47">
            <v>10009178</v>
          </cell>
          <cell r="J47">
            <v>1748.7075471698113</v>
          </cell>
        </row>
        <row r="48">
          <cell r="I48">
            <v>10009183</v>
          </cell>
          <cell r="J48">
            <v>1837.7307692307691</v>
          </cell>
        </row>
        <row r="49">
          <cell r="I49">
            <v>10009184</v>
          </cell>
          <cell r="J49">
            <v>1856.2375778646965</v>
          </cell>
        </row>
        <row r="50">
          <cell r="I50">
            <v>10009186</v>
          </cell>
          <cell r="J50">
            <v>1710.9999999999998</v>
          </cell>
        </row>
        <row r="51">
          <cell r="I51">
            <v>10009187</v>
          </cell>
          <cell r="J51">
            <v>2021.9999999999998</v>
          </cell>
        </row>
        <row r="52">
          <cell r="I52">
            <v>10009207</v>
          </cell>
          <cell r="J52">
            <v>1408.5765998707177</v>
          </cell>
        </row>
        <row r="53">
          <cell r="I53">
            <v>10009224</v>
          </cell>
          <cell r="J53">
            <v>3641.2946428571427</v>
          </cell>
        </row>
        <row r="54">
          <cell r="I54">
            <v>10009239</v>
          </cell>
          <cell r="J54">
            <v>3349.7949029126216</v>
          </cell>
        </row>
        <row r="55">
          <cell r="I55">
            <v>10009241</v>
          </cell>
          <cell r="J55">
            <v>1956.3846153846155</v>
          </cell>
        </row>
        <row r="56">
          <cell r="I56">
            <v>10009251</v>
          </cell>
          <cell r="J56">
            <v>3024</v>
          </cell>
        </row>
        <row r="57">
          <cell r="I57">
            <v>10009265</v>
          </cell>
          <cell r="J57">
            <v>0</v>
          </cell>
        </row>
        <row r="58">
          <cell r="I58">
            <v>10009271</v>
          </cell>
          <cell r="J58">
            <v>1837.4357381748684</v>
          </cell>
        </row>
        <row r="59">
          <cell r="I59">
            <v>10009298</v>
          </cell>
          <cell r="J59">
            <v>2083.8593750000005</v>
          </cell>
        </row>
        <row r="60">
          <cell r="I60">
            <v>10009331</v>
          </cell>
          <cell r="J60">
            <v>3197.3762726109294</v>
          </cell>
        </row>
        <row r="61">
          <cell r="I61">
            <v>10009332</v>
          </cell>
          <cell r="J61">
            <v>2448.6140628532671</v>
          </cell>
        </row>
        <row r="62">
          <cell r="I62">
            <v>10009334</v>
          </cell>
          <cell r="J62">
            <v>3057.26708428246</v>
          </cell>
        </row>
        <row r="63">
          <cell r="I63">
            <v>10009336</v>
          </cell>
          <cell r="J63">
            <v>3230.8044090056283</v>
          </cell>
        </row>
        <row r="64">
          <cell r="I64">
            <v>10009337</v>
          </cell>
          <cell r="J64">
            <v>2586.1533089985714</v>
          </cell>
        </row>
        <row r="65">
          <cell r="I65">
            <v>10009639</v>
          </cell>
          <cell r="J65">
            <v>1849.3426573426573</v>
          </cell>
        </row>
        <row r="66">
          <cell r="I66">
            <v>10009641</v>
          </cell>
          <cell r="J66">
            <v>14619.069205197944</v>
          </cell>
        </row>
        <row r="67">
          <cell r="I67">
            <v>10009642</v>
          </cell>
          <cell r="J67">
            <v>48443.988050784166</v>
          </cell>
        </row>
        <row r="68">
          <cell r="I68">
            <v>10009643</v>
          </cell>
          <cell r="J68">
            <v>12634.381551362681</v>
          </cell>
        </row>
        <row r="69">
          <cell r="I69">
            <v>10009649</v>
          </cell>
          <cell r="J69">
            <v>0</v>
          </cell>
        </row>
        <row r="70">
          <cell r="I70">
            <v>10009650</v>
          </cell>
          <cell r="J70">
            <v>0</v>
          </cell>
        </row>
        <row r="71">
          <cell r="I71">
            <v>10009658</v>
          </cell>
          <cell r="J71">
            <v>1849.5051020408164</v>
          </cell>
        </row>
        <row r="72">
          <cell r="I72">
            <v>10009777</v>
          </cell>
          <cell r="J72">
            <v>1504.8592534992224</v>
          </cell>
        </row>
        <row r="73">
          <cell r="I73">
            <v>10010107</v>
          </cell>
          <cell r="J73">
            <v>1762.8334268087494</v>
          </cell>
        </row>
        <row r="74">
          <cell r="I74">
            <v>10010108</v>
          </cell>
          <cell r="J74">
            <v>1506.5946932814022</v>
          </cell>
        </row>
        <row r="75">
          <cell r="I75">
            <v>10010110</v>
          </cell>
          <cell r="J75">
            <v>1647.8181818181815</v>
          </cell>
        </row>
        <row r="76">
          <cell r="I76">
            <v>10010125</v>
          </cell>
          <cell r="J76">
            <v>0</v>
          </cell>
        </row>
        <row r="77">
          <cell r="I77">
            <v>10010126</v>
          </cell>
          <cell r="J77">
            <v>1787.367424242424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Inventario"/>
      <sheetName val="Venta Septiembre"/>
      <sheetName val="TD"/>
      <sheetName val="Stock"/>
    </sheetNames>
    <sheetDataSet>
      <sheetData sheetId="0">
        <row r="8">
          <cell r="E8">
            <v>1522.3482433209631</v>
          </cell>
        </row>
        <row r="15">
          <cell r="E15">
            <v>2781.1293631179783</v>
          </cell>
        </row>
      </sheetData>
      <sheetData sheetId="1"/>
      <sheetData sheetId="2"/>
      <sheetData sheetId="3">
        <row r="12">
          <cell r="F12">
            <v>1226.375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Inventario"/>
      <sheetName val="Venta Septiembre"/>
      <sheetName val="TD"/>
      <sheetName val="Stock"/>
    </sheetNames>
    <sheetDataSet>
      <sheetData sheetId="0"/>
      <sheetData sheetId="1" refreshError="1"/>
      <sheetData sheetId="2" refreshError="1"/>
      <sheetData sheetId="3">
        <row r="52">
          <cell r="N52">
            <v>62943.2425</v>
          </cell>
          <cell r="O52">
            <v>170036.50750000001</v>
          </cell>
          <cell r="P52">
            <v>123846.6925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314.70447326389" createdVersion="8" refreshedVersion="8" minRefreshableVersion="3" recordCount="48" xr:uid="{D5961759-BBA1-432D-977A-EF498CF9D290}">
  <cacheSource type="worksheet">
    <worksheetSource ref="J4:P52" sheet="Stock"/>
  </cacheSource>
  <cacheFields count="7">
    <cacheField name="CÓDIGO" numFmtId="0">
      <sharedItems containsSemiMixedTypes="0" containsString="0" containsNumber="1" containsInteger="1" minValue="10005721" maxValue="10010320" count="12">
        <n v="10006719"/>
        <n v="10007969"/>
        <n v="10005721"/>
        <n v="10010320"/>
        <n v="10005779"/>
        <n v="10007567"/>
        <n v="10007162"/>
        <n v="10009386"/>
        <n v="10009239"/>
        <n v="10009334"/>
        <n v="10007050"/>
        <n v="10009649"/>
      </sharedItems>
    </cacheField>
    <cacheField name="TM en Stock" numFmtId="164">
      <sharedItems containsSemiMixedTypes="0" containsString="0" containsNumber="1" minValue="0" maxValue="331.32"/>
    </cacheField>
    <cacheField name="Costo Ventas" numFmtId="164">
      <sharedItems containsSemiMixedTypes="0" containsString="0" containsNumber="1" minValue="0" maxValue="933421.39172340103"/>
    </cacheField>
    <cacheField name="Gasto Ventas" numFmtId="164">
      <sharedItems containsSemiMixedTypes="0" containsString="0" containsNumber="1" minValue="0" maxValue="79602.943200000009"/>
    </cacheField>
    <cacheField name="Gasto ADM" numFmtId="164">
      <sharedItems containsSemiMixedTypes="0" containsString="0" containsNumber="1" minValue="0" maxValue="10203.097133308282"/>
    </cacheField>
    <cacheField name="Gasto Fin" numFmtId="164">
      <sharedItems containsSemiMixedTypes="0" containsString="0" containsNumber="1" minValue="0" maxValue="27562.91117717684"/>
    </cacheField>
    <cacheField name="Depreciación" numFmtId="164">
      <sharedItems containsSemiMixedTypes="0" containsString="0" containsNumber="1" minValue="0" maxValue="20075.5439826040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57.6"/>
    <n v="85963.798923639872"/>
    <n v="13838.976000000001"/>
    <n v="1773.8089909409548"/>
    <n v="4791.8136055939458"/>
    <n v="3490.1344120427179"/>
  </r>
  <r>
    <x v="0"/>
    <n v="0.76"/>
    <n v="1102.580995324478"/>
    <n v="182.5976"/>
    <n v="23.404424186026485"/>
    <n v="63.225318407142339"/>
    <n v="46.050384603341413"/>
  </r>
  <r>
    <x v="0"/>
    <n v="0"/>
    <n v="0"/>
    <n v="0"/>
    <n v="0"/>
    <n v="0"/>
    <n v="0"/>
  </r>
  <r>
    <x v="0"/>
    <n v="0.24"/>
    <n v="355.37758985478882"/>
    <n v="57.662399999999991"/>
    <n v="7.3908707955873103"/>
    <n v="19.965890023308106"/>
    <n v="14.542226716844656"/>
  </r>
  <r>
    <x v="0"/>
    <n v="0"/>
    <n v="0"/>
    <n v="0"/>
    <n v="0"/>
    <n v="0"/>
    <n v="0"/>
  </r>
  <r>
    <x v="0"/>
    <n v="20.46"/>
    <n v="27055.518151798187"/>
    <n v="4915.7195999999994"/>
    <n v="630.0717353238183"/>
    <n v="1702.0921244870162"/>
    <n v="1239.7248276110072"/>
  </r>
  <r>
    <x v="1"/>
    <n v="0"/>
    <n v="0"/>
    <n v="0"/>
    <n v="0"/>
    <n v="0"/>
    <n v="0"/>
  </r>
  <r>
    <x v="2"/>
    <n v="1.9"/>
    <n v="3375.5168081411157"/>
    <n v="456.49400000000003"/>
    <n v="58.511060465066208"/>
    <n v="158.06329601785583"/>
    <n v="115.12596150835353"/>
  </r>
  <r>
    <x v="2"/>
    <n v="0"/>
    <n v="0"/>
    <n v="0"/>
    <n v="0"/>
    <n v="0"/>
    <n v="0"/>
  </r>
  <r>
    <x v="2"/>
    <n v="32.159999999999997"/>
    <n v="52204.76530563541"/>
    <n v="7726.7615999999998"/>
    <n v="990.37668660869963"/>
    <n v="2675.4292631232861"/>
    <n v="1948.6583800571839"/>
  </r>
  <r>
    <x v="2"/>
    <n v="1.08"/>
    <n v="1896.7061808955241"/>
    <n v="259.48079999999999"/>
    <n v="33.258918580142897"/>
    <n v="89.846505104886475"/>
    <n v="65.44002022580095"/>
  </r>
  <r>
    <x v="2"/>
    <n v="3.1"/>
    <n v="5344.7866944508287"/>
    <n v="744.80600000000004"/>
    <n v="95.465414443002757"/>
    <n v="257.89274613439636"/>
    <n v="187.83709509257682"/>
  </r>
  <r>
    <x v="2"/>
    <n v="5.28"/>
    <n v="8648.3935510447827"/>
    <n v="1268.5728000000001"/>
    <n v="162.59915750292086"/>
    <n v="439.24958051277838"/>
    <n v="319.92898777058247"/>
  </r>
  <r>
    <x v="2"/>
    <n v="19.920000000000002"/>
    <n v="33791.555709376473"/>
    <n v="4785.9791999999998"/>
    <n v="613.44227603374679"/>
    <n v="1657.168871934573"/>
    <n v="1207.0048174981066"/>
  </r>
  <r>
    <x v="2"/>
    <n v="2.72"/>
    <n v="4048.8266889552319"/>
    <n v="653.5071999999999"/>
    <n v="83.763202349989527"/>
    <n v="226.28008693082521"/>
    <n v="164.81190279090612"/>
  </r>
  <r>
    <x v="2"/>
    <n v="27.04"/>
    <n v="48298.829056865725"/>
    <n v="6496.6303999999991"/>
    <n v="832.70477630283699"/>
    <n v="2249.4902759593801"/>
    <n v="1638.4242100978313"/>
  </r>
  <r>
    <x v="2"/>
    <n v="10"/>
    <n v="14885.392238806"/>
    <n v="2402.6"/>
    <n v="307.95294981613796"/>
    <n v="831.91208430450445"/>
    <n v="605.92611320186063"/>
  </r>
  <r>
    <x v="2"/>
    <n v="30.6"/>
    <n v="41487.416668656719"/>
    <n v="7351.9560000000001"/>
    <n v="942.3360264373822"/>
    <n v="2545.6509779717835"/>
    <n v="1854.1339063976939"/>
  </r>
  <r>
    <x v="3"/>
    <n v="25.44"/>
    <n v="34491.499348059704"/>
    <n v="6112.2143999999998"/>
    <n v="783.43230433225506"/>
    <n v="2116.3843424706592"/>
    <n v="1541.4760319855338"/>
  </r>
  <r>
    <x v="3"/>
    <n v="28.84"/>
    <n v="35840.348223233013"/>
    <n v="6929.0983999999999"/>
    <n v="888.13630726974179"/>
    <n v="2399.2344511341907"/>
    <n v="1747.4909104741662"/>
  </r>
  <r>
    <x v="4"/>
    <n v="141.44"/>
    <n v="219159.02394580905"/>
    <n v="33982.374400000001"/>
    <n v="4355.6865221994549"/>
    <n v="11766.564520402912"/>
    <n v="8570.218945127117"/>
  </r>
  <r>
    <x v="4"/>
    <n v="41.82"/>
    <n v="64406.27647760135"/>
    <n v="10047.673199999999"/>
    <n v="1287.8592361310889"/>
    <n v="3479.0563365614375"/>
    <n v="2533.9830054101817"/>
  </r>
  <r>
    <x v="4"/>
    <n v="1.04"/>
    <n v="1601.8398708766008"/>
    <n v="249.87039999999999"/>
    <n v="32.027106780878349"/>
    <n v="86.518856767668467"/>
    <n v="63.016315772993515"/>
  </r>
  <r>
    <x v="4"/>
    <n v="37.44"/>
    <n v="55758.473346784354"/>
    <n v="8995.3343999999997"/>
    <n v="1152.9758441116205"/>
    <n v="3114.6788436360644"/>
    <n v="2268.5873678277667"/>
  </r>
  <r>
    <x v="4"/>
    <n v="218.38"/>
    <n v="330916.7035730264"/>
    <n v="52467.978799999997"/>
    <n v="6725.0765180848202"/>
    <n v="18167.296097041766"/>
    <n v="13232.214460102234"/>
  </r>
  <r>
    <x v="4"/>
    <n v="8.6999999999999993"/>
    <n v="14428.404231322225"/>
    <n v="2090.2620000000002"/>
    <n v="267.91906634003999"/>
    <n v="723.76351334491881"/>
    <n v="527.15571848561876"/>
  </r>
  <r>
    <x v="5"/>
    <n v="112.64"/>
    <n v="180415.58318943373"/>
    <n v="27062.886399999999"/>
    <n v="3468.7820267289776"/>
    <n v="9370.6577176059382"/>
    <n v="6825.1517391057587"/>
  </r>
  <r>
    <x v="5"/>
    <n v="36"/>
    <n v="59485.01265609137"/>
    <n v="8649.36"/>
    <n v="1108.6306193380967"/>
    <n v="2994.8835034962162"/>
    <n v="2181.3340075266988"/>
  </r>
  <r>
    <x v="6"/>
    <n v="0.08"/>
    <n v="130.11557994118638"/>
    <n v="19.220800000000001"/>
    <n v="2.4636235985291037"/>
    <n v="6.6552966744360358"/>
    <n v="4.8474089056148859"/>
  </r>
  <r>
    <x v="6"/>
    <n v="0.76"/>
    <n v="1157.7645257709753"/>
    <n v="182.5976"/>
    <n v="23.404424186026485"/>
    <n v="63.225318407142339"/>
    <n v="46.050384603341413"/>
  </r>
  <r>
    <x v="6"/>
    <n v="161.9"/>
    <n v="246774.7953271055"/>
    <n v="38898.093999999997"/>
    <n v="4985.7582575232736"/>
    <n v="13468.656644889927"/>
    <n v="9809.9437727381246"/>
  </r>
  <r>
    <x v="6"/>
    <n v="0.28000000000000003"/>
    <n v="431.72905958830478"/>
    <n v="67.272800000000004"/>
    <n v="8.6226825948518648"/>
    <n v="23.293538360526128"/>
    <n v="16.965931169652102"/>
  </r>
  <r>
    <x v="6"/>
    <n v="0.12"/>
    <n v="213.83336991177958"/>
    <n v="28.831199999999995"/>
    <n v="3.6954353977936552"/>
    <n v="9.9829450116540528"/>
    <n v="7.271113358422328"/>
  </r>
  <r>
    <x v="6"/>
    <n v="14.64"/>
    <n v="25401.267023973953"/>
    <n v="3517.4063999999998"/>
    <n v="450.84311853082596"/>
    <n v="1217.9192914217945"/>
    <n v="887.07582972752414"/>
  </r>
  <r>
    <x v="6"/>
    <n v="1.96"/>
    <n v="3323.5667085590671"/>
    <n v="470.90959999999995"/>
    <n v="60.358778163963038"/>
    <n v="163.05476852368287"/>
    <n v="118.7615181875647"/>
  </r>
  <r>
    <x v="6"/>
    <n v="37.18"/>
    <n v="63043.005777666374"/>
    <n v="8932.8667999999998"/>
    <n v="1144.9690674164008"/>
    <n v="3093.0491294441472"/>
    <n v="2252.833288884518"/>
  </r>
  <r>
    <x v="6"/>
    <n v="4.4800000000000004"/>
    <n v="6907.6649534128765"/>
    <n v="1076.3648000000001"/>
    <n v="137.96292151762984"/>
    <n v="372.69661376841805"/>
    <n v="271.45489871443363"/>
  </r>
  <r>
    <x v="6"/>
    <n v="331.32"/>
    <n v="570248.76555688994"/>
    <n v="79602.943200000009"/>
    <n v="10203.097133308282"/>
    <n v="27562.91117717684"/>
    <n v="20075.543982604049"/>
  </r>
  <r>
    <x v="7"/>
    <n v="25.18"/>
    <n v="54984.292606694296"/>
    <n v="6049.7467999999999"/>
    <n v="775.42552763703532"/>
    <n v="2094.7546282787421"/>
    <n v="1525.7219530422851"/>
  </r>
  <r>
    <x v="8"/>
    <n v="307.82"/>
    <n v="933421.39172340103"/>
    <n v="73956.833200000008"/>
    <n v="9479.4077012403577"/>
    <n v="25607.917779061256"/>
    <n v="18651.617616579675"/>
  </r>
  <r>
    <x v="8"/>
    <n v="7.62"/>
    <n v="21865.312950447762"/>
    <n v="1830.7811999999999"/>
    <n v="234.66014775989714"/>
    <n v="633.91700824003237"/>
    <n v="461.71569825981788"/>
  </r>
  <r>
    <x v="9"/>
    <n v="27"/>
    <n v="58384.053919632606"/>
    <n v="6487.02"/>
    <n v="831.47296450357248"/>
    <n v="2246.1626276221618"/>
    <n v="1636.0005056450238"/>
  </r>
  <r>
    <x v="9"/>
    <n v="116.874"/>
    <n v="325244.93754011707"/>
    <n v="28080.147239999998"/>
    <n v="3599.1693056811305"/>
    <n v="9722.8892941004651"/>
    <n v="7081.700855435427"/>
  </r>
  <r>
    <x v="9"/>
    <n v="3.278"/>
    <n v="6693.8559470394493"/>
    <n v="787.57227999999998"/>
    <n v="100.94697694973001"/>
    <n v="272.70078123501651"/>
    <n v="198.62257990756993"/>
  </r>
  <r>
    <x v="10"/>
    <n v="45.362000000000002"/>
    <n v="46579.638850786068"/>
    <n v="10898.67412"/>
    <n v="1396.9361709559651"/>
    <n v="3773.7195968220931"/>
    <n v="2748.6020347062808"/>
  </r>
  <r>
    <x v="10"/>
    <n v="13.895"/>
    <n v="25101.289817451656"/>
    <n v="3338.4126999999999"/>
    <n v="427.90062376952363"/>
    <n v="1155.9418411411089"/>
    <n v="841.93433429398533"/>
  </r>
  <r>
    <x v="10"/>
    <n v="10.335000000000001"/>
    <n v="17959.422855465898"/>
    <n v="2483.0871000000002"/>
    <n v="318.26937363497859"/>
    <n v="859.78113912870538"/>
    <n v="626.2246379941231"/>
  </r>
  <r>
    <x v="11"/>
    <n v="69.239999999999995"/>
    <n v="103066.45586149275"/>
    <n v="16635.6024"/>
    <n v="2132.2662245269389"/>
    <n v="5760.1592717243884"/>
    <n v="4195.43240780968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A3B6E-650E-4068-8344-39C7E52F0616}" name="TablaDinámica3" cacheId="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K16" firstHeaderRow="0" firstDataRow="1" firstDataCol="1"/>
  <pivotFields count="7">
    <pivotField axis="axisRow" showAll="0">
      <items count="13">
        <item x="2"/>
        <item x="4"/>
        <item x="0"/>
        <item x="10"/>
        <item x="6"/>
        <item x="5"/>
        <item x="1"/>
        <item x="8"/>
        <item x="9"/>
        <item x="7"/>
        <item x="11"/>
        <item x="3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M en Stock" fld="1" baseField="0" baseItem="0" numFmtId="164"/>
    <dataField name="Suma de Costo Ventas" fld="2" baseField="0" baseItem="0" numFmtId="164"/>
    <dataField name="Suma de Gasto Ventas" fld="3" baseField="0" baseItem="0" numFmtId="164"/>
    <dataField name="Suma de Gasto ADM" fld="4" baseField="0" baseItem="0" numFmtId="164"/>
    <dataField name="Suma de Gasto Fin" fld="5" baseField="0" baseItem="0" numFmtId="164"/>
    <dataField name="Suma de Depreciación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21A4-BB4F-43BF-AF57-BA727B3E6B69}">
  <dimension ref="A2:X38"/>
  <sheetViews>
    <sheetView showGridLines="0" tabSelected="1" zoomScale="70" zoomScaleNormal="70" workbookViewId="0">
      <pane xSplit="4" ySplit="6" topLeftCell="F7" activePane="bottomRight" state="frozen"/>
      <selection pane="topRight" activeCell="E1" sqref="E1"/>
      <selection pane="bottomLeft" activeCell="A7" sqref="A7"/>
      <selection pane="bottomRight" activeCell="K24" sqref="K24"/>
    </sheetView>
  </sheetViews>
  <sheetFormatPr baseColWidth="10" defaultRowHeight="14.4" outlineLevelCol="2" x14ac:dyDescent="0.3"/>
  <cols>
    <col min="1" max="1" width="7.77734375" style="65" customWidth="1"/>
    <col min="2" max="2" width="14.33203125" style="65" hidden="1" customWidth="1" outlineLevel="1"/>
    <col min="3" max="3" width="34.109375" style="65" customWidth="1" collapsed="1"/>
    <col min="4" max="4" width="16.21875" style="65" customWidth="1" outlineLevel="1"/>
    <col min="5" max="5" width="12.88671875" style="65" customWidth="1" outlineLevel="1"/>
    <col min="6" max="6" width="16.44140625" style="65" bestFit="1" customWidth="1" outlineLevel="2"/>
    <col min="7" max="7" width="16.5546875" style="65" bestFit="1" customWidth="1" outlineLevel="2"/>
    <col min="8" max="8" width="14.21875" style="65" bestFit="1" customWidth="1" outlineLevel="2"/>
    <col min="9" max="9" width="12.5546875" style="65" bestFit="1" customWidth="1" outlineLevel="2"/>
    <col min="10" max="11" width="16.21875" style="65" bestFit="1" customWidth="1" outlineLevel="2"/>
    <col min="12" max="12" width="15.88671875" style="65" bestFit="1" customWidth="1" outlineLevel="2"/>
    <col min="13" max="13" width="17.33203125" style="65" customWidth="1" outlineLevel="2"/>
    <col min="14" max="16" width="16" style="65" customWidth="1" outlineLevel="2"/>
    <col min="17" max="22" width="17.5546875" style="65" customWidth="1" outlineLevel="2"/>
    <col min="23" max="23" width="12.21875" style="65" customWidth="1" outlineLevel="1"/>
    <col min="24" max="16384" width="11.5546875" style="65"/>
  </cols>
  <sheetData>
    <row r="2" spans="2:24" ht="15.6" x14ac:dyDescent="0.3">
      <c r="C2" s="66" t="s">
        <v>104</v>
      </c>
    </row>
    <row r="3" spans="2:24" x14ac:dyDescent="0.3">
      <c r="C3" s="67" t="s">
        <v>126</v>
      </c>
      <c r="G3" s="68"/>
      <c r="M3" s="69"/>
      <c r="N3" s="68"/>
      <c r="O3" s="68"/>
      <c r="P3" s="68"/>
      <c r="R3" s="70"/>
    </row>
    <row r="4" spans="2:24" ht="15" thickBot="1" x14ac:dyDescent="0.35">
      <c r="C4" s="67"/>
      <c r="G4" s="70"/>
      <c r="M4" s="70"/>
    </row>
    <row r="5" spans="2:24" ht="15" thickBot="1" x14ac:dyDescent="0.35">
      <c r="C5" s="71" t="s">
        <v>105</v>
      </c>
      <c r="F5" s="72" t="s">
        <v>106</v>
      </c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4"/>
    </row>
    <row r="6" spans="2:24" s="84" customFormat="1" ht="29.4" thickBot="1" x14ac:dyDescent="0.35">
      <c r="B6" s="75" t="s">
        <v>107</v>
      </c>
      <c r="C6" s="76" t="s">
        <v>108</v>
      </c>
      <c r="D6" s="77" t="s">
        <v>109</v>
      </c>
      <c r="E6" s="78" t="s">
        <v>110</v>
      </c>
      <c r="F6" s="79" t="s">
        <v>59</v>
      </c>
      <c r="G6" s="80" t="s">
        <v>60</v>
      </c>
      <c r="H6" s="80" t="s">
        <v>61</v>
      </c>
      <c r="I6" s="80" t="s">
        <v>62</v>
      </c>
      <c r="J6" s="80" t="s">
        <v>63</v>
      </c>
      <c r="K6" s="80" t="s">
        <v>64</v>
      </c>
      <c r="L6" s="81" t="s">
        <v>65</v>
      </c>
      <c r="M6" s="82" t="s">
        <v>111</v>
      </c>
      <c r="N6" s="82" t="s">
        <v>112</v>
      </c>
      <c r="O6" s="82" t="s">
        <v>113</v>
      </c>
      <c r="P6" s="82" t="s">
        <v>114</v>
      </c>
      <c r="Q6" s="83" t="s">
        <v>115</v>
      </c>
      <c r="R6" s="83" t="s">
        <v>116</v>
      </c>
      <c r="S6" s="83" t="s">
        <v>117</v>
      </c>
      <c r="T6" s="83" t="s">
        <v>118</v>
      </c>
      <c r="U6" s="83" t="s">
        <v>119</v>
      </c>
      <c r="V6" s="83" t="s">
        <v>120</v>
      </c>
    </row>
    <row r="7" spans="2:24" x14ac:dyDescent="0.3">
      <c r="B7" s="85">
        <v>10005721</v>
      </c>
      <c r="C7" s="86" t="s">
        <v>95</v>
      </c>
      <c r="D7" s="87">
        <f>TD!F4</f>
        <v>133.79999999999998</v>
      </c>
      <c r="E7" s="88">
        <f t="shared" ref="E7:E19" si="0">IFERROR(F7/D7,0)</f>
        <v>1599.2689753574577</v>
      </c>
      <c r="F7" s="89">
        <f>TD!G4</f>
        <v>213982.18890282782</v>
      </c>
      <c r="G7" s="68">
        <f>TD!H4</f>
        <v>32146.788</v>
      </c>
      <c r="H7" s="68">
        <f>TD!I4</f>
        <v>4120.4104685399252</v>
      </c>
      <c r="I7" s="68">
        <f>TD!J4</f>
        <v>11130.983687994269</v>
      </c>
      <c r="J7" s="68">
        <f>TD!K4</f>
        <v>8107.2913946408962</v>
      </c>
      <c r="K7" s="90">
        <v>0</v>
      </c>
      <c r="L7" s="91">
        <v>0</v>
      </c>
      <c r="M7" s="92">
        <f>F7+G7+H7+I7</f>
        <v>261380.37105936202</v>
      </c>
      <c r="N7" s="93">
        <f>IFERROR(M7/D7,0)</f>
        <v>1953.5154787695221</v>
      </c>
      <c r="O7" s="93">
        <f>F7+G7+H7-J7</f>
        <v>242142.09597672685</v>
      </c>
      <c r="P7" s="93">
        <f t="shared" ref="P7:P19" si="1">IFERROR(O7/D7,0)</f>
        <v>1809.7316590188855</v>
      </c>
      <c r="Q7" s="94">
        <v>1800</v>
      </c>
      <c r="R7" s="94">
        <f>Q7*D7</f>
        <v>240839.99999999997</v>
      </c>
      <c r="S7" s="94">
        <f t="shared" ref="S7:S18" si="2">R7-M7</f>
        <v>-20540.371059362049</v>
      </c>
      <c r="T7" s="95">
        <f t="shared" ref="T7:T18" si="3">IFERROR(S7/R7,0)</f>
        <v>-8.5286377094178925E-2</v>
      </c>
      <c r="U7" s="94">
        <f t="shared" ref="U7:U9" si="4">R7-(M7-J7-I7)</f>
        <v>-1302.0959767268796</v>
      </c>
      <c r="V7" s="95">
        <f t="shared" ref="V7:V19" si="5">IFERROR(U7/R7,0)</f>
        <v>-5.4064772327141663E-3</v>
      </c>
      <c r="X7" s="70"/>
    </row>
    <row r="8" spans="2:24" x14ac:dyDescent="0.3">
      <c r="B8" s="85">
        <v>10005779</v>
      </c>
      <c r="C8" s="96" t="s">
        <v>96</v>
      </c>
      <c r="D8" s="87">
        <f>TD!F5</f>
        <v>448.82</v>
      </c>
      <c r="E8" s="88">
        <f t="shared" si="0"/>
        <v>1529.055571154182</v>
      </c>
      <c r="F8" s="68">
        <f>TD!G5</f>
        <v>686270.72144541994</v>
      </c>
      <c r="G8" s="68">
        <f>TD!H5</f>
        <v>107833.4932</v>
      </c>
      <c r="H8" s="68">
        <f>TD!I5</f>
        <v>13821.544293647901</v>
      </c>
      <c r="I8" s="68">
        <f>TD!J5</f>
        <v>37337.878167754767</v>
      </c>
      <c r="J8" s="68">
        <f>TD!K5</f>
        <v>27195.175812725909</v>
      </c>
      <c r="K8" s="90">
        <v>0</v>
      </c>
      <c r="L8" s="91">
        <v>0</v>
      </c>
      <c r="M8" s="92">
        <f t="shared" ref="M8:M18" si="6">F8+G8+H8+I8</f>
        <v>845263.63710682257</v>
      </c>
      <c r="N8" s="93">
        <f>IFERROR(M8/D8,0)</f>
        <v>1883.3020745662461</v>
      </c>
      <c r="O8" s="93">
        <f t="shared" ref="O8:O18" si="7">F8+G8+H8-J8</f>
        <v>780730.58312634192</v>
      </c>
      <c r="P8" s="93">
        <f t="shared" si="1"/>
        <v>1739.5182548156097</v>
      </c>
      <c r="Q8" s="94">
        <v>1400</v>
      </c>
      <c r="R8" s="94">
        <f t="shared" ref="R8:R14" si="8">Q8*D8</f>
        <v>628348</v>
      </c>
      <c r="S8" s="94">
        <f t="shared" si="2"/>
        <v>-216915.63710682257</v>
      </c>
      <c r="T8" s="95">
        <f t="shared" si="3"/>
        <v>-0.34521576754731864</v>
      </c>
      <c r="U8" s="94">
        <f t="shared" si="4"/>
        <v>-152382.58312634192</v>
      </c>
      <c r="V8" s="95">
        <f t="shared" si="5"/>
        <v>-0.2425130391540069</v>
      </c>
    </row>
    <row r="9" spans="2:24" x14ac:dyDescent="0.3">
      <c r="B9" s="85">
        <v>10006719</v>
      </c>
      <c r="C9" s="96" t="s">
        <v>97</v>
      </c>
      <c r="D9" s="87">
        <f>TD!F6</f>
        <v>79.06</v>
      </c>
      <c r="E9" s="88">
        <f t="shared" si="0"/>
        <v>1447.9797073187112</v>
      </c>
      <c r="F9" s="68">
        <f>TD!G6</f>
        <v>114477.27566061732</v>
      </c>
      <c r="G9" s="68">
        <f>TD!H6</f>
        <v>18994.955599999998</v>
      </c>
      <c r="H9" s="68">
        <f>TD!I6</f>
        <v>2434.6760212463869</v>
      </c>
      <c r="I9" s="68">
        <f>TD!J6</f>
        <v>6577.0969385114122</v>
      </c>
      <c r="J9" s="68">
        <f>TD!K6</f>
        <v>4790.4518509739119</v>
      </c>
      <c r="K9" s="90">
        <v>0</v>
      </c>
      <c r="L9" s="91">
        <v>0</v>
      </c>
      <c r="M9" s="92">
        <f t="shared" si="6"/>
        <v>142484.00422037512</v>
      </c>
      <c r="N9" s="93">
        <f t="shared" ref="N9:N14" si="9">IFERROR(M9/D9,0)</f>
        <v>1802.2262107307756</v>
      </c>
      <c r="O9" s="93">
        <f t="shared" si="7"/>
        <v>131116.45543088979</v>
      </c>
      <c r="P9" s="93">
        <f t="shared" si="1"/>
        <v>1658.442390980139</v>
      </c>
      <c r="Q9" s="94">
        <v>2000</v>
      </c>
      <c r="R9" s="94">
        <f t="shared" si="8"/>
        <v>158120</v>
      </c>
      <c r="S9" s="94">
        <f t="shared" si="2"/>
        <v>15635.995779624878</v>
      </c>
      <c r="T9" s="95">
        <f t="shared" si="3"/>
        <v>9.8886894634612185E-2</v>
      </c>
      <c r="U9" s="94">
        <f t="shared" si="4"/>
        <v>27003.544569110207</v>
      </c>
      <c r="V9" s="95">
        <f t="shared" si="5"/>
        <v>0.17077880450993047</v>
      </c>
    </row>
    <row r="10" spans="2:24" x14ac:dyDescent="0.3">
      <c r="B10" s="85">
        <v>10007050</v>
      </c>
      <c r="C10" s="96" t="s">
        <v>98</v>
      </c>
      <c r="D10" s="87">
        <f>TD!F7</f>
        <v>69.592000000000013</v>
      </c>
      <c r="E10" s="88">
        <f t="shared" si="0"/>
        <v>1288.0841407590472</v>
      </c>
      <c r="F10" s="68">
        <f>TD!G7</f>
        <v>89640.351523703634</v>
      </c>
      <c r="G10" s="68">
        <f>TD!H7</f>
        <v>16720.173920000001</v>
      </c>
      <c r="H10" s="68">
        <f>TD!I7</f>
        <v>2143.1061683604676</v>
      </c>
      <c r="I10" s="68">
        <f>TD!J7</f>
        <v>5789.442577091907</v>
      </c>
      <c r="J10" s="68">
        <f>TD!K7</f>
        <v>4216.7610069943894</v>
      </c>
      <c r="K10" s="90">
        <v>0</v>
      </c>
      <c r="L10" s="91">
        <v>0</v>
      </c>
      <c r="M10" s="92">
        <f t="shared" si="6"/>
        <v>114293.074189156</v>
      </c>
      <c r="N10" s="93">
        <f t="shared" si="9"/>
        <v>1642.3306441711113</v>
      </c>
      <c r="O10" s="93">
        <f t="shared" si="7"/>
        <v>104286.87060506971</v>
      </c>
      <c r="P10" s="93">
        <f t="shared" si="1"/>
        <v>1498.5468244204749</v>
      </c>
      <c r="Q10" s="94">
        <v>2200</v>
      </c>
      <c r="R10" s="94">
        <f t="shared" si="8"/>
        <v>153102.40000000002</v>
      </c>
      <c r="S10" s="94">
        <f t="shared" si="2"/>
        <v>38809.32581084402</v>
      </c>
      <c r="T10" s="95">
        <f t="shared" si="3"/>
        <v>0.25348607083131297</v>
      </c>
      <c r="U10" s="94">
        <f>R10-(M10-J10-I10)</f>
        <v>48815.529394930316</v>
      </c>
      <c r="V10" s="95">
        <f t="shared" si="5"/>
        <v>0.31884235253614773</v>
      </c>
    </row>
    <row r="11" spans="2:24" x14ac:dyDescent="0.3">
      <c r="B11" s="85">
        <v>10007162</v>
      </c>
      <c r="C11" s="96" t="s">
        <v>99</v>
      </c>
      <c r="D11" s="87">
        <f>TD!F8</f>
        <v>552.72</v>
      </c>
      <c r="E11" s="88">
        <f t="shared" si="0"/>
        <v>1660.2122374490157</v>
      </c>
      <c r="F11" s="68">
        <f>TD!G8</f>
        <v>917632.50788281998</v>
      </c>
      <c r="G11" s="68">
        <f>TD!H8</f>
        <v>132796.50719999999</v>
      </c>
      <c r="H11" s="68">
        <f>TD!I8</f>
        <v>17021.175442237574</v>
      </c>
      <c r="I11" s="68">
        <f>TD!J8</f>
        <v>45981.444723678564</v>
      </c>
      <c r="J11" s="68">
        <f>TD!K8</f>
        <v>33490.748128893247</v>
      </c>
      <c r="K11" s="90">
        <v>0</v>
      </c>
      <c r="L11" s="91">
        <v>0</v>
      </c>
      <c r="M11" s="92">
        <f t="shared" si="6"/>
        <v>1113431.635248736</v>
      </c>
      <c r="N11" s="93">
        <f t="shared" si="9"/>
        <v>2014.4587408610796</v>
      </c>
      <c r="O11" s="93">
        <f t="shared" si="7"/>
        <v>1033959.4423961643</v>
      </c>
      <c r="P11" s="93">
        <f t="shared" si="1"/>
        <v>1870.6749211104434</v>
      </c>
      <c r="Q11" s="94">
        <v>2157.3165436387321</v>
      </c>
      <c r="R11" s="94">
        <f t="shared" si="8"/>
        <v>1192392</v>
      </c>
      <c r="S11" s="94">
        <f t="shared" si="2"/>
        <v>78960.364751263987</v>
      </c>
      <c r="T11" s="95">
        <f t="shared" si="3"/>
        <v>6.6220139644734277E-2</v>
      </c>
      <c r="U11" s="94">
        <f t="shared" ref="U11:U18" si="10">R11-(M11-J11-I11)</f>
        <v>158432.55760383583</v>
      </c>
      <c r="V11" s="95">
        <f t="shared" si="5"/>
        <v>0.13286952411944716</v>
      </c>
    </row>
    <row r="12" spans="2:24" x14ac:dyDescent="0.3">
      <c r="B12" s="85">
        <v>10007567</v>
      </c>
      <c r="C12" s="96" t="s">
        <v>100</v>
      </c>
      <c r="D12" s="87">
        <f>TD!F9</f>
        <v>148.63999999999999</v>
      </c>
      <c r="E12" s="88">
        <f t="shared" si="0"/>
        <v>1613.9706394343725</v>
      </c>
      <c r="F12" s="68">
        <f>TD!G9</f>
        <v>239900.59584552509</v>
      </c>
      <c r="G12" s="68">
        <f>TD!H9</f>
        <v>35712.246400000004</v>
      </c>
      <c r="H12" s="68">
        <f>TD!I9</f>
        <v>4577.4126460670741</v>
      </c>
      <c r="I12" s="68">
        <f>TD!J9</f>
        <v>12365.541221102154</v>
      </c>
      <c r="J12" s="68">
        <f>TD!K9</f>
        <v>9006.4857466324574</v>
      </c>
      <c r="K12" s="90">
        <v>0</v>
      </c>
      <c r="L12" s="91">
        <v>0</v>
      </c>
      <c r="M12" s="92">
        <f t="shared" si="6"/>
        <v>292555.79611269437</v>
      </c>
      <c r="N12" s="93">
        <f t="shared" si="9"/>
        <v>1968.2171428464369</v>
      </c>
      <c r="O12" s="93">
        <f t="shared" si="7"/>
        <v>271183.76914495975</v>
      </c>
      <c r="P12" s="93">
        <f t="shared" si="1"/>
        <v>1824.4333230958005</v>
      </c>
      <c r="Q12" s="94">
        <v>2800</v>
      </c>
      <c r="R12" s="94">
        <f t="shared" si="8"/>
        <v>416191.99999999994</v>
      </c>
      <c r="S12" s="94">
        <f t="shared" si="2"/>
        <v>123636.20388730557</v>
      </c>
      <c r="T12" s="95">
        <f t="shared" si="3"/>
        <v>0.29706530612627247</v>
      </c>
      <c r="U12" s="94">
        <f t="shared" si="10"/>
        <v>145008.23085504019</v>
      </c>
      <c r="V12" s="95">
        <f t="shared" si="5"/>
        <v>0.34841667032292839</v>
      </c>
    </row>
    <row r="13" spans="2:24" x14ac:dyDescent="0.3">
      <c r="B13" s="85">
        <v>10007969</v>
      </c>
      <c r="C13" s="96" t="s">
        <v>9</v>
      </c>
      <c r="D13" s="87">
        <f>TD!F10</f>
        <v>0</v>
      </c>
      <c r="E13" s="88">
        <f t="shared" si="0"/>
        <v>0</v>
      </c>
      <c r="F13" s="68">
        <f>TD!G10</f>
        <v>0</v>
      </c>
      <c r="G13" s="68">
        <f>TD!H10</f>
        <v>0</v>
      </c>
      <c r="H13" s="68">
        <f>TD!I10</f>
        <v>0</v>
      </c>
      <c r="I13" s="68">
        <f>TD!J10</f>
        <v>0</v>
      </c>
      <c r="J13" s="68">
        <f>TD!K10</f>
        <v>0</v>
      </c>
      <c r="K13" s="90">
        <v>0</v>
      </c>
      <c r="L13" s="91">
        <v>0</v>
      </c>
      <c r="M13" s="92">
        <f t="shared" si="6"/>
        <v>0</v>
      </c>
      <c r="N13" s="93">
        <f t="shared" si="9"/>
        <v>0</v>
      </c>
      <c r="O13" s="93">
        <f t="shared" si="7"/>
        <v>0</v>
      </c>
      <c r="P13" s="93">
        <f t="shared" si="1"/>
        <v>0</v>
      </c>
      <c r="Q13" s="94">
        <v>1750</v>
      </c>
      <c r="R13" s="94">
        <f t="shared" si="8"/>
        <v>0</v>
      </c>
      <c r="S13" s="94">
        <f t="shared" si="2"/>
        <v>0</v>
      </c>
      <c r="T13" s="95">
        <f t="shared" si="3"/>
        <v>0</v>
      </c>
      <c r="U13" s="94">
        <f t="shared" si="10"/>
        <v>0</v>
      </c>
      <c r="V13" s="95">
        <f t="shared" si="5"/>
        <v>0</v>
      </c>
    </row>
    <row r="14" spans="2:24" x14ac:dyDescent="0.3">
      <c r="B14" s="85">
        <v>10009239</v>
      </c>
      <c r="C14" s="96" t="s">
        <v>101</v>
      </c>
      <c r="D14" s="87">
        <f>TD!F11</f>
        <v>315.44</v>
      </c>
      <c r="E14" s="88">
        <f t="shared" si="0"/>
        <v>3028.4260229325664</v>
      </c>
      <c r="F14" s="68">
        <f>TD!G11</f>
        <v>955286.70467384881</v>
      </c>
      <c r="G14" s="68">
        <f>TD!H11</f>
        <v>75787.614400000006</v>
      </c>
      <c r="H14" s="68">
        <f>TD!I11</f>
        <v>9714.0678490002556</v>
      </c>
      <c r="I14" s="68">
        <f>TD!J11</f>
        <v>26241.83478730129</v>
      </c>
      <c r="J14" s="68">
        <f>TD!K11</f>
        <v>19113.333314839492</v>
      </c>
      <c r="K14" s="90">
        <v>0</v>
      </c>
      <c r="L14" s="91">
        <v>0</v>
      </c>
      <c r="M14" s="92">
        <f t="shared" si="6"/>
        <v>1067030.2217101504</v>
      </c>
      <c r="N14" s="93">
        <f t="shared" si="9"/>
        <v>3382.672526344631</v>
      </c>
      <c r="O14" s="93">
        <f t="shared" si="7"/>
        <v>1021675.0536080095</v>
      </c>
      <c r="P14" s="93">
        <f t="shared" si="1"/>
        <v>3238.8887065939939</v>
      </c>
      <c r="Q14" s="94">
        <v>3600</v>
      </c>
      <c r="R14" s="94">
        <f t="shared" si="8"/>
        <v>1135584</v>
      </c>
      <c r="S14" s="94">
        <f t="shared" si="2"/>
        <v>68553.778289849637</v>
      </c>
      <c r="T14" s="95">
        <f t="shared" si="3"/>
        <v>6.0368742682046977E-2</v>
      </c>
      <c r="U14" s="94">
        <f t="shared" si="10"/>
        <v>113908.94639199041</v>
      </c>
      <c r="V14" s="95">
        <f t="shared" si="5"/>
        <v>0.10030869261277933</v>
      </c>
    </row>
    <row r="15" spans="2:24" x14ac:dyDescent="0.3">
      <c r="B15" s="85">
        <v>10009334</v>
      </c>
      <c r="C15" s="96" t="s">
        <v>102</v>
      </c>
      <c r="D15" s="87">
        <f>TD!F12</f>
        <v>147.15199999999999</v>
      </c>
      <c r="E15" s="88">
        <f t="shared" si="0"/>
        <v>2652.5147290338505</v>
      </c>
      <c r="F15" s="68">
        <f>TD!G12</f>
        <v>390322.84740678914</v>
      </c>
      <c r="G15" s="68">
        <f>TD!H12</f>
        <v>35354.739519999996</v>
      </c>
      <c r="H15" s="68">
        <f>TD!I12</f>
        <v>4531.5892471344332</v>
      </c>
      <c r="I15" s="68">
        <f>TD!J12</f>
        <v>12241.752702957643</v>
      </c>
      <c r="J15" s="68">
        <f>TD!K12</f>
        <v>8916.3239409880207</v>
      </c>
      <c r="K15" s="90">
        <v>0</v>
      </c>
      <c r="L15" s="91">
        <v>0</v>
      </c>
      <c r="M15" s="92">
        <f t="shared" si="6"/>
        <v>442450.92887688125</v>
      </c>
      <c r="N15" s="93">
        <f>IFERROR(M15/D15,0)</f>
        <v>3006.7612324459151</v>
      </c>
      <c r="O15" s="93">
        <f t="shared" si="7"/>
        <v>421292.85223293555</v>
      </c>
      <c r="P15" s="93">
        <f t="shared" si="1"/>
        <v>2862.9774126952784</v>
      </c>
      <c r="Q15" s="94">
        <v>3800</v>
      </c>
      <c r="R15" s="94">
        <f>Q15*D15</f>
        <v>559177.6</v>
      </c>
      <c r="S15" s="94">
        <f t="shared" si="2"/>
        <v>116726.67112311872</v>
      </c>
      <c r="T15" s="95">
        <f t="shared" si="3"/>
        <v>0.20874704409318029</v>
      </c>
      <c r="U15" s="94">
        <f t="shared" si="10"/>
        <v>137884.74776706443</v>
      </c>
      <c r="V15" s="95">
        <f t="shared" si="5"/>
        <v>0.24658489139597944</v>
      </c>
    </row>
    <row r="16" spans="2:24" x14ac:dyDescent="0.3">
      <c r="B16" s="85">
        <v>10009386</v>
      </c>
      <c r="C16" s="96" t="s">
        <v>75</v>
      </c>
      <c r="D16" s="87">
        <f>TD!F13</f>
        <v>25.18</v>
      </c>
      <c r="E16" s="88">
        <f t="shared" si="0"/>
        <v>2183.6494283834113</v>
      </c>
      <c r="F16" s="68">
        <f>TD!G13</f>
        <v>54984.292606694296</v>
      </c>
      <c r="G16" s="68">
        <f>TD!H13</f>
        <v>6049.7467999999999</v>
      </c>
      <c r="H16" s="68">
        <f>TD!I13</f>
        <v>775.42552763703532</v>
      </c>
      <c r="I16" s="68">
        <f>TD!J13</f>
        <v>2094.7546282787421</v>
      </c>
      <c r="J16" s="68">
        <f>TD!K13</f>
        <v>1525.7219530422851</v>
      </c>
      <c r="K16" s="90">
        <v>0</v>
      </c>
      <c r="L16" s="91">
        <v>0</v>
      </c>
      <c r="M16" s="92">
        <f t="shared" si="6"/>
        <v>63904.21956261008</v>
      </c>
      <c r="N16" s="93">
        <f>IFERROR(M16/D16,0)</f>
        <v>2537.8959317954759</v>
      </c>
      <c r="O16" s="93">
        <f t="shared" si="7"/>
        <v>60283.742981289048</v>
      </c>
      <c r="P16" s="93">
        <f t="shared" si="1"/>
        <v>2394.1121120448393</v>
      </c>
      <c r="Q16" s="94">
        <v>3900</v>
      </c>
      <c r="R16" s="94">
        <f>Q16*D16</f>
        <v>98202</v>
      </c>
      <c r="S16" s="94">
        <f t="shared" si="2"/>
        <v>34297.78043738992</v>
      </c>
      <c r="T16" s="95">
        <f t="shared" si="3"/>
        <v>0.34925745338577546</v>
      </c>
      <c r="U16" s="94">
        <f t="shared" si="10"/>
        <v>37918.257018710952</v>
      </c>
      <c r="V16" s="95">
        <f t="shared" si="5"/>
        <v>0.3861250994756823</v>
      </c>
    </row>
    <row r="17" spans="1:23" x14ac:dyDescent="0.3">
      <c r="B17" s="85">
        <v>10009386</v>
      </c>
      <c r="C17" s="96" t="s">
        <v>129</v>
      </c>
      <c r="D17" s="87">
        <f>TD!F14</f>
        <v>69.239999999999995</v>
      </c>
      <c r="E17" s="88">
        <f t="shared" si="0"/>
        <v>1488.5392238806003</v>
      </c>
      <c r="F17" s="68">
        <f>TD!G14</f>
        <v>103066.45586149275</v>
      </c>
      <c r="G17" s="68">
        <f>TD!H14</f>
        <v>16635.6024</v>
      </c>
      <c r="H17" s="68">
        <f>TD!I14</f>
        <v>2132.2662245269389</v>
      </c>
      <c r="I17" s="68">
        <f>TD!J14</f>
        <v>5760.1592717243884</v>
      </c>
      <c r="J17" s="68">
        <f>TD!K14</f>
        <v>4195.4324078096834</v>
      </c>
      <c r="K17" s="90">
        <v>0</v>
      </c>
      <c r="L17" s="91">
        <v>0</v>
      </c>
      <c r="M17" s="92">
        <f t="shared" si="6"/>
        <v>127594.48375774409</v>
      </c>
      <c r="N17" s="93">
        <f t="shared" ref="N17:N18" si="11">IFERROR(M17/D17,0)</f>
        <v>1842.7857272926647</v>
      </c>
      <c r="O17" s="93">
        <f t="shared" si="7"/>
        <v>117638.89207821002</v>
      </c>
      <c r="P17" s="93">
        <f t="shared" si="1"/>
        <v>1699.0019075420282</v>
      </c>
      <c r="Q17" s="94">
        <v>1800</v>
      </c>
      <c r="R17" s="94">
        <f>Q17*D17</f>
        <v>124631.99999999999</v>
      </c>
      <c r="S17" s="94">
        <f t="shared" si="2"/>
        <v>-2962.4837577441067</v>
      </c>
      <c r="T17" s="95">
        <f t="shared" si="3"/>
        <v>-2.376984849592486E-2</v>
      </c>
      <c r="U17" s="94">
        <f t="shared" si="10"/>
        <v>6993.1079217899678</v>
      </c>
      <c r="V17" s="95">
        <f t="shared" si="5"/>
        <v>5.6110051365539898E-2</v>
      </c>
    </row>
    <row r="18" spans="1:23" ht="15" thickBot="1" x14ac:dyDescent="0.35">
      <c r="B18" s="85"/>
      <c r="C18" s="96" t="s">
        <v>71</v>
      </c>
      <c r="D18" s="87">
        <f>TD!F15</f>
        <v>54.28</v>
      </c>
      <c r="E18" s="88">
        <f t="shared" si="0"/>
        <v>1295.7230576877803</v>
      </c>
      <c r="F18" s="68">
        <f>TD!G15</f>
        <v>70331.847571292717</v>
      </c>
      <c r="G18" s="68">
        <f>TD!H15</f>
        <v>13041.3128</v>
      </c>
      <c r="H18" s="68">
        <f>TD!I15</f>
        <v>1671.568611601997</v>
      </c>
      <c r="I18" s="68">
        <f>TD!J15</f>
        <v>4515.61879360485</v>
      </c>
      <c r="J18" s="68">
        <f>TD!K15</f>
        <v>3288.9669424597</v>
      </c>
      <c r="K18" s="90">
        <v>0</v>
      </c>
      <c r="L18" s="91">
        <v>0</v>
      </c>
      <c r="M18" s="92">
        <f t="shared" si="6"/>
        <v>89560.347776499562</v>
      </c>
      <c r="N18" s="93">
        <f t="shared" si="11"/>
        <v>1649.9695610998444</v>
      </c>
      <c r="O18" s="93">
        <f t="shared" si="7"/>
        <v>81755.762040435016</v>
      </c>
      <c r="P18" s="93">
        <f t="shared" si="1"/>
        <v>1506.185741349208</v>
      </c>
      <c r="Q18" s="94">
        <v>1550</v>
      </c>
      <c r="R18" s="97">
        <f>Q18*D18</f>
        <v>84134</v>
      </c>
      <c r="S18" s="94">
        <f t="shared" si="2"/>
        <v>-5426.3477764995623</v>
      </c>
      <c r="T18" s="95">
        <f t="shared" si="3"/>
        <v>-6.4496491032157779E-2</v>
      </c>
      <c r="U18" s="94">
        <f t="shared" si="10"/>
        <v>2378.2379595649836</v>
      </c>
      <c r="V18" s="95">
        <f t="shared" si="5"/>
        <v>2.8267263645672187E-2</v>
      </c>
    </row>
    <row r="19" spans="1:23" ht="15" thickBot="1" x14ac:dyDescent="0.35">
      <c r="C19" s="98" t="s">
        <v>121</v>
      </c>
      <c r="D19" s="99">
        <f>SUM(D7:D18)</f>
        <v>2043.9240000000002</v>
      </c>
      <c r="E19" s="100">
        <f t="shared" si="0"/>
        <v>1876.7311257077224</v>
      </c>
      <c r="F19" s="101">
        <f t="shared" ref="F19:K19" si="12">SUM(F7:F18)</f>
        <v>3835895.7893810314</v>
      </c>
      <c r="G19" s="101">
        <f t="shared" si="12"/>
        <v>491073.18024000002</v>
      </c>
      <c r="H19" s="101">
        <f t="shared" si="12"/>
        <v>62943.242499999993</v>
      </c>
      <c r="I19" s="101">
        <f t="shared" si="12"/>
        <v>170036.50749999995</v>
      </c>
      <c r="J19" s="101">
        <f t="shared" si="12"/>
        <v>123846.69249999999</v>
      </c>
      <c r="K19" s="101">
        <f t="shared" si="12"/>
        <v>0</v>
      </c>
      <c r="L19" s="102">
        <v>0</v>
      </c>
      <c r="M19" s="103">
        <f>SUM(M7:M18)</f>
        <v>4559948.7196210315</v>
      </c>
      <c r="N19" s="103">
        <f>IFERROR(M19/D19,0)</f>
        <v>2230.9776291197868</v>
      </c>
      <c r="O19" s="103">
        <f>SUM(O7:O18)</f>
        <v>4266065.5196210314</v>
      </c>
      <c r="P19" s="103">
        <f t="shared" si="1"/>
        <v>2087.1938093691501</v>
      </c>
      <c r="Q19" s="104">
        <f>R19/D19</f>
        <v>2343.8855847869095</v>
      </c>
      <c r="R19" s="105">
        <f>SUM(R7:R18)</f>
        <v>4790724</v>
      </c>
      <c r="S19" s="104">
        <f>SUM(S7:S18)</f>
        <v>230775.28037896845</v>
      </c>
      <c r="T19" s="106">
        <f>S19/R19</f>
        <v>4.8171274400063219E-2</v>
      </c>
      <c r="U19" s="104">
        <f>SUM(U7:U18)</f>
        <v>524658.48037896852</v>
      </c>
      <c r="V19" s="106">
        <f t="shared" si="5"/>
        <v>0.10951548876098237</v>
      </c>
    </row>
    <row r="20" spans="1:23" x14ac:dyDescent="0.3">
      <c r="I20" s="70"/>
      <c r="J20" s="70"/>
      <c r="N20" s="68"/>
      <c r="O20" s="68"/>
    </row>
    <row r="21" spans="1:23" ht="15" thickBot="1" x14ac:dyDescent="0.35">
      <c r="C21" s="71" t="s">
        <v>122</v>
      </c>
      <c r="L21" s="107"/>
      <c r="M21" s="68"/>
      <c r="N21" s="108"/>
      <c r="O21" s="108"/>
      <c r="P21" s="108"/>
      <c r="Q21" s="108"/>
      <c r="R21" s="109"/>
      <c r="S21" s="108"/>
      <c r="T21" s="108"/>
      <c r="U21" s="108"/>
      <c r="V21" s="108"/>
      <c r="W21" s="68"/>
    </row>
    <row r="22" spans="1:23" ht="29.4" thickBot="1" x14ac:dyDescent="0.35">
      <c r="C22" s="76" t="s">
        <v>108</v>
      </c>
      <c r="D22" s="110" t="s">
        <v>109</v>
      </c>
      <c r="E22" s="111" t="s">
        <v>110</v>
      </c>
      <c r="F22" s="76" t="s">
        <v>59</v>
      </c>
      <c r="G22" s="76" t="s">
        <v>60</v>
      </c>
      <c r="H22" s="76" t="s">
        <v>61</v>
      </c>
      <c r="I22" s="76" t="s">
        <v>62</v>
      </c>
      <c r="J22" s="76" t="s">
        <v>63</v>
      </c>
      <c r="K22" s="76" t="s">
        <v>64</v>
      </c>
      <c r="L22" s="112" t="s">
        <v>65</v>
      </c>
      <c r="M22" s="113" t="s">
        <v>111</v>
      </c>
      <c r="N22" s="113" t="s">
        <v>112</v>
      </c>
      <c r="O22" s="113" t="s">
        <v>113</v>
      </c>
      <c r="P22" s="113" t="s">
        <v>114</v>
      </c>
      <c r="Q22" s="83" t="s">
        <v>115</v>
      </c>
      <c r="R22" s="83" t="s">
        <v>116</v>
      </c>
      <c r="S22" s="83" t="s">
        <v>117</v>
      </c>
      <c r="T22" s="83" t="s">
        <v>118</v>
      </c>
      <c r="U22" s="83" t="s">
        <v>119</v>
      </c>
      <c r="V22" s="83" t="s">
        <v>120</v>
      </c>
      <c r="W22" s="68"/>
    </row>
    <row r="23" spans="1:23" x14ac:dyDescent="0.3">
      <c r="A23" s="114"/>
      <c r="C23" s="96" t="s">
        <v>95</v>
      </c>
      <c r="D23" s="87">
        <f>Stock!K61</f>
        <v>0</v>
      </c>
      <c r="E23" s="88">
        <f t="shared" ref="E23:E28" si="13">IFERROR(F23/D23,0)</f>
        <v>0</v>
      </c>
      <c r="F23" s="68">
        <f>Stock!L61</f>
        <v>0</v>
      </c>
      <c r="G23" s="68">
        <f>Stock!M61</f>
        <v>0</v>
      </c>
      <c r="H23" s="68">
        <f>Stock!N61</f>
        <v>0</v>
      </c>
      <c r="I23" s="68">
        <f>Stock!O61</f>
        <v>0</v>
      </c>
      <c r="J23" s="68">
        <f>Stock!P61</f>
        <v>0</v>
      </c>
      <c r="K23" s="90">
        <v>0</v>
      </c>
      <c r="L23" s="91">
        <v>0</v>
      </c>
      <c r="M23" s="92">
        <f t="shared" ref="M23:M28" si="14">F23+G23+H23+I23</f>
        <v>0</v>
      </c>
      <c r="N23" s="93">
        <f t="shared" ref="N23:N28" si="15">IFERROR(M23/D23,0)</f>
        <v>0</v>
      </c>
      <c r="O23" s="93">
        <f t="shared" ref="O23:O28" si="16">F23+G23+H23-J23</f>
        <v>0</v>
      </c>
      <c r="P23" s="93">
        <f t="shared" ref="P23:P28" si="17">IFERROR(O23/D23,0)</f>
        <v>0</v>
      </c>
      <c r="Q23" s="94">
        <f>Q7</f>
        <v>1800</v>
      </c>
      <c r="R23" s="94">
        <f t="shared" ref="R23:R28" si="18">Q23*D23</f>
        <v>0</v>
      </c>
      <c r="S23" s="94">
        <f t="shared" ref="S23:S28" si="19">R23-M23</f>
        <v>0</v>
      </c>
      <c r="T23" s="95">
        <f t="shared" ref="T23:T28" si="20">IFERROR(S23/R23,0)</f>
        <v>0</v>
      </c>
      <c r="U23" s="94">
        <f t="shared" ref="U23:U28" si="21">R23-(M23-J23-I23)</f>
        <v>0</v>
      </c>
      <c r="V23" s="95">
        <f t="shared" ref="V23:V28" si="22">IFERROR(U23/R23,0)</f>
        <v>0</v>
      </c>
      <c r="W23" s="68"/>
    </row>
    <row r="24" spans="1:23" x14ac:dyDescent="0.3">
      <c r="A24" s="114"/>
      <c r="C24" s="96" t="s">
        <v>97</v>
      </c>
      <c r="D24" s="87">
        <f>Stock!K62</f>
        <v>0</v>
      </c>
      <c r="E24" s="88">
        <f t="shared" si="13"/>
        <v>0</v>
      </c>
      <c r="F24" s="68">
        <f>Stock!L62</f>
        <v>0</v>
      </c>
      <c r="G24" s="68">
        <f>Stock!M62</f>
        <v>0</v>
      </c>
      <c r="H24" s="68">
        <f>Stock!N62</f>
        <v>0</v>
      </c>
      <c r="I24" s="68">
        <f>Stock!O62</f>
        <v>0</v>
      </c>
      <c r="J24" s="68">
        <f>Stock!P62</f>
        <v>0</v>
      </c>
      <c r="K24" s="90">
        <v>0</v>
      </c>
      <c r="L24" s="91">
        <v>0</v>
      </c>
      <c r="M24" s="92">
        <f t="shared" si="14"/>
        <v>0</v>
      </c>
      <c r="N24" s="93">
        <f t="shared" si="15"/>
        <v>0</v>
      </c>
      <c r="O24" s="93">
        <f t="shared" si="16"/>
        <v>0</v>
      </c>
      <c r="P24" s="93">
        <f t="shared" si="17"/>
        <v>0</v>
      </c>
      <c r="Q24" s="94">
        <f>Q9</f>
        <v>2000</v>
      </c>
      <c r="R24" s="94">
        <f t="shared" si="18"/>
        <v>0</v>
      </c>
      <c r="S24" s="94">
        <f>R24-M24</f>
        <v>0</v>
      </c>
      <c r="T24" s="95">
        <f t="shared" si="20"/>
        <v>0</v>
      </c>
      <c r="U24" s="94">
        <f t="shared" si="21"/>
        <v>0</v>
      </c>
      <c r="V24" s="95">
        <f t="shared" si="22"/>
        <v>0</v>
      </c>
      <c r="W24" s="68"/>
    </row>
    <row r="25" spans="1:23" x14ac:dyDescent="0.3">
      <c r="A25" s="114"/>
      <c r="C25" s="96" t="s">
        <v>99</v>
      </c>
      <c r="D25" s="87">
        <f>Stock!K63</f>
        <v>27</v>
      </c>
      <c r="E25" s="88">
        <f t="shared" si="13"/>
        <v>1661.5121916236401</v>
      </c>
      <c r="F25" s="68">
        <f>Stock!L63</f>
        <v>44860.829173838283</v>
      </c>
      <c r="G25" s="68">
        <f>Stock!M63</f>
        <v>6487.0199999999995</v>
      </c>
      <c r="H25" s="68">
        <f>Stock!N63</f>
        <v>2539.1715934558488</v>
      </c>
      <c r="I25" s="68">
        <f>Stock!O63</f>
        <v>6859.3839870013435</v>
      </c>
      <c r="J25" s="68">
        <f>Stock!P63</f>
        <v>4996.056622590766</v>
      </c>
      <c r="K25" s="90">
        <v>0</v>
      </c>
      <c r="L25" s="91">
        <v>0</v>
      </c>
      <c r="M25" s="92">
        <f t="shared" si="14"/>
        <v>60746.40475429548</v>
      </c>
      <c r="N25" s="93">
        <f t="shared" si="15"/>
        <v>2249.8668427516845</v>
      </c>
      <c r="O25" s="93">
        <f t="shared" si="16"/>
        <v>48890.964144703365</v>
      </c>
      <c r="P25" s="93">
        <f t="shared" si="17"/>
        <v>1810.7764498038284</v>
      </c>
      <c r="Q25" s="94">
        <v>2500</v>
      </c>
      <c r="R25" s="94">
        <f t="shared" si="18"/>
        <v>67500</v>
      </c>
      <c r="S25" s="94">
        <f t="shared" si="19"/>
        <v>6753.5952457045205</v>
      </c>
      <c r="T25" s="95">
        <f t="shared" si="20"/>
        <v>0.10005326289932623</v>
      </c>
      <c r="U25" s="94">
        <f t="shared" si="21"/>
        <v>18609.035855296635</v>
      </c>
      <c r="V25" s="95">
        <f t="shared" si="22"/>
        <v>0.27568942007846869</v>
      </c>
      <c r="W25" s="68"/>
    </row>
    <row r="26" spans="1:23" x14ac:dyDescent="0.3">
      <c r="A26" s="114"/>
      <c r="C26" s="96" t="s">
        <v>101</v>
      </c>
      <c r="D26" s="87">
        <f>Stock!K64</f>
        <v>589.20000000000005</v>
      </c>
      <c r="E26" s="88">
        <f t="shared" si="13"/>
        <v>2846.9569999999999</v>
      </c>
      <c r="F26" s="68">
        <f>Stock!L64</f>
        <v>1677427.0644</v>
      </c>
      <c r="G26" s="68">
        <f>Stock!M64</f>
        <v>141561.19200000001</v>
      </c>
      <c r="H26" s="68">
        <f>Stock!N64</f>
        <v>55410.36677274765</v>
      </c>
      <c r="I26" s="68">
        <f>Stock!O64</f>
        <v>149687.00167189603</v>
      </c>
      <c r="J26" s="68">
        <f>Stock!P64</f>
        <v>109025.05785298074</v>
      </c>
      <c r="K26" s="90">
        <v>0</v>
      </c>
      <c r="L26" s="91">
        <v>0</v>
      </c>
      <c r="M26" s="92">
        <f t="shared" si="14"/>
        <v>2024085.6248446438</v>
      </c>
      <c r="N26" s="93">
        <f t="shared" si="15"/>
        <v>3435.3116511280441</v>
      </c>
      <c r="O26" s="93">
        <f t="shared" si="16"/>
        <v>1765373.565319767</v>
      </c>
      <c r="P26" s="93">
        <f t="shared" si="17"/>
        <v>2996.2212581801882</v>
      </c>
      <c r="Q26" s="94">
        <f>Q14</f>
        <v>3600</v>
      </c>
      <c r="R26" s="94">
        <f t="shared" si="18"/>
        <v>2121120</v>
      </c>
      <c r="S26" s="94">
        <f t="shared" si="19"/>
        <v>97034.375155356247</v>
      </c>
      <c r="T26" s="95">
        <f t="shared" si="20"/>
        <v>4.5746763575543227E-2</v>
      </c>
      <c r="U26" s="94">
        <f t="shared" si="21"/>
        <v>355746.43468023301</v>
      </c>
      <c r="V26" s="95">
        <f t="shared" si="22"/>
        <v>0.16771631717216989</v>
      </c>
      <c r="W26" s="68"/>
    </row>
    <row r="27" spans="1:23" x14ac:dyDescent="0.3">
      <c r="A27" s="114"/>
      <c r="C27" s="96" t="s">
        <v>102</v>
      </c>
      <c r="D27" s="87">
        <f>Stock!K65</f>
        <v>53.1</v>
      </c>
      <c r="E27" s="88">
        <f t="shared" si="13"/>
        <v>2781.1293631179788</v>
      </c>
      <c r="F27" s="68">
        <f>Stock!L65</f>
        <v>147677.96918156467</v>
      </c>
      <c r="G27" s="68">
        <f>Stock!M65</f>
        <v>12757.806</v>
      </c>
      <c r="H27" s="68">
        <f>Stock!N65</f>
        <v>4993.7041337965029</v>
      </c>
      <c r="I27" s="68">
        <f>Stock!O65</f>
        <v>13490.121841102644</v>
      </c>
      <c r="J27" s="68">
        <f>Stock!P65</f>
        <v>9825.578024428507</v>
      </c>
      <c r="K27" s="90">
        <v>0</v>
      </c>
      <c r="L27" s="91">
        <v>0</v>
      </c>
      <c r="M27" s="92">
        <f t="shared" si="14"/>
        <v>178919.60115646382</v>
      </c>
      <c r="N27" s="93">
        <f t="shared" si="15"/>
        <v>3369.484014246023</v>
      </c>
      <c r="O27" s="93">
        <f t="shared" si="16"/>
        <v>155603.90129093267</v>
      </c>
      <c r="P27" s="93">
        <f t="shared" si="17"/>
        <v>2930.3936212981671</v>
      </c>
      <c r="Q27" s="94">
        <f>Q15</f>
        <v>3800</v>
      </c>
      <c r="R27" s="97">
        <f t="shared" si="18"/>
        <v>201780</v>
      </c>
      <c r="S27" s="97">
        <f t="shared" si="19"/>
        <v>22860.398843536183</v>
      </c>
      <c r="T27" s="95">
        <f t="shared" si="20"/>
        <v>0.11329368046157291</v>
      </c>
      <c r="U27" s="97">
        <f t="shared" si="21"/>
        <v>46176.09870906733</v>
      </c>
      <c r="V27" s="95">
        <f t="shared" si="22"/>
        <v>0.22884378386890342</v>
      </c>
      <c r="W27" s="68"/>
    </row>
    <row r="28" spans="1:23" ht="15" thickBot="1" x14ac:dyDescent="0.35">
      <c r="A28" s="114"/>
      <c r="C28" s="96" t="s">
        <v>98</v>
      </c>
      <c r="D28" s="87">
        <f>Stock!K66</f>
        <v>0</v>
      </c>
      <c r="E28" s="88">
        <f t="shared" si="13"/>
        <v>0</v>
      </c>
      <c r="F28" s="68">
        <f>Stock!L66</f>
        <v>0</v>
      </c>
      <c r="G28" s="68">
        <f>Stock!M66</f>
        <v>0</v>
      </c>
      <c r="H28" s="68">
        <f>Stock!N66</f>
        <v>0</v>
      </c>
      <c r="I28" s="68">
        <f>Stock!O66</f>
        <v>0</v>
      </c>
      <c r="J28" s="68">
        <f>Stock!P66</f>
        <v>0</v>
      </c>
      <c r="K28" s="90">
        <v>0</v>
      </c>
      <c r="L28" s="91">
        <v>0</v>
      </c>
      <c r="M28" s="92">
        <f t="shared" si="14"/>
        <v>0</v>
      </c>
      <c r="N28" s="93">
        <f t="shared" si="15"/>
        <v>0</v>
      </c>
      <c r="O28" s="93">
        <f t="shared" si="16"/>
        <v>0</v>
      </c>
      <c r="P28" s="93">
        <f t="shared" si="17"/>
        <v>0</v>
      </c>
      <c r="Q28" s="94">
        <f>Q10</f>
        <v>2200</v>
      </c>
      <c r="R28" s="97">
        <f t="shared" si="18"/>
        <v>0</v>
      </c>
      <c r="S28" s="97">
        <f t="shared" si="19"/>
        <v>0</v>
      </c>
      <c r="T28" s="95">
        <f t="shared" si="20"/>
        <v>0</v>
      </c>
      <c r="U28" s="97">
        <f t="shared" si="21"/>
        <v>0</v>
      </c>
      <c r="V28" s="95">
        <f t="shared" si="22"/>
        <v>0</v>
      </c>
      <c r="W28" s="68"/>
    </row>
    <row r="29" spans="1:23" ht="15" thickBot="1" x14ac:dyDescent="0.35">
      <c r="C29" s="115" t="s">
        <v>121</v>
      </c>
      <c r="D29" s="99">
        <f>SUM(D23:D28)</f>
        <v>669.30000000000007</v>
      </c>
      <c r="E29" s="100">
        <f>F29/D29</f>
        <v>2793.91283842134</v>
      </c>
      <c r="F29" s="101">
        <f t="shared" ref="F29:K29" si="23">SUM(F23:F28)</f>
        <v>1869965.8627554029</v>
      </c>
      <c r="G29" s="101">
        <f t="shared" si="23"/>
        <v>160806.01800000001</v>
      </c>
      <c r="H29" s="101">
        <f t="shared" si="23"/>
        <v>62943.242500000008</v>
      </c>
      <c r="I29" s="101">
        <f t="shared" si="23"/>
        <v>170036.50750000001</v>
      </c>
      <c r="J29" s="101">
        <f t="shared" si="23"/>
        <v>123846.69250000002</v>
      </c>
      <c r="K29" s="101">
        <f t="shared" si="23"/>
        <v>0</v>
      </c>
      <c r="L29" s="102">
        <v>0</v>
      </c>
      <c r="M29" s="103">
        <f>SUM(M23:M28)</f>
        <v>2263751.6307554031</v>
      </c>
      <c r="N29" s="103">
        <f>IFERROR(M29/D29,0)</f>
        <v>3382.2674895493842</v>
      </c>
      <c r="O29" s="103">
        <f>SUM(O23:O28)</f>
        <v>1969868.4307554031</v>
      </c>
      <c r="P29" s="103">
        <f>IFERROR(O29/D29,0)</f>
        <v>2943.1770966015283</v>
      </c>
      <c r="Q29" s="104">
        <f>R29/D29</f>
        <v>3571.492604213357</v>
      </c>
      <c r="R29" s="105">
        <f>SUM(R23:R28)</f>
        <v>2390400</v>
      </c>
      <c r="S29" s="105">
        <f>SUM(S23:S28)</f>
        <v>126648.36924459695</v>
      </c>
      <c r="T29" s="106">
        <f>S29/R29</f>
        <v>5.2982082180637949E-2</v>
      </c>
      <c r="U29" s="105">
        <f>SUM(U23:U28)</f>
        <v>420531.56924459699</v>
      </c>
      <c r="V29" s="106">
        <f>IFERROR(U29/R29,0)</f>
        <v>0.17592518793699674</v>
      </c>
      <c r="W29" s="68"/>
    </row>
    <row r="30" spans="1:23" ht="15" thickBot="1" x14ac:dyDescent="0.35">
      <c r="G30" s="68"/>
      <c r="J30" s="70"/>
      <c r="L30" s="107"/>
      <c r="N30" s="108"/>
      <c r="O30" s="108"/>
      <c r="P30" s="108"/>
      <c r="Q30" s="108"/>
      <c r="R30" s="108"/>
      <c r="S30" s="108"/>
      <c r="T30" s="108"/>
      <c r="U30" s="108"/>
      <c r="V30" s="108"/>
      <c r="W30" s="68"/>
    </row>
    <row r="31" spans="1:23" ht="15" thickBot="1" x14ac:dyDescent="0.35">
      <c r="C31" s="115" t="s">
        <v>121</v>
      </c>
      <c r="D31" s="99">
        <f>D19+D29</f>
        <v>2713.2240000000002</v>
      </c>
      <c r="E31" s="100">
        <f>F31/D31</f>
        <v>2102.9821541223405</v>
      </c>
      <c r="F31" s="101">
        <f>F19+F29</f>
        <v>5705861.6521364339</v>
      </c>
      <c r="G31" s="101">
        <f t="shared" ref="G31:K31" si="24">G19+G29</f>
        <v>651879.19824000006</v>
      </c>
      <c r="H31" s="101">
        <f t="shared" si="24"/>
        <v>125886.485</v>
      </c>
      <c r="I31" s="101">
        <f t="shared" si="24"/>
        <v>340073.01499999996</v>
      </c>
      <c r="J31" s="101">
        <f t="shared" si="24"/>
        <v>247693.38500000001</v>
      </c>
      <c r="K31" s="101">
        <f t="shared" si="24"/>
        <v>0</v>
      </c>
      <c r="L31" s="102">
        <v>0</v>
      </c>
      <c r="M31" s="103">
        <f>M19+M29</f>
        <v>6823700.3503764346</v>
      </c>
      <c r="N31" s="103">
        <f>IFERROR(M31/D31,0)</f>
        <v>2514.9786196703385</v>
      </c>
      <c r="O31" s="103">
        <f>O19+O29</f>
        <v>6235933.9503764343</v>
      </c>
      <c r="P31" s="103">
        <f>IFERROR(O31/D31,0)</f>
        <v>2298.3483672473903</v>
      </c>
      <c r="Q31" s="104">
        <f>R31/D31</f>
        <v>2646.7125456652307</v>
      </c>
      <c r="R31" s="105">
        <f>R19+R29</f>
        <v>7181124</v>
      </c>
      <c r="S31" s="105">
        <f>S19+S29</f>
        <v>357423.64962356538</v>
      </c>
      <c r="T31" s="106">
        <f>S31/R31</f>
        <v>4.977266088478146E-2</v>
      </c>
      <c r="U31" s="105">
        <f>U19+U29</f>
        <v>945190.04962356552</v>
      </c>
      <c r="V31" s="106">
        <f>IFERROR(U31/R31,0)</f>
        <v>0.13162146338422306</v>
      </c>
    </row>
    <row r="32" spans="1:23" x14ac:dyDescent="0.3">
      <c r="L32" s="107"/>
      <c r="N32" s="68"/>
      <c r="O32" s="108"/>
      <c r="P32" s="108"/>
      <c r="Q32" s="108"/>
      <c r="R32" s="108"/>
      <c r="S32" s="108"/>
      <c r="T32" s="108"/>
      <c r="U32" s="108"/>
      <c r="V32" s="108"/>
      <c r="W32" s="68"/>
    </row>
    <row r="33" spans="4:23" x14ac:dyDescent="0.3">
      <c r="L33" s="107"/>
      <c r="N33" s="68"/>
      <c r="O33" s="108"/>
      <c r="P33" s="108"/>
      <c r="Q33" s="116"/>
      <c r="R33" s="108"/>
      <c r="S33" s="108"/>
      <c r="T33" s="108"/>
      <c r="U33" s="108"/>
      <c r="V33" s="108"/>
      <c r="W33" s="68"/>
    </row>
    <row r="34" spans="4:23" x14ac:dyDescent="0.3">
      <c r="M34" s="68"/>
      <c r="R34" s="68"/>
      <c r="S34" s="68">
        <f>F31*7%/12</f>
        <v>33284.19297079587</v>
      </c>
      <c r="T34" s="65" t="s">
        <v>123</v>
      </c>
      <c r="U34" s="117"/>
    </row>
    <row r="35" spans="4:23" x14ac:dyDescent="0.3">
      <c r="D35" s="117"/>
      <c r="M35" s="70"/>
      <c r="S35" s="70">
        <f>S34/D31</f>
        <v>12.267395899046988</v>
      </c>
      <c r="T35" s="65" t="s">
        <v>124</v>
      </c>
    </row>
    <row r="36" spans="4:23" x14ac:dyDescent="0.3">
      <c r="S36" s="65">
        <f>42/6*D29</f>
        <v>4685.1000000000004</v>
      </c>
      <c r="T36" s="65" t="s">
        <v>125</v>
      </c>
    </row>
    <row r="37" spans="4:23" x14ac:dyDescent="0.3">
      <c r="S37" s="70"/>
    </row>
    <row r="38" spans="4:23" x14ac:dyDescent="0.3">
      <c r="S38" s="70"/>
    </row>
  </sheetData>
  <mergeCells count="1">
    <mergeCell ref="F5:V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B75D-7096-4A90-AA37-2725EDC3FC24}">
  <dimension ref="A2:AI29"/>
  <sheetViews>
    <sheetView showGridLines="0" zoomScale="80" zoomScaleNormal="80" workbookViewId="0">
      <selection activeCell="W13" sqref="W13"/>
    </sheetView>
  </sheetViews>
  <sheetFormatPr baseColWidth="10" defaultRowHeight="14.4" outlineLevelCol="1" x14ac:dyDescent="0.3"/>
  <cols>
    <col min="1" max="1" width="11.5546875" style="120"/>
    <col min="2" max="2" width="10.5546875" style="120" customWidth="1"/>
    <col min="3" max="4" width="11.5546875" style="120"/>
    <col min="5" max="5" width="28.21875" style="120" bestFit="1" customWidth="1"/>
    <col min="6" max="6" width="16.6640625" style="120" bestFit="1" customWidth="1"/>
    <col min="7" max="10" width="11.5546875" style="120" hidden="1" customWidth="1" outlineLevel="1"/>
    <col min="11" max="11" width="24.109375" style="120" hidden="1" customWidth="1" outlineLevel="1"/>
    <col min="12" max="12" width="11.5546875" style="120" hidden="1" customWidth="1" outlineLevel="1"/>
    <col min="13" max="13" width="10.88671875" style="120" customWidth="1" collapsed="1"/>
    <col min="14" max="14" width="11.5546875" style="120"/>
    <col min="15" max="15" width="12.77734375" style="120" bestFit="1" customWidth="1"/>
    <col min="16" max="16" width="12.21875" style="120" hidden="1" customWidth="1" outlineLevel="1"/>
    <col min="17" max="17" width="9.33203125" style="120" hidden="1" customWidth="1" outlineLevel="1"/>
    <col min="18" max="18" width="12.77734375" style="120" hidden="1" customWidth="1" outlineLevel="1"/>
    <col min="19" max="19" width="12.77734375" style="120" bestFit="1" customWidth="1" collapsed="1"/>
    <col min="20" max="22" width="11.5546875" style="120" hidden="1" customWidth="1" outlineLevel="1"/>
    <col min="23" max="23" width="11.5546875" style="120" collapsed="1"/>
    <col min="24" max="24" width="11.5546875" style="120" hidden="1" customWidth="1" outlineLevel="1"/>
    <col min="25" max="25" width="11.5546875" style="120" collapsed="1"/>
    <col min="26" max="26" width="12.44140625" style="120" hidden="1" customWidth="1" outlineLevel="1"/>
    <col min="27" max="27" width="11.5546875" style="120" collapsed="1"/>
    <col min="28" max="28" width="7" style="120" customWidth="1"/>
    <col min="29" max="16384" width="11.5546875" style="120"/>
  </cols>
  <sheetData>
    <row r="2" spans="1:32" x14ac:dyDescent="0.3">
      <c r="A2" s="119" t="s">
        <v>224</v>
      </c>
    </row>
    <row r="4" spans="1:32" ht="28.8" x14ac:dyDescent="0.3">
      <c r="A4" s="121" t="s">
        <v>130</v>
      </c>
      <c r="B4" s="121" t="s">
        <v>131</v>
      </c>
      <c r="C4" s="122" t="s">
        <v>132</v>
      </c>
      <c r="D4" s="123" t="s">
        <v>133</v>
      </c>
      <c r="E4" s="122" t="s">
        <v>108</v>
      </c>
      <c r="F4" s="124" t="s">
        <v>134</v>
      </c>
      <c r="G4" s="122" t="s">
        <v>135</v>
      </c>
      <c r="H4" s="122" t="s">
        <v>136</v>
      </c>
      <c r="I4" s="121" t="s">
        <v>137</v>
      </c>
      <c r="J4" s="121" t="s">
        <v>138</v>
      </c>
      <c r="K4" s="121" t="s">
        <v>139</v>
      </c>
      <c r="L4" s="121" t="s">
        <v>140</v>
      </c>
      <c r="M4" s="121" t="s">
        <v>141</v>
      </c>
      <c r="N4" s="124" t="s">
        <v>142</v>
      </c>
      <c r="O4" s="125" t="s">
        <v>143</v>
      </c>
      <c r="P4" s="125" t="s">
        <v>144</v>
      </c>
      <c r="Q4" s="121" t="s">
        <v>110</v>
      </c>
      <c r="R4" s="122" t="s">
        <v>145</v>
      </c>
      <c r="S4" s="122" t="s">
        <v>146</v>
      </c>
      <c r="T4" s="122" t="s">
        <v>147</v>
      </c>
      <c r="U4" s="122" t="s">
        <v>148</v>
      </c>
      <c r="V4" s="122" t="s">
        <v>149</v>
      </c>
      <c r="W4" s="122" t="s">
        <v>150</v>
      </c>
      <c r="X4" s="122" t="s">
        <v>151</v>
      </c>
      <c r="Y4" s="122" t="s">
        <v>152</v>
      </c>
      <c r="Z4" s="122" t="s">
        <v>63</v>
      </c>
      <c r="AA4" s="122" t="s">
        <v>119</v>
      </c>
      <c r="AC4" s="122" t="s">
        <v>153</v>
      </c>
      <c r="AD4" s="122" t="s">
        <v>154</v>
      </c>
      <c r="AE4" s="122" t="s">
        <v>155</v>
      </c>
      <c r="AF4" s="122" t="s">
        <v>156</v>
      </c>
    </row>
    <row r="5" spans="1:32" x14ac:dyDescent="0.3">
      <c r="A5" s="126" t="s">
        <v>178</v>
      </c>
      <c r="B5" s="127" t="s">
        <v>179</v>
      </c>
      <c r="C5" s="128">
        <v>46269</v>
      </c>
      <c r="D5" s="128">
        <v>46312</v>
      </c>
      <c r="E5" s="130" t="s">
        <v>9</v>
      </c>
      <c r="F5" s="129">
        <v>21.6</v>
      </c>
      <c r="G5" s="131" t="s">
        <v>170</v>
      </c>
      <c r="H5" s="131"/>
      <c r="I5" s="131" t="s">
        <v>166</v>
      </c>
      <c r="J5" s="131" t="s">
        <v>167</v>
      </c>
      <c r="K5" s="132" t="s">
        <v>168</v>
      </c>
      <c r="L5" s="131" t="s">
        <v>169</v>
      </c>
      <c r="M5" s="133" t="s">
        <v>163</v>
      </c>
      <c r="N5" s="133">
        <v>1750</v>
      </c>
      <c r="O5" s="158">
        <v>37800</v>
      </c>
      <c r="P5" s="134">
        <v>2900</v>
      </c>
      <c r="Q5" s="135">
        <f>Stock!H11</f>
        <v>1016.9571119402985</v>
      </c>
      <c r="R5" s="135">
        <f t="shared" ref="R5:R21" si="0">Q5*F5</f>
        <v>21966.27361791045</v>
      </c>
      <c r="S5" s="136">
        <f t="shared" ref="S5:S21" si="1">O5-R5</f>
        <v>15833.72638208955</v>
      </c>
      <c r="T5" s="137">
        <f t="shared" ref="T5:T21" si="2">F5*240.26</f>
        <v>5189.616</v>
      </c>
      <c r="U5" s="135">
        <f>U$23/$F$23*$F5</f>
        <v>1746.9518833801262</v>
      </c>
      <c r="V5" s="135">
        <f t="shared" ref="V5:V21" si="3">(O5-P5)*0.03</f>
        <v>1047</v>
      </c>
      <c r="W5" s="136">
        <f t="shared" ref="W5:W21" si="4">S5-T5-U5+V5</f>
        <v>9944.1584987094229</v>
      </c>
      <c r="X5" s="135">
        <f>X$23/$F$23*$F5</f>
        <v>4719.2611187849743</v>
      </c>
      <c r="Y5" s="136">
        <f t="shared" ref="Y5:Y21" si="5">W5-X5</f>
        <v>5224.8973799244486</v>
      </c>
      <c r="Z5" s="135">
        <f>Z$23/$F$23*$F5</f>
        <v>3437.2905512974544</v>
      </c>
      <c r="AA5" s="136">
        <f t="shared" ref="AA5:AA21" si="6">W5+Z5</f>
        <v>13381.449050006877</v>
      </c>
      <c r="AC5" s="138">
        <f t="shared" ref="AC5:AC21" si="7">S5/O5</f>
        <v>0.41888165031982938</v>
      </c>
      <c r="AD5" s="138">
        <f t="shared" ref="AD5:AD21" si="8">W5/O5</f>
        <v>0.26307297615633396</v>
      </c>
      <c r="AE5" s="138">
        <f t="shared" ref="AE5:AE21" si="9">Y5/O5</f>
        <v>0.13822479841069971</v>
      </c>
      <c r="AF5" s="138">
        <f t="shared" ref="AF5:AF21" si="10">AA5/O5</f>
        <v>0.35400658862452056</v>
      </c>
    </row>
    <row r="6" spans="1:32" x14ac:dyDescent="0.3">
      <c r="A6" s="126" t="s">
        <v>178</v>
      </c>
      <c r="B6" s="131" t="s">
        <v>180</v>
      </c>
      <c r="C6" s="128">
        <v>253</v>
      </c>
      <c r="D6" s="128">
        <v>46302</v>
      </c>
      <c r="E6" s="130" t="s">
        <v>97</v>
      </c>
      <c r="F6" s="129">
        <v>48</v>
      </c>
      <c r="G6" s="131" t="s">
        <v>82</v>
      </c>
      <c r="H6" s="139" t="s">
        <v>181</v>
      </c>
      <c r="I6" s="131" t="s">
        <v>182</v>
      </c>
      <c r="J6" s="131" t="s">
        <v>183</v>
      </c>
      <c r="K6" s="132" t="s">
        <v>168</v>
      </c>
      <c r="L6" s="131" t="s">
        <v>169</v>
      </c>
      <c r="M6" s="133" t="s">
        <v>163</v>
      </c>
      <c r="N6" s="133">
        <v>1700</v>
      </c>
      <c r="O6" s="158">
        <v>81600</v>
      </c>
      <c r="P6" s="134">
        <v>7072</v>
      </c>
      <c r="Q6" s="135">
        <f>Stock!H5</f>
        <v>1492.4270646465257</v>
      </c>
      <c r="R6" s="135">
        <f t="shared" si="0"/>
        <v>71636.499103033231</v>
      </c>
      <c r="S6" s="136">
        <f t="shared" si="1"/>
        <v>9963.5008969667688</v>
      </c>
      <c r="T6" s="135">
        <f t="shared" si="2"/>
        <v>11532.48</v>
      </c>
      <c r="U6" s="135">
        <f>U$23/$F$23*$F6</f>
        <v>3882.1152964002804</v>
      </c>
      <c r="V6" s="135">
        <f t="shared" si="3"/>
        <v>2235.8399999999997</v>
      </c>
      <c r="W6" s="136">
        <f t="shared" si="4"/>
        <v>-3215.2543994335115</v>
      </c>
      <c r="X6" s="135">
        <f>X$23/$F$23*$F6</f>
        <v>10487.246930633275</v>
      </c>
      <c r="Y6" s="136">
        <f t="shared" si="5"/>
        <v>-13702.501330066787</v>
      </c>
      <c r="Z6" s="135">
        <f>Z$23/$F$23*$F6</f>
        <v>7638.4234473276756</v>
      </c>
      <c r="AA6" s="136">
        <f t="shared" si="6"/>
        <v>4423.1690478941637</v>
      </c>
      <c r="AC6" s="138">
        <f t="shared" si="7"/>
        <v>0.12210172667851432</v>
      </c>
      <c r="AD6" s="138">
        <f t="shared" si="8"/>
        <v>-3.9402627444038128E-2</v>
      </c>
      <c r="AE6" s="138">
        <f t="shared" si="9"/>
        <v>-0.16792281041748514</v>
      </c>
      <c r="AF6" s="138">
        <f t="shared" si="10"/>
        <v>5.420550303791867E-2</v>
      </c>
    </row>
    <row r="7" spans="1:32" x14ac:dyDescent="0.3">
      <c r="A7" s="126" t="s">
        <v>178</v>
      </c>
      <c r="B7" s="131" t="s">
        <v>184</v>
      </c>
      <c r="C7" s="128">
        <v>254</v>
      </c>
      <c r="D7" s="128">
        <v>46304</v>
      </c>
      <c r="E7" s="130" t="s">
        <v>100</v>
      </c>
      <c r="F7" s="129">
        <v>26.5</v>
      </c>
      <c r="G7" s="131" t="s">
        <v>157</v>
      </c>
      <c r="H7" s="139" t="s">
        <v>158</v>
      </c>
      <c r="I7" s="131" t="s">
        <v>159</v>
      </c>
      <c r="J7" s="131" t="s">
        <v>160</v>
      </c>
      <c r="K7" s="132" t="s">
        <v>161</v>
      </c>
      <c r="L7" s="131" t="s">
        <v>162</v>
      </c>
      <c r="M7" s="133" t="s">
        <v>163</v>
      </c>
      <c r="N7" s="133">
        <v>2520</v>
      </c>
      <c r="O7" s="158">
        <v>66780</v>
      </c>
      <c r="P7" s="134">
        <v>2487</v>
      </c>
      <c r="Q7" s="135">
        <f>Stock!H31</f>
        <v>1601.7008450766489</v>
      </c>
      <c r="R7" s="135">
        <f t="shared" si="0"/>
        <v>42445.072394531198</v>
      </c>
      <c r="S7" s="136">
        <f t="shared" si="1"/>
        <v>24334.927605468802</v>
      </c>
      <c r="T7" s="135">
        <f t="shared" si="2"/>
        <v>6366.8899999999994</v>
      </c>
      <c r="U7" s="135">
        <f>U$23/$F$23*$F7</f>
        <v>2143.2511532209883</v>
      </c>
      <c r="V7" s="135">
        <f>(O7-P7)*0.03</f>
        <v>1928.79</v>
      </c>
      <c r="W7" s="136">
        <f>S7-T7-U7+V7</f>
        <v>17753.576452247813</v>
      </c>
      <c r="X7" s="135">
        <f>X$23/$F$23*$F7</f>
        <v>5789.8342429537879</v>
      </c>
      <c r="Y7" s="136">
        <f t="shared" si="5"/>
        <v>11963.742209294025</v>
      </c>
      <c r="Z7" s="135">
        <f>Z$23/$F$23*$F7</f>
        <v>4217.0462782121549</v>
      </c>
      <c r="AA7" s="136">
        <f t="shared" si="6"/>
        <v>21970.622730459967</v>
      </c>
      <c r="AC7" s="138">
        <f t="shared" si="7"/>
        <v>0.36440442655688532</v>
      </c>
      <c r="AD7" s="138">
        <f t="shared" si="8"/>
        <v>0.26585169889559468</v>
      </c>
      <c r="AE7" s="138">
        <f t="shared" si="9"/>
        <v>0.17915157546112645</v>
      </c>
      <c r="AF7" s="138">
        <f t="shared" si="10"/>
        <v>0.32900004088739093</v>
      </c>
    </row>
    <row r="8" spans="1:32" x14ac:dyDescent="0.3">
      <c r="A8" s="126" t="s">
        <v>178</v>
      </c>
      <c r="B8" s="127" t="s">
        <v>185</v>
      </c>
      <c r="C8" s="128">
        <v>46282</v>
      </c>
      <c r="D8" s="128">
        <v>46309</v>
      </c>
      <c r="E8" s="130" t="s">
        <v>97</v>
      </c>
      <c r="F8" s="129">
        <v>27</v>
      </c>
      <c r="G8" s="131" t="s">
        <v>82</v>
      </c>
      <c r="H8" s="131" t="s">
        <v>186</v>
      </c>
      <c r="I8" s="131" t="s">
        <v>171</v>
      </c>
      <c r="J8" s="131" t="s">
        <v>187</v>
      </c>
      <c r="K8" s="132" t="s">
        <v>173</v>
      </c>
      <c r="L8" s="131" t="s">
        <v>188</v>
      </c>
      <c r="M8" s="133" t="s">
        <v>163</v>
      </c>
      <c r="N8" s="133">
        <v>1700</v>
      </c>
      <c r="O8" s="158">
        <v>45900</v>
      </c>
      <c r="P8" s="134">
        <v>2569</v>
      </c>
      <c r="Q8" s="135">
        <f>Q6</f>
        <v>1492.4270646465257</v>
      </c>
      <c r="R8" s="135">
        <f t="shared" si="0"/>
        <v>40295.530745456192</v>
      </c>
      <c r="S8" s="136">
        <f t="shared" si="1"/>
        <v>5604.4692545438083</v>
      </c>
      <c r="T8" s="135">
        <f t="shared" si="2"/>
        <v>6487.0199999999995</v>
      </c>
      <c r="U8" s="135">
        <f>U$23/$F$23*$F8</f>
        <v>2183.6898542251579</v>
      </c>
      <c r="V8" s="135">
        <f t="shared" si="3"/>
        <v>1299.93</v>
      </c>
      <c r="W8" s="136">
        <f t="shared" si="4"/>
        <v>-1766.310599681349</v>
      </c>
      <c r="X8" s="135">
        <f>X$23/$F$23*$F8</f>
        <v>5899.0763984812174</v>
      </c>
      <c r="Y8" s="136">
        <f t="shared" si="5"/>
        <v>-7665.3869981625667</v>
      </c>
      <c r="Z8" s="135">
        <f>Z$23/$F$23*$F8</f>
        <v>4296.6131891218174</v>
      </c>
      <c r="AA8" s="136">
        <f t="shared" si="6"/>
        <v>2530.3025894404682</v>
      </c>
      <c r="AC8" s="138">
        <f t="shared" si="7"/>
        <v>0.12210172667851435</v>
      </c>
      <c r="AD8" s="138">
        <f t="shared" si="8"/>
        <v>-3.8481712411358365E-2</v>
      </c>
      <c r="AE8" s="138">
        <f t="shared" si="9"/>
        <v>-0.16700189538480537</v>
      </c>
      <c r="AF8" s="138">
        <f t="shared" si="10"/>
        <v>5.5126418070598433E-2</v>
      </c>
    </row>
    <row r="9" spans="1:32" x14ac:dyDescent="0.3">
      <c r="A9" s="126" t="s">
        <v>178</v>
      </c>
      <c r="B9" s="127" t="s">
        <v>189</v>
      </c>
      <c r="C9" s="128">
        <v>46282</v>
      </c>
      <c r="D9" s="128">
        <v>46309</v>
      </c>
      <c r="E9" s="130" t="s">
        <v>97</v>
      </c>
      <c r="F9" s="129">
        <v>27</v>
      </c>
      <c r="G9" s="131" t="s">
        <v>82</v>
      </c>
      <c r="H9" s="131" t="s">
        <v>186</v>
      </c>
      <c r="I9" s="131" t="s">
        <v>171</v>
      </c>
      <c r="J9" s="131" t="s">
        <v>187</v>
      </c>
      <c r="K9" s="132" t="s">
        <v>190</v>
      </c>
      <c r="L9" s="131" t="s">
        <v>188</v>
      </c>
      <c r="M9" s="133" t="s">
        <v>163</v>
      </c>
      <c r="N9" s="133">
        <v>1700</v>
      </c>
      <c r="O9" s="158">
        <v>45900</v>
      </c>
      <c r="P9" s="134">
        <v>2569</v>
      </c>
      <c r="Q9" s="135">
        <f t="shared" ref="Q9:Q11" si="11">Q8</f>
        <v>1492.4270646465257</v>
      </c>
      <c r="R9" s="135">
        <f t="shared" si="0"/>
        <v>40295.530745456192</v>
      </c>
      <c r="S9" s="136">
        <f t="shared" si="1"/>
        <v>5604.4692545438083</v>
      </c>
      <c r="T9" s="135">
        <f t="shared" si="2"/>
        <v>6487.0199999999995</v>
      </c>
      <c r="U9" s="135">
        <f>U$23/$F$23*$F9</f>
        <v>2183.6898542251579</v>
      </c>
      <c r="V9" s="135">
        <f t="shared" si="3"/>
        <v>1299.93</v>
      </c>
      <c r="W9" s="136">
        <f t="shared" si="4"/>
        <v>-1766.310599681349</v>
      </c>
      <c r="X9" s="135">
        <f>X$23/$F$23*$F9</f>
        <v>5899.0763984812174</v>
      </c>
      <c r="Y9" s="136">
        <f t="shared" si="5"/>
        <v>-7665.3869981625667</v>
      </c>
      <c r="Z9" s="135">
        <f>Z$23/$F$23*$F9</f>
        <v>4296.6131891218174</v>
      </c>
      <c r="AA9" s="136">
        <f t="shared" si="6"/>
        <v>2530.3025894404682</v>
      </c>
      <c r="AC9" s="138">
        <f t="shared" si="7"/>
        <v>0.12210172667851435</v>
      </c>
      <c r="AD9" s="138">
        <f t="shared" si="8"/>
        <v>-3.8481712411358365E-2</v>
      </c>
      <c r="AE9" s="138">
        <f t="shared" si="9"/>
        <v>-0.16700189538480537</v>
      </c>
      <c r="AF9" s="138">
        <f t="shared" si="10"/>
        <v>5.5126418070598433E-2</v>
      </c>
    </row>
    <row r="10" spans="1:32" x14ac:dyDescent="0.3">
      <c r="A10" s="126" t="s">
        <v>178</v>
      </c>
      <c r="B10" s="131" t="s">
        <v>191</v>
      </c>
      <c r="C10" s="128">
        <v>261</v>
      </c>
      <c r="D10" s="128">
        <v>46299</v>
      </c>
      <c r="E10" s="130" t="s">
        <v>97</v>
      </c>
      <c r="F10" s="129">
        <v>81</v>
      </c>
      <c r="G10" s="131" t="s">
        <v>82</v>
      </c>
      <c r="H10" s="139" t="s">
        <v>192</v>
      </c>
      <c r="I10" s="131" t="s">
        <v>171</v>
      </c>
      <c r="J10" s="131" t="s">
        <v>187</v>
      </c>
      <c r="K10" s="132" t="s">
        <v>168</v>
      </c>
      <c r="L10" s="131" t="s">
        <v>169</v>
      </c>
      <c r="M10" s="133" t="s">
        <v>163</v>
      </c>
      <c r="N10" s="133">
        <v>1650</v>
      </c>
      <c r="O10" s="158">
        <v>133650</v>
      </c>
      <c r="P10" s="134">
        <v>10608</v>
      </c>
      <c r="Q10" s="135">
        <f t="shared" si="11"/>
        <v>1492.4270646465257</v>
      </c>
      <c r="R10" s="135">
        <f t="shared" si="0"/>
        <v>120886.59223636858</v>
      </c>
      <c r="S10" s="136">
        <f t="shared" si="1"/>
        <v>12763.407763631418</v>
      </c>
      <c r="T10" s="135">
        <f t="shared" si="2"/>
        <v>19461.059999999998</v>
      </c>
      <c r="U10" s="135">
        <f>U$23/$F$23*$F10</f>
        <v>6551.0695626754732</v>
      </c>
      <c r="V10" s="135">
        <f t="shared" si="3"/>
        <v>3691.2599999999998</v>
      </c>
      <c r="W10" s="136">
        <f t="shared" si="4"/>
        <v>-9557.4617990440529</v>
      </c>
      <c r="X10" s="135">
        <f>X$23/$F$23*$F10</f>
        <v>17697.229195443651</v>
      </c>
      <c r="Y10" s="136">
        <f t="shared" si="5"/>
        <v>-27254.690994487704</v>
      </c>
      <c r="Z10" s="135">
        <f>Z$23/$F$23*$F10</f>
        <v>12889.839567365454</v>
      </c>
      <c r="AA10" s="136">
        <f t="shared" si="6"/>
        <v>3332.3777683214012</v>
      </c>
      <c r="AC10" s="138">
        <f t="shared" si="7"/>
        <v>9.5498748699075334E-2</v>
      </c>
      <c r="AD10" s="138">
        <f t="shared" si="8"/>
        <v>-7.1511124571971965E-2</v>
      </c>
      <c r="AE10" s="138">
        <f t="shared" si="9"/>
        <v>-0.20392585854461431</v>
      </c>
      <c r="AF10" s="138">
        <f t="shared" si="10"/>
        <v>2.4933615924589609E-2</v>
      </c>
    </row>
    <row r="11" spans="1:32" x14ac:dyDescent="0.3">
      <c r="A11" s="126" t="s">
        <v>178</v>
      </c>
      <c r="B11" s="131" t="s">
        <v>193</v>
      </c>
      <c r="C11" s="128">
        <v>261</v>
      </c>
      <c r="D11" s="128">
        <v>46299</v>
      </c>
      <c r="E11" s="130" t="s">
        <v>97</v>
      </c>
      <c r="F11" s="129">
        <v>54</v>
      </c>
      <c r="G11" s="131" t="s">
        <v>82</v>
      </c>
      <c r="H11" s="139" t="s">
        <v>192</v>
      </c>
      <c r="I11" s="131" t="s">
        <v>171</v>
      </c>
      <c r="J11" s="131" t="s">
        <v>187</v>
      </c>
      <c r="K11" s="132" t="s">
        <v>168</v>
      </c>
      <c r="L11" s="131" t="s">
        <v>169</v>
      </c>
      <c r="M11" s="133" t="s">
        <v>163</v>
      </c>
      <c r="N11" s="133">
        <v>1650</v>
      </c>
      <c r="O11" s="158">
        <v>89100</v>
      </c>
      <c r="P11" s="134">
        <v>7072</v>
      </c>
      <c r="Q11" s="135">
        <f t="shared" si="11"/>
        <v>1492.4270646465257</v>
      </c>
      <c r="R11" s="135">
        <f t="shared" si="0"/>
        <v>80591.061490912383</v>
      </c>
      <c r="S11" s="136">
        <f t="shared" si="1"/>
        <v>8508.9385090876167</v>
      </c>
      <c r="T11" s="135">
        <f t="shared" si="2"/>
        <v>12974.039999999999</v>
      </c>
      <c r="U11" s="135">
        <f>U$23/$F$23*$F11</f>
        <v>4367.3797084503158</v>
      </c>
      <c r="V11" s="135">
        <f t="shared" si="3"/>
        <v>2460.8399999999997</v>
      </c>
      <c r="W11" s="136">
        <f t="shared" si="4"/>
        <v>-6371.6411993626971</v>
      </c>
      <c r="X11" s="135">
        <f>X$23/$F$23*$F11</f>
        <v>11798.152796962435</v>
      </c>
      <c r="Y11" s="136">
        <f t="shared" si="5"/>
        <v>-18169.793996325134</v>
      </c>
      <c r="Z11" s="135">
        <f>Z$23/$F$23*$F11</f>
        <v>8593.2263782436348</v>
      </c>
      <c r="AA11" s="136">
        <f t="shared" si="6"/>
        <v>2221.5851788809377</v>
      </c>
      <c r="AC11" s="138">
        <f t="shared" si="7"/>
        <v>9.5498748699075389E-2</v>
      </c>
      <c r="AD11" s="138">
        <f t="shared" si="8"/>
        <v>-7.151112457197191E-2</v>
      </c>
      <c r="AE11" s="138">
        <f t="shared" si="9"/>
        <v>-0.20392585854461429</v>
      </c>
      <c r="AF11" s="138">
        <f t="shared" si="10"/>
        <v>2.4933615924589651E-2</v>
      </c>
    </row>
    <row r="12" spans="1:32" x14ac:dyDescent="0.3">
      <c r="A12" s="126" t="s">
        <v>178</v>
      </c>
      <c r="B12" s="127" t="s">
        <v>194</v>
      </c>
      <c r="C12" s="128">
        <v>46288</v>
      </c>
      <c r="D12" s="128">
        <v>46312</v>
      </c>
      <c r="E12" s="130" t="s">
        <v>195</v>
      </c>
      <c r="F12" s="129">
        <v>23.8</v>
      </c>
      <c r="G12" s="131" t="s">
        <v>196</v>
      </c>
      <c r="H12" s="131"/>
      <c r="I12" s="131" t="s">
        <v>171</v>
      </c>
      <c r="J12" s="131" t="s">
        <v>187</v>
      </c>
      <c r="K12" s="132" t="s">
        <v>197</v>
      </c>
      <c r="L12" s="131" t="s">
        <v>198</v>
      </c>
      <c r="M12" s="133" t="s">
        <v>163</v>
      </c>
      <c r="N12" s="133">
        <v>1400</v>
      </c>
      <c r="O12" s="158">
        <v>33320</v>
      </c>
      <c r="P12" s="134">
        <v>2700</v>
      </c>
      <c r="Q12" s="135">
        <f>Stock!H10</f>
        <v>1322.361590996979</v>
      </c>
      <c r="R12" s="135">
        <f t="shared" si="0"/>
        <v>31472.205865728101</v>
      </c>
      <c r="S12" s="136">
        <f t="shared" si="1"/>
        <v>1847.7941342718987</v>
      </c>
      <c r="T12" s="135">
        <f t="shared" si="2"/>
        <v>5718.1880000000001</v>
      </c>
      <c r="U12" s="135">
        <f>U$23/$F$23*$F12</f>
        <v>1924.8821677984724</v>
      </c>
      <c r="V12" s="135">
        <f t="shared" si="3"/>
        <v>918.6</v>
      </c>
      <c r="W12" s="136">
        <f t="shared" si="4"/>
        <v>-4876.6760335265735</v>
      </c>
      <c r="X12" s="135">
        <f>X$23/$F$23*$F12</f>
        <v>5199.9266031056659</v>
      </c>
      <c r="Y12" s="136">
        <f t="shared" si="5"/>
        <v>-10076.60263663224</v>
      </c>
      <c r="Z12" s="135">
        <f>Z$23/$F$23*$F12</f>
        <v>3787.3849592999727</v>
      </c>
      <c r="AA12" s="136">
        <f>W12+Z12</f>
        <v>-1089.2910742266008</v>
      </c>
      <c r="AC12" s="138">
        <f t="shared" ref="AC12:AC21" si="12">S12/O12</f>
        <v>5.5456006430729253E-2</v>
      </c>
      <c r="AD12" s="138">
        <f t="shared" ref="AD12:AD21" si="13">W12/O12</f>
        <v>-0.14635882453561144</v>
      </c>
      <c r="AE12" s="138">
        <f t="shared" ref="AE12:AE21" si="14">Y12/O12</f>
        <v>-0.30241904671765429</v>
      </c>
      <c r="AF12" s="138">
        <f t="shared" ref="AF12:AF21" si="15">AA12/O12</f>
        <v>-3.2691808950378175E-2</v>
      </c>
    </row>
    <row r="13" spans="1:32" x14ac:dyDescent="0.3">
      <c r="A13" s="126" t="s">
        <v>178</v>
      </c>
      <c r="B13" s="127" t="s">
        <v>199</v>
      </c>
      <c r="C13" s="128">
        <v>272</v>
      </c>
      <c r="D13" s="128">
        <v>46312</v>
      </c>
      <c r="E13" s="130" t="s">
        <v>101</v>
      </c>
      <c r="F13" s="129">
        <v>22.6</v>
      </c>
      <c r="G13" s="131" t="s">
        <v>84</v>
      </c>
      <c r="H13" s="131"/>
      <c r="I13" s="131" t="s">
        <v>182</v>
      </c>
      <c r="J13" s="131" t="s">
        <v>183</v>
      </c>
      <c r="K13" s="132" t="s">
        <v>168</v>
      </c>
      <c r="L13" s="131" t="s">
        <v>169</v>
      </c>
      <c r="M13" s="133" t="s">
        <v>163</v>
      </c>
      <c r="N13" s="133">
        <v>3250</v>
      </c>
      <c r="O13" s="158">
        <v>73450</v>
      </c>
      <c r="P13" s="134">
        <v>3965</v>
      </c>
      <c r="Q13" s="135">
        <f>Stock!H44</f>
        <v>3032.3610932473557</v>
      </c>
      <c r="R13" s="135">
        <f t="shared" si="0"/>
        <v>68531.360707390239</v>
      </c>
      <c r="S13" s="136">
        <f t="shared" si="1"/>
        <v>4918.6392926097615</v>
      </c>
      <c r="T13" s="135">
        <f t="shared" si="2"/>
        <v>5429.8760000000002</v>
      </c>
      <c r="U13" s="135">
        <f>U$23/$F$23*$F13</f>
        <v>1827.8292853884655</v>
      </c>
      <c r="V13" s="135">
        <f t="shared" si="3"/>
        <v>2084.5499999999997</v>
      </c>
      <c r="W13" s="136">
        <f t="shared" si="4"/>
        <v>-254.51599277870446</v>
      </c>
      <c r="X13" s="135">
        <f>X$23/$F$23*$F13</f>
        <v>4937.7454298398343</v>
      </c>
      <c r="Y13" s="136">
        <f t="shared" si="5"/>
        <v>-5192.2614226185387</v>
      </c>
      <c r="Z13" s="135">
        <f>Z$23/$F$23*$F13</f>
        <v>3596.4243731167812</v>
      </c>
      <c r="AA13" s="136">
        <f t="shared" si="6"/>
        <v>3341.9083803380768</v>
      </c>
      <c r="AC13" s="138">
        <f t="shared" si="12"/>
        <v>6.6965817462352098E-2</v>
      </c>
      <c r="AD13" s="138">
        <f t="shared" si="13"/>
        <v>-3.4651598744547918E-3</v>
      </c>
      <c r="AE13" s="138">
        <f t="shared" si="14"/>
        <v>-7.0691101737488618E-2</v>
      </c>
      <c r="AF13" s="138">
        <f t="shared" si="15"/>
        <v>4.5499092993030316E-2</v>
      </c>
    </row>
    <row r="14" spans="1:32" x14ac:dyDescent="0.3">
      <c r="A14" s="126" t="s">
        <v>178</v>
      </c>
      <c r="B14" s="127" t="s">
        <v>200</v>
      </c>
      <c r="C14" s="128">
        <v>46301</v>
      </c>
      <c r="D14" s="128">
        <v>46319</v>
      </c>
      <c r="E14" s="130" t="s">
        <v>99</v>
      </c>
      <c r="F14" s="129">
        <v>27</v>
      </c>
      <c r="G14" s="131" t="s">
        <v>83</v>
      </c>
      <c r="H14" s="131" t="s">
        <v>201</v>
      </c>
      <c r="I14" s="131" t="s">
        <v>175</v>
      </c>
      <c r="J14" s="131" t="s">
        <v>202</v>
      </c>
      <c r="K14" s="132" t="s">
        <v>203</v>
      </c>
      <c r="L14" s="131" t="s">
        <v>204</v>
      </c>
      <c r="M14" s="133" t="s">
        <v>163</v>
      </c>
      <c r="N14" s="133">
        <v>2400</v>
      </c>
      <c r="O14" s="158">
        <v>64800</v>
      </c>
      <c r="P14" s="134">
        <v>2600</v>
      </c>
      <c r="Q14" s="135">
        <f>Stock!H42</f>
        <v>1721.1419943163405</v>
      </c>
      <c r="R14" s="135">
        <f t="shared" ref="R14:R18" si="16">Q14*F14</f>
        <v>46470.833846541194</v>
      </c>
      <c r="S14" s="136">
        <f t="shared" ref="S14:S18" si="17">O14-R14</f>
        <v>18329.166153458806</v>
      </c>
      <c r="T14" s="135">
        <f t="shared" ref="T14:T18" si="18">F14*240.26</f>
        <v>6487.0199999999995</v>
      </c>
      <c r="U14" s="135">
        <f t="shared" ref="U14:U18" si="19">U$23/$F$23*$F14</f>
        <v>2183.6898542251579</v>
      </c>
      <c r="V14" s="135">
        <f t="shared" ref="V14:V18" si="20">(O14-P14)*0.03</f>
        <v>1866</v>
      </c>
      <c r="W14" s="136">
        <f t="shared" ref="W14:W18" si="21">S14-T14-U14+V14</f>
        <v>11524.456299233647</v>
      </c>
      <c r="X14" s="135">
        <f t="shared" ref="X14:X18" si="22">X$23/$F$23*$F14</f>
        <v>5899.0763984812174</v>
      </c>
      <c r="Y14" s="136">
        <f t="shared" ref="Y14:Y18" si="23">W14-X14</f>
        <v>5625.3799007524294</v>
      </c>
      <c r="Z14" s="135">
        <f t="shared" ref="Z14:Z18" si="24">Z$23/$F$23*$F14</f>
        <v>4296.6131891218174</v>
      </c>
      <c r="AA14" s="136">
        <f t="shared" ref="AA14:AA18" si="25">W14+Z14</f>
        <v>15821.069488355464</v>
      </c>
      <c r="AC14" s="138">
        <f t="shared" si="12"/>
        <v>0.28285750236819146</v>
      </c>
      <c r="AD14" s="138">
        <f t="shared" si="13"/>
        <v>0.17784654782767972</v>
      </c>
      <c r="AE14" s="138">
        <f t="shared" si="14"/>
        <v>8.6811418221488107E-2</v>
      </c>
      <c r="AF14" s="138">
        <f t="shared" si="15"/>
        <v>0.24415230691906581</v>
      </c>
    </row>
    <row r="15" spans="1:32" x14ac:dyDescent="0.3">
      <c r="A15" s="126" t="s">
        <v>178</v>
      </c>
      <c r="B15" s="127" t="s">
        <v>205</v>
      </c>
      <c r="C15" s="128">
        <v>46301</v>
      </c>
      <c r="D15" s="128">
        <v>46313</v>
      </c>
      <c r="E15" s="130" t="s">
        <v>206</v>
      </c>
      <c r="F15" s="129">
        <v>50.94</v>
      </c>
      <c r="G15" s="131" t="s">
        <v>207</v>
      </c>
      <c r="H15" s="131"/>
      <c r="I15" s="131" t="s">
        <v>175</v>
      </c>
      <c r="J15" s="131" t="s">
        <v>208</v>
      </c>
      <c r="K15" s="132" t="s">
        <v>209</v>
      </c>
      <c r="L15" s="131" t="s">
        <v>210</v>
      </c>
      <c r="M15" s="133" t="s">
        <v>163</v>
      </c>
      <c r="N15" s="133">
        <v>1800</v>
      </c>
      <c r="O15" s="158">
        <v>91692</v>
      </c>
      <c r="P15" s="134">
        <v>5600</v>
      </c>
      <c r="Q15" s="135">
        <f>Stock!H23</f>
        <v>1355.7979303482589</v>
      </c>
      <c r="R15" s="135">
        <f t="shared" si="16"/>
        <v>69064.346571940303</v>
      </c>
      <c r="S15" s="136">
        <f t="shared" si="17"/>
        <v>22627.653428059697</v>
      </c>
      <c r="T15" s="135">
        <f t="shared" si="18"/>
        <v>12238.844399999998</v>
      </c>
      <c r="U15" s="135">
        <f t="shared" si="19"/>
        <v>4119.8948583047977</v>
      </c>
      <c r="V15" s="135">
        <f t="shared" si="20"/>
        <v>2582.7599999999998</v>
      </c>
      <c r="W15" s="136">
        <f t="shared" si="21"/>
        <v>8851.6741697549005</v>
      </c>
      <c r="X15" s="135">
        <f t="shared" si="22"/>
        <v>11129.590805134563</v>
      </c>
      <c r="Y15" s="136">
        <f t="shared" si="23"/>
        <v>-2277.9166353796627</v>
      </c>
      <c r="Z15" s="135">
        <f t="shared" si="24"/>
        <v>8106.2768834764956</v>
      </c>
      <c r="AA15" s="136">
        <f t="shared" si="25"/>
        <v>16957.951053231394</v>
      </c>
      <c r="AC15" s="138">
        <f t="shared" si="12"/>
        <v>0.24677892758430067</v>
      </c>
      <c r="AD15" s="138">
        <f t="shared" si="13"/>
        <v>9.6537038888397028E-2</v>
      </c>
      <c r="AE15" s="138">
        <f t="shared" si="14"/>
        <v>-2.4843133919858467E-2</v>
      </c>
      <c r="AF15" s="138">
        <f t="shared" si="15"/>
        <v>0.18494471767691179</v>
      </c>
    </row>
    <row r="16" spans="1:32" x14ac:dyDescent="0.3">
      <c r="A16" s="126" t="s">
        <v>178</v>
      </c>
      <c r="B16" s="127" t="s">
        <v>205</v>
      </c>
      <c r="C16" s="128">
        <v>46301</v>
      </c>
      <c r="D16" s="128">
        <v>46313</v>
      </c>
      <c r="E16" s="130" t="s">
        <v>211</v>
      </c>
      <c r="F16" s="129">
        <v>50.954999999999998</v>
      </c>
      <c r="G16" s="131" t="s">
        <v>212</v>
      </c>
      <c r="H16" s="131"/>
      <c r="I16" s="131" t="s">
        <v>175</v>
      </c>
      <c r="J16" s="131" t="s">
        <v>208</v>
      </c>
      <c r="K16" s="132" t="s">
        <v>209</v>
      </c>
      <c r="L16" s="131" t="s">
        <v>210</v>
      </c>
      <c r="M16" s="133" t="s">
        <v>163</v>
      </c>
      <c r="N16" s="133">
        <v>1800</v>
      </c>
      <c r="O16" s="158">
        <v>91719</v>
      </c>
      <c r="P16" s="134">
        <v>5600</v>
      </c>
      <c r="Q16" s="135">
        <f>Q15</f>
        <v>1355.7979303482589</v>
      </c>
      <c r="R16" s="135">
        <f t="shared" si="16"/>
        <v>69084.683540895523</v>
      </c>
      <c r="S16" s="136">
        <f t="shared" si="17"/>
        <v>22634.316459104477</v>
      </c>
      <c r="T16" s="135">
        <f t="shared" si="18"/>
        <v>12242.4483</v>
      </c>
      <c r="U16" s="135">
        <f t="shared" si="19"/>
        <v>4121.1080193349226</v>
      </c>
      <c r="V16" s="135">
        <f t="shared" si="20"/>
        <v>2583.5699999999997</v>
      </c>
      <c r="W16" s="136">
        <f t="shared" si="21"/>
        <v>8854.3301397695541</v>
      </c>
      <c r="X16" s="135">
        <f t="shared" si="22"/>
        <v>11132.868069800386</v>
      </c>
      <c r="Y16" s="136">
        <f t="shared" si="23"/>
        <v>-2278.5379300308323</v>
      </c>
      <c r="Z16" s="135">
        <f t="shared" si="24"/>
        <v>8108.6638908037858</v>
      </c>
      <c r="AA16" s="136">
        <f t="shared" si="25"/>
        <v>16962.99403057334</v>
      </c>
      <c r="AC16" s="138">
        <f t="shared" si="12"/>
        <v>0.2467789275843007</v>
      </c>
      <c r="AD16" s="138">
        <f t="shared" si="13"/>
        <v>9.6537578252810799E-2</v>
      </c>
      <c r="AE16" s="138">
        <f t="shared" si="14"/>
        <v>-2.48425945554447E-2</v>
      </c>
      <c r="AF16" s="138">
        <f t="shared" si="15"/>
        <v>0.18494525704132556</v>
      </c>
    </row>
    <row r="17" spans="1:35" x14ac:dyDescent="0.3">
      <c r="A17" s="126" t="s">
        <v>178</v>
      </c>
      <c r="B17" s="127" t="s">
        <v>213</v>
      </c>
      <c r="C17" s="128" t="s">
        <v>214</v>
      </c>
      <c r="D17" s="128">
        <v>46304</v>
      </c>
      <c r="E17" s="130" t="s">
        <v>102</v>
      </c>
      <c r="F17" s="129">
        <v>135</v>
      </c>
      <c r="G17" s="131" t="s">
        <v>215</v>
      </c>
      <c r="H17" s="131"/>
      <c r="I17" s="131" t="s">
        <v>171</v>
      </c>
      <c r="J17" s="131" t="s">
        <v>172</v>
      </c>
      <c r="K17" s="132" t="s">
        <v>216</v>
      </c>
      <c r="L17" s="131" t="s">
        <v>217</v>
      </c>
      <c r="M17" s="133" t="s">
        <v>163</v>
      </c>
      <c r="N17" s="133">
        <v>3450</v>
      </c>
      <c r="O17" s="158">
        <v>465750</v>
      </c>
      <c r="P17" s="134">
        <v>13000</v>
      </c>
      <c r="Q17" s="135">
        <f>Stock!H47</f>
        <v>2782.8681960069571</v>
      </c>
      <c r="R17" s="135">
        <f t="shared" si="16"/>
        <v>375687.2064609392</v>
      </c>
      <c r="S17" s="136">
        <f t="shared" si="17"/>
        <v>90062.793539060804</v>
      </c>
      <c r="T17" s="135">
        <f t="shared" si="18"/>
        <v>32435.1</v>
      </c>
      <c r="U17" s="135">
        <f t="shared" si="19"/>
        <v>10918.449271125788</v>
      </c>
      <c r="V17" s="135">
        <f t="shared" si="20"/>
        <v>13582.5</v>
      </c>
      <c r="W17" s="136">
        <f t="shared" si="21"/>
        <v>60291.744267935021</v>
      </c>
      <c r="X17" s="135">
        <f t="shared" si="22"/>
        <v>29495.381992406088</v>
      </c>
      <c r="Y17" s="136">
        <f t="shared" si="23"/>
        <v>30796.362275528933</v>
      </c>
      <c r="Z17" s="135">
        <f t="shared" si="24"/>
        <v>21483.065945609091</v>
      </c>
      <c r="AA17" s="136">
        <f t="shared" si="25"/>
        <v>81774.810213544115</v>
      </c>
      <c r="AC17" s="138">
        <f t="shared" si="12"/>
        <v>0.19337153738928783</v>
      </c>
      <c r="AD17" s="138">
        <f t="shared" si="13"/>
        <v>0.12945087336110578</v>
      </c>
      <c r="AE17" s="138">
        <f t="shared" si="14"/>
        <v>6.612208754810292E-2</v>
      </c>
      <c r="AF17" s="138">
        <f t="shared" si="15"/>
        <v>0.17557661881598308</v>
      </c>
    </row>
    <row r="18" spans="1:35" x14ac:dyDescent="0.3">
      <c r="A18" s="126" t="s">
        <v>178</v>
      </c>
      <c r="B18" s="127" t="s">
        <v>218</v>
      </c>
      <c r="C18" s="128">
        <v>46307</v>
      </c>
      <c r="D18" s="128">
        <v>46319</v>
      </c>
      <c r="E18" s="130" t="s">
        <v>164</v>
      </c>
      <c r="F18" s="129">
        <v>25</v>
      </c>
      <c r="G18" s="131" t="s">
        <v>165</v>
      </c>
      <c r="H18" s="131" t="s">
        <v>219</v>
      </c>
      <c r="I18" s="131" t="s">
        <v>166</v>
      </c>
      <c r="J18" s="131" t="s">
        <v>167</v>
      </c>
      <c r="K18" s="132" t="s">
        <v>168</v>
      </c>
      <c r="L18" s="131" t="s">
        <v>169</v>
      </c>
      <c r="M18" s="133" t="s">
        <v>163</v>
      </c>
      <c r="N18" s="133">
        <v>1400</v>
      </c>
      <c r="O18" s="158">
        <v>35000</v>
      </c>
      <c r="P18" s="134">
        <v>2900</v>
      </c>
      <c r="Q18" s="135">
        <f>Stock!H30</f>
        <v>1658.4372679680719</v>
      </c>
      <c r="R18" s="135">
        <f t="shared" si="16"/>
        <v>41460.931699201799</v>
      </c>
      <c r="S18" s="136">
        <f t="shared" si="17"/>
        <v>-6460.9316992017993</v>
      </c>
      <c r="T18" s="135">
        <f t="shared" si="18"/>
        <v>6006.5</v>
      </c>
      <c r="U18" s="135">
        <f t="shared" si="19"/>
        <v>2021.9350502084794</v>
      </c>
      <c r="V18" s="135">
        <f t="shared" si="20"/>
        <v>963</v>
      </c>
      <c r="W18" s="136">
        <f t="shared" si="21"/>
        <v>-13526.366749410279</v>
      </c>
      <c r="X18" s="135">
        <f t="shared" si="22"/>
        <v>5462.1077763714975</v>
      </c>
      <c r="Y18" s="136">
        <f t="shared" si="23"/>
        <v>-18988.474525781778</v>
      </c>
      <c r="Z18" s="135">
        <f t="shared" si="24"/>
        <v>3978.3455454831646</v>
      </c>
      <c r="AA18" s="136">
        <f t="shared" si="25"/>
        <v>-9548.0212039271137</v>
      </c>
      <c r="AC18" s="138">
        <f t="shared" si="12"/>
        <v>-0.18459804854862283</v>
      </c>
      <c r="AD18" s="138">
        <f t="shared" si="13"/>
        <v>-0.38646762141172225</v>
      </c>
      <c r="AE18" s="138">
        <f t="shared" si="14"/>
        <v>-0.54252784359376505</v>
      </c>
      <c r="AF18" s="138">
        <f t="shared" si="15"/>
        <v>-0.27280060582648896</v>
      </c>
    </row>
    <row r="19" spans="1:35" x14ac:dyDescent="0.3">
      <c r="A19" s="148" t="s">
        <v>178</v>
      </c>
      <c r="B19" s="149" t="s">
        <v>220</v>
      </c>
      <c r="C19" s="150" t="s">
        <v>221</v>
      </c>
      <c r="D19" s="150">
        <v>46313</v>
      </c>
      <c r="E19" s="130" t="s">
        <v>102</v>
      </c>
      <c r="F19" s="151">
        <v>130.86000000000001</v>
      </c>
      <c r="G19" s="149" t="s">
        <v>215</v>
      </c>
      <c r="H19" s="152"/>
      <c r="I19" s="149" t="s">
        <v>171</v>
      </c>
      <c r="J19" s="149" t="s">
        <v>172</v>
      </c>
      <c r="K19" s="153" t="s">
        <v>222</v>
      </c>
      <c r="L19" s="149" t="s">
        <v>174</v>
      </c>
      <c r="M19" s="154" t="s">
        <v>163</v>
      </c>
      <c r="N19" s="154">
        <v>3500</v>
      </c>
      <c r="O19" s="146">
        <v>458010.00000000006</v>
      </c>
      <c r="P19" s="134">
        <v>13000</v>
      </c>
      <c r="Q19" s="155">
        <f>Stock!H47</f>
        <v>2782.8681960069571</v>
      </c>
      <c r="R19" s="155">
        <f t="shared" si="0"/>
        <v>364166.13212947047</v>
      </c>
      <c r="S19" s="156">
        <f t="shared" si="1"/>
        <v>93843.86787052959</v>
      </c>
      <c r="T19" s="155">
        <f t="shared" si="2"/>
        <v>31440.423600000002</v>
      </c>
      <c r="U19" s="155">
        <f>U$23/$F$23*$F19</f>
        <v>10583.616826811265</v>
      </c>
      <c r="V19" s="155">
        <f t="shared" si="3"/>
        <v>13350.300000000001</v>
      </c>
      <c r="W19" s="156">
        <f t="shared" si="4"/>
        <v>65170.127443718324</v>
      </c>
      <c r="X19" s="155">
        <f>X$23/$F$23*$F19</f>
        <v>28590.85694463897</v>
      </c>
      <c r="Y19" s="156">
        <f t="shared" si="5"/>
        <v>36579.270499079357</v>
      </c>
      <c r="Z19" s="155">
        <f>Z$23/$F$23*$F19</f>
        <v>20824.251923277079</v>
      </c>
      <c r="AA19" s="156">
        <f t="shared" si="6"/>
        <v>85994.379366995403</v>
      </c>
      <c r="AC19" s="138">
        <f t="shared" si="12"/>
        <v>0.20489480114086936</v>
      </c>
      <c r="AD19" s="138">
        <f t="shared" si="13"/>
        <v>0.14228974791755269</v>
      </c>
      <c r="AE19" s="138">
        <f t="shared" si="14"/>
        <v>7.9865659044735596E-2</v>
      </c>
      <c r="AF19" s="138">
        <f t="shared" si="15"/>
        <v>0.18775655415164602</v>
      </c>
      <c r="AI19" s="120" t="s">
        <v>176</v>
      </c>
    </row>
    <row r="20" spans="1:35" x14ac:dyDescent="0.3">
      <c r="A20" s="148" t="s">
        <v>178</v>
      </c>
      <c r="B20" s="149" t="s">
        <v>223</v>
      </c>
      <c r="C20" s="150">
        <v>46309</v>
      </c>
      <c r="D20" s="150">
        <v>46320</v>
      </c>
      <c r="E20" s="130" t="s">
        <v>206</v>
      </c>
      <c r="F20" s="151">
        <v>20</v>
      </c>
      <c r="G20" s="149" t="s">
        <v>207</v>
      </c>
      <c r="H20" s="152"/>
      <c r="I20" s="149" t="s">
        <v>175</v>
      </c>
      <c r="J20" s="149" t="s">
        <v>208</v>
      </c>
      <c r="K20" s="153" t="s">
        <v>209</v>
      </c>
      <c r="L20" s="149" t="s">
        <v>210</v>
      </c>
      <c r="M20" s="154" t="s">
        <v>163</v>
      </c>
      <c r="N20" s="154">
        <v>1900</v>
      </c>
      <c r="O20" s="146">
        <v>38000</v>
      </c>
      <c r="P20" s="134">
        <v>2074.0740740740798</v>
      </c>
      <c r="Q20" s="155">
        <f>Q15</f>
        <v>1355.7979303482589</v>
      </c>
      <c r="R20" s="155">
        <f t="shared" si="0"/>
        <v>27115.958606965178</v>
      </c>
      <c r="S20" s="156">
        <f t="shared" si="1"/>
        <v>10884.041393034822</v>
      </c>
      <c r="T20" s="155">
        <f t="shared" si="2"/>
        <v>4805.2</v>
      </c>
      <c r="U20" s="155">
        <f>U$23/$F$23*$F20</f>
        <v>1617.5480401667835</v>
      </c>
      <c r="V20" s="155">
        <f t="shared" si="3"/>
        <v>1077.7777777777776</v>
      </c>
      <c r="W20" s="156">
        <f t="shared" si="4"/>
        <v>5539.0711306458161</v>
      </c>
      <c r="X20" s="155">
        <f>X$23/$F$23*$F20</f>
        <v>4369.6862210971985</v>
      </c>
      <c r="Y20" s="156">
        <f t="shared" si="5"/>
        <v>1169.3849095486175</v>
      </c>
      <c r="Z20" s="155">
        <f>Z$23/$F$23*$F20</f>
        <v>3182.6764363865318</v>
      </c>
      <c r="AA20" s="156">
        <f t="shared" si="6"/>
        <v>8721.7475670323474</v>
      </c>
      <c r="AC20" s="138">
        <f t="shared" si="12"/>
        <v>0.28642214192196902</v>
      </c>
      <c r="AD20" s="138">
        <f t="shared" si="13"/>
        <v>0.14576502975383726</v>
      </c>
      <c r="AE20" s="138">
        <f t="shared" si="14"/>
        <v>3.0773287093384671E-2</v>
      </c>
      <c r="AF20" s="138">
        <f t="shared" si="15"/>
        <v>0.22951967281664074</v>
      </c>
      <c r="AI20" s="120" t="s">
        <v>176</v>
      </c>
    </row>
    <row r="21" spans="1:35" x14ac:dyDescent="0.3">
      <c r="A21" s="148" t="s">
        <v>178</v>
      </c>
      <c r="B21" s="157" t="s">
        <v>223</v>
      </c>
      <c r="C21" s="150">
        <v>46309</v>
      </c>
      <c r="D21" s="150">
        <v>46320</v>
      </c>
      <c r="E21" s="130" t="s">
        <v>211</v>
      </c>
      <c r="F21" s="151">
        <v>7</v>
      </c>
      <c r="G21" s="149" t="s">
        <v>212</v>
      </c>
      <c r="H21" s="149"/>
      <c r="I21" s="149" t="s">
        <v>175</v>
      </c>
      <c r="J21" s="149" t="s">
        <v>208</v>
      </c>
      <c r="K21" s="153" t="s">
        <v>209</v>
      </c>
      <c r="L21" s="149" t="s">
        <v>210</v>
      </c>
      <c r="M21" s="154" t="s">
        <v>163</v>
      </c>
      <c r="N21" s="154">
        <v>1900</v>
      </c>
      <c r="O21" s="146">
        <v>13300</v>
      </c>
      <c r="P21" s="134">
        <v>725.92592592592791</v>
      </c>
      <c r="Q21" s="155">
        <f>Q16</f>
        <v>1355.7979303482589</v>
      </c>
      <c r="R21" s="155">
        <f t="shared" si="0"/>
        <v>9490.5855124378122</v>
      </c>
      <c r="S21" s="156">
        <f t="shared" si="1"/>
        <v>3809.4144875621878</v>
      </c>
      <c r="T21" s="155">
        <f t="shared" si="2"/>
        <v>1681.82</v>
      </c>
      <c r="U21" s="155">
        <f>U$23/$F$23*$F21</f>
        <v>566.14181405837417</v>
      </c>
      <c r="V21" s="155">
        <f t="shared" si="3"/>
        <v>377.22222222222217</v>
      </c>
      <c r="W21" s="156">
        <f t="shared" si="4"/>
        <v>1938.6748957260361</v>
      </c>
      <c r="X21" s="155">
        <f>X$23/$F$23*$F21</f>
        <v>1529.3901773840194</v>
      </c>
      <c r="Y21" s="156">
        <f t="shared" si="5"/>
        <v>409.28471834201673</v>
      </c>
      <c r="Z21" s="155">
        <f>Z$23/$F$23*$F21</f>
        <v>1113.9367527352861</v>
      </c>
      <c r="AA21" s="156">
        <f t="shared" si="6"/>
        <v>3052.6116484613221</v>
      </c>
      <c r="AC21" s="138">
        <f t="shared" si="12"/>
        <v>0.28642214192196902</v>
      </c>
      <c r="AD21" s="138">
        <f t="shared" si="13"/>
        <v>0.14576502975383729</v>
      </c>
      <c r="AE21" s="138">
        <f t="shared" si="14"/>
        <v>3.0773287093384716E-2</v>
      </c>
      <c r="AF21" s="138">
        <f t="shared" si="15"/>
        <v>0.22951967281664076</v>
      </c>
      <c r="AI21" s="120" t="s">
        <v>177</v>
      </c>
    </row>
    <row r="22" spans="1:35" x14ac:dyDescent="0.3">
      <c r="F22" s="140"/>
    </row>
    <row r="23" spans="1:35" x14ac:dyDescent="0.3">
      <c r="A23" s="141"/>
      <c r="B23" s="141"/>
      <c r="C23" s="141"/>
      <c r="D23" s="141"/>
      <c r="E23" s="141" t="s">
        <v>121</v>
      </c>
      <c r="F23" s="142">
        <f>SUBTOTAL(9,F5:F21)</f>
        <v>778.255</v>
      </c>
      <c r="G23" s="143"/>
      <c r="H23" s="143"/>
      <c r="I23" s="143"/>
      <c r="J23" s="143"/>
      <c r="K23" s="143"/>
      <c r="L23" s="143"/>
      <c r="M23" s="143"/>
      <c r="N23" s="143"/>
      <c r="O23" s="143">
        <f>SUBTOTAL(9,O5:O21)</f>
        <v>1865771</v>
      </c>
      <c r="P23" s="144"/>
      <c r="Q23" s="143"/>
      <c r="R23" s="142">
        <f>SUBTOTAL(9,R5:R21)</f>
        <v>1520660.8052751783</v>
      </c>
      <c r="S23" s="142">
        <f>SUBTOTAL(9,S5:S21)</f>
        <v>345110.19472482201</v>
      </c>
      <c r="T23" s="142">
        <f>SUBTOTAL(9,T5:T21)</f>
        <v>186983.54630000002</v>
      </c>
      <c r="U23" s="142">
        <f>[3]Stock!N52</f>
        <v>62943.2425</v>
      </c>
      <c r="V23" s="142">
        <f>SUBTOTAL(9,V5:V21)</f>
        <v>53349.87</v>
      </c>
      <c r="W23" s="142">
        <f>SUBTOTAL(9,W5:W21)</f>
        <v>148533.275924822</v>
      </c>
      <c r="X23" s="142">
        <f>[3]Stock!O52</f>
        <v>170036.50750000001</v>
      </c>
      <c r="Y23" s="142">
        <f>SUBTOTAL(9,Y5:Y21)</f>
        <v>-21503.231575177964</v>
      </c>
      <c r="Z23" s="142">
        <f>[3]Stock!P52</f>
        <v>123846.6925</v>
      </c>
      <c r="AA23" s="142">
        <f>SUBTOTAL(9,AA5:AA21)</f>
        <v>272379.96842482203</v>
      </c>
      <c r="AC23" s="145">
        <f>S23/O23</f>
        <v>0.18496921365206234</v>
      </c>
      <c r="AD23" s="145">
        <f t="shared" ref="AD23" si="26">W23/O23</f>
        <v>7.9609596207048994E-2</v>
      </c>
      <c r="AE23" s="145">
        <f t="shared" ref="AE23" si="27">Y23/O23</f>
        <v>-1.1525118342592936E-2</v>
      </c>
      <c r="AF23" s="145">
        <f t="shared" ref="AF23" si="28">AA23/O23</f>
        <v>0.14598788834472293</v>
      </c>
    </row>
    <row r="28" spans="1:35" x14ac:dyDescent="0.3">
      <c r="S28" s="147"/>
      <c r="T28" s="147"/>
      <c r="U28" s="147"/>
      <c r="V28" s="147"/>
    </row>
    <row r="29" spans="1:35" x14ac:dyDescent="0.3">
      <c r="T29" s="147"/>
      <c r="U29" s="147"/>
      <c r="V29" s="147"/>
    </row>
  </sheetData>
  <autoFilter ref="A4:AA21" xr:uid="{4A4309A9-2FC8-4C70-9FF8-D53179257D1C}"/>
  <conditionalFormatting sqref="AC5:AF21"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8C80-6319-4940-9F34-4F4DBC9D2D37}">
  <dimension ref="B2:K16"/>
  <sheetViews>
    <sheetView zoomScale="90" zoomScaleNormal="90" workbookViewId="0">
      <selection activeCell="F25" sqref="F25"/>
    </sheetView>
  </sheetViews>
  <sheetFormatPr baseColWidth="10" defaultRowHeight="14.4" x14ac:dyDescent="0.3"/>
  <cols>
    <col min="4" max="4" width="25" bestFit="1" customWidth="1"/>
    <col min="5" max="5" width="17.44140625" bestFit="1" customWidth="1"/>
    <col min="6" max="6" width="19.33203125" bestFit="1" customWidth="1"/>
    <col min="7" max="7" width="20.5546875" bestFit="1" customWidth="1"/>
    <col min="8" max="8" width="20.44140625" bestFit="1" customWidth="1"/>
    <col min="9" max="9" width="18.5546875" bestFit="1" customWidth="1"/>
    <col min="10" max="10" width="17" bestFit="1" customWidth="1"/>
    <col min="11" max="11" width="20.77734375" bestFit="1" customWidth="1"/>
  </cols>
  <sheetData>
    <row r="2" spans="2:11" x14ac:dyDescent="0.3">
      <c r="B2" s="62" t="s">
        <v>103</v>
      </c>
    </row>
    <row r="3" spans="2:11" x14ac:dyDescent="0.3">
      <c r="E3" s="60" t="s">
        <v>87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</row>
    <row r="4" spans="2:11" x14ac:dyDescent="0.3">
      <c r="B4" s="2" t="b">
        <f t="shared" ref="B4:B13" si="0">C4=E4</f>
        <v>1</v>
      </c>
      <c r="C4" s="61">
        <v>10005721</v>
      </c>
      <c r="D4" s="63" t="s">
        <v>95</v>
      </c>
      <c r="E4" s="61">
        <v>10005721</v>
      </c>
      <c r="F4" s="43">
        <v>133.79999999999998</v>
      </c>
      <c r="G4" s="43">
        <v>213982.18890282782</v>
      </c>
      <c r="H4" s="43">
        <v>32146.788</v>
      </c>
      <c r="I4" s="43">
        <v>4120.4104685399252</v>
      </c>
      <c r="J4" s="43">
        <v>11130.983687994269</v>
      </c>
      <c r="K4" s="43">
        <v>8107.2913946408962</v>
      </c>
    </row>
    <row r="5" spans="2:11" x14ac:dyDescent="0.3">
      <c r="B5" s="2" t="b">
        <f t="shared" si="0"/>
        <v>1</v>
      </c>
      <c r="C5" s="61">
        <v>10005779</v>
      </c>
      <c r="D5" s="64" t="s">
        <v>96</v>
      </c>
      <c r="E5" s="61">
        <v>10005779</v>
      </c>
      <c r="F5" s="43">
        <v>448.82</v>
      </c>
      <c r="G5" s="43">
        <v>686270.72144541994</v>
      </c>
      <c r="H5" s="43">
        <v>107833.4932</v>
      </c>
      <c r="I5" s="43">
        <v>13821.544293647901</v>
      </c>
      <c r="J5" s="43">
        <v>37337.878167754767</v>
      </c>
      <c r="K5" s="43">
        <v>27195.175812725909</v>
      </c>
    </row>
    <row r="6" spans="2:11" x14ac:dyDescent="0.3">
      <c r="B6" s="2" t="b">
        <f t="shared" si="0"/>
        <v>1</v>
      </c>
      <c r="C6" s="61">
        <v>10006719</v>
      </c>
      <c r="D6" s="64" t="s">
        <v>97</v>
      </c>
      <c r="E6" s="61">
        <v>10006719</v>
      </c>
      <c r="F6" s="43">
        <v>79.06</v>
      </c>
      <c r="G6" s="43">
        <v>114477.27566061732</v>
      </c>
      <c r="H6" s="43">
        <v>18994.955599999998</v>
      </c>
      <c r="I6" s="43">
        <v>2434.6760212463869</v>
      </c>
      <c r="J6" s="43">
        <v>6577.0969385114122</v>
      </c>
      <c r="K6" s="43">
        <v>4790.4518509739119</v>
      </c>
    </row>
    <row r="7" spans="2:11" x14ac:dyDescent="0.3">
      <c r="B7" s="2" t="b">
        <f t="shared" si="0"/>
        <v>1</v>
      </c>
      <c r="C7" s="61">
        <v>10007050</v>
      </c>
      <c r="D7" s="64" t="s">
        <v>98</v>
      </c>
      <c r="E7" s="61">
        <v>10007050</v>
      </c>
      <c r="F7" s="43">
        <v>69.592000000000013</v>
      </c>
      <c r="G7" s="43">
        <v>89640.351523703634</v>
      </c>
      <c r="H7" s="43">
        <v>16720.173920000001</v>
      </c>
      <c r="I7" s="43">
        <v>2143.1061683604676</v>
      </c>
      <c r="J7" s="43">
        <v>5789.442577091907</v>
      </c>
      <c r="K7" s="43">
        <v>4216.7610069943894</v>
      </c>
    </row>
    <row r="8" spans="2:11" x14ac:dyDescent="0.3">
      <c r="B8" s="2" t="b">
        <f t="shared" si="0"/>
        <v>1</v>
      </c>
      <c r="C8" s="61">
        <v>10007162</v>
      </c>
      <c r="D8" s="64" t="s">
        <v>99</v>
      </c>
      <c r="E8" s="61">
        <v>10007162</v>
      </c>
      <c r="F8" s="43">
        <v>552.72</v>
      </c>
      <c r="G8" s="43">
        <v>917632.50788281998</v>
      </c>
      <c r="H8" s="43">
        <v>132796.50719999999</v>
      </c>
      <c r="I8" s="43">
        <v>17021.175442237574</v>
      </c>
      <c r="J8" s="43">
        <v>45981.444723678564</v>
      </c>
      <c r="K8" s="43">
        <v>33490.748128893247</v>
      </c>
    </row>
    <row r="9" spans="2:11" x14ac:dyDescent="0.3">
      <c r="B9" s="2" t="b">
        <f t="shared" si="0"/>
        <v>1</v>
      </c>
      <c r="C9" s="61">
        <v>10007567</v>
      </c>
      <c r="D9" s="64" t="s">
        <v>100</v>
      </c>
      <c r="E9" s="61">
        <v>10007567</v>
      </c>
      <c r="F9" s="43">
        <v>148.63999999999999</v>
      </c>
      <c r="G9" s="43">
        <v>239900.59584552509</v>
      </c>
      <c r="H9" s="43">
        <v>35712.246400000004</v>
      </c>
      <c r="I9" s="43">
        <v>4577.4126460670741</v>
      </c>
      <c r="J9" s="43">
        <v>12365.541221102154</v>
      </c>
      <c r="K9" s="43">
        <v>9006.4857466324574</v>
      </c>
    </row>
    <row r="10" spans="2:11" x14ac:dyDescent="0.3">
      <c r="B10" s="2" t="b">
        <f t="shared" si="0"/>
        <v>1</v>
      </c>
      <c r="C10" s="61">
        <v>10007969</v>
      </c>
      <c r="D10" s="64" t="s">
        <v>9</v>
      </c>
      <c r="E10" s="61">
        <v>10007969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</row>
    <row r="11" spans="2:11" x14ac:dyDescent="0.3">
      <c r="B11" s="2" t="b">
        <f t="shared" si="0"/>
        <v>1</v>
      </c>
      <c r="C11" s="61">
        <v>10009239</v>
      </c>
      <c r="D11" s="64" t="s">
        <v>101</v>
      </c>
      <c r="E11" s="61">
        <v>10009239</v>
      </c>
      <c r="F11" s="43">
        <v>315.44</v>
      </c>
      <c r="G11" s="43">
        <v>955286.70467384881</v>
      </c>
      <c r="H11" s="43">
        <v>75787.614400000006</v>
      </c>
      <c r="I11" s="43">
        <v>9714.0678490002556</v>
      </c>
      <c r="J11" s="43">
        <v>26241.83478730129</v>
      </c>
      <c r="K11" s="43">
        <v>19113.333314839492</v>
      </c>
    </row>
    <row r="12" spans="2:11" x14ac:dyDescent="0.3">
      <c r="B12" s="2" t="b">
        <f t="shared" si="0"/>
        <v>1</v>
      </c>
      <c r="C12" s="61">
        <v>10009334</v>
      </c>
      <c r="D12" s="64" t="s">
        <v>102</v>
      </c>
      <c r="E12" s="61">
        <v>10009334</v>
      </c>
      <c r="F12" s="43">
        <v>147.15199999999999</v>
      </c>
      <c r="G12" s="43">
        <v>390322.84740678914</v>
      </c>
      <c r="H12" s="43">
        <v>35354.739519999996</v>
      </c>
      <c r="I12" s="43">
        <v>4531.5892471344332</v>
      </c>
      <c r="J12" s="43">
        <v>12241.752702957643</v>
      </c>
      <c r="K12" s="43">
        <v>8916.3239409880207</v>
      </c>
    </row>
    <row r="13" spans="2:11" x14ac:dyDescent="0.3">
      <c r="B13" s="2" t="b">
        <f t="shared" si="0"/>
        <v>1</v>
      </c>
      <c r="C13" s="61">
        <v>10009386</v>
      </c>
      <c r="D13" s="64" t="s">
        <v>75</v>
      </c>
      <c r="E13" s="61">
        <v>10009386</v>
      </c>
      <c r="F13" s="43">
        <v>25.18</v>
      </c>
      <c r="G13" s="43">
        <v>54984.292606694296</v>
      </c>
      <c r="H13" s="43">
        <v>6049.7467999999999</v>
      </c>
      <c r="I13" s="43">
        <v>775.42552763703532</v>
      </c>
      <c r="J13" s="43">
        <v>2094.7546282787421</v>
      </c>
      <c r="K13" s="43">
        <v>1525.7219530422851</v>
      </c>
    </row>
    <row r="14" spans="2:11" x14ac:dyDescent="0.3">
      <c r="D14" s="64" t="s">
        <v>129</v>
      </c>
      <c r="E14" s="61">
        <v>10009649</v>
      </c>
      <c r="F14" s="43">
        <v>69.239999999999995</v>
      </c>
      <c r="G14" s="43">
        <v>103066.45586149275</v>
      </c>
      <c r="H14" s="43">
        <v>16635.6024</v>
      </c>
      <c r="I14" s="43">
        <v>2132.2662245269389</v>
      </c>
      <c r="J14" s="43">
        <v>5760.1592717243884</v>
      </c>
      <c r="K14" s="43">
        <v>4195.4324078096834</v>
      </c>
    </row>
    <row r="15" spans="2:11" x14ac:dyDescent="0.3">
      <c r="D15" s="64" t="s">
        <v>71</v>
      </c>
      <c r="E15" s="61">
        <v>10010320</v>
      </c>
      <c r="F15" s="43">
        <v>54.28</v>
      </c>
      <c r="G15" s="43">
        <v>70331.847571292717</v>
      </c>
      <c r="H15" s="43">
        <v>13041.3128</v>
      </c>
      <c r="I15" s="43">
        <v>1671.568611601997</v>
      </c>
      <c r="J15" s="43">
        <v>4515.61879360485</v>
      </c>
      <c r="K15" s="43">
        <v>3288.9669424597</v>
      </c>
    </row>
    <row r="16" spans="2:11" x14ac:dyDescent="0.3">
      <c r="E16" s="61" t="s">
        <v>88</v>
      </c>
      <c r="F16" s="43">
        <v>2043.9240000000002</v>
      </c>
      <c r="G16" s="43">
        <v>3835895.7893810314</v>
      </c>
      <c r="H16" s="43">
        <v>491073.18024000002</v>
      </c>
      <c r="I16" s="43">
        <v>62943.242499999993</v>
      </c>
      <c r="J16" s="43">
        <v>170036.50749999995</v>
      </c>
      <c r="K16" s="43">
        <v>123846.69249999999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60547-A86D-4ADC-9F03-ED7DA80D7475}">
  <dimension ref="B2:T67"/>
  <sheetViews>
    <sheetView showGridLines="0" topLeftCell="A21" zoomScale="80" zoomScaleNormal="80" workbookViewId="0">
      <selection activeCell="I70" sqref="I70"/>
    </sheetView>
  </sheetViews>
  <sheetFormatPr baseColWidth="10" defaultColWidth="11.44140625" defaultRowHeight="14.4" x14ac:dyDescent="0.3"/>
  <cols>
    <col min="1" max="1" width="11.44140625" style="5"/>
    <col min="2" max="2" width="10" style="5" bestFit="1" customWidth="1"/>
    <col min="3" max="3" width="49.21875" style="5" bestFit="1" customWidth="1"/>
    <col min="4" max="4" width="14.21875" style="5" bestFit="1" customWidth="1"/>
    <col min="5" max="5" width="11.44140625" style="5"/>
    <col min="6" max="6" width="16.77734375" style="5" bestFit="1" customWidth="1"/>
    <col min="7" max="7" width="20" style="5" bestFit="1" customWidth="1"/>
    <col min="8" max="8" width="12.44140625" style="5" bestFit="1" customWidth="1"/>
    <col min="9" max="9" width="17.21875" style="5" bestFit="1" customWidth="1"/>
    <col min="10" max="10" width="11.44140625" style="5"/>
    <col min="11" max="11" width="15.21875" style="5" customWidth="1"/>
    <col min="12" max="13" width="13.5546875" style="5" bestFit="1" customWidth="1"/>
    <col min="14" max="18" width="11.44140625" style="5"/>
    <col min="19" max="19" width="17.33203125" style="5" bestFit="1" customWidth="1"/>
    <col min="20" max="20" width="23.33203125" style="5" bestFit="1" customWidth="1"/>
    <col min="21" max="16384" width="11.44140625" style="5"/>
  </cols>
  <sheetData>
    <row r="2" spans="2:20" x14ac:dyDescent="0.3">
      <c r="F2"/>
      <c r="G2"/>
      <c r="H2"/>
      <c r="I2"/>
      <c r="J2"/>
      <c r="K2" s="23" t="s">
        <v>52</v>
      </c>
      <c r="L2"/>
      <c r="M2"/>
      <c r="N2"/>
      <c r="O2"/>
      <c r="P2"/>
      <c r="Q2"/>
      <c r="R2"/>
      <c r="S2"/>
      <c r="T2"/>
    </row>
    <row r="3" spans="2:20" ht="15" thickBot="1" x14ac:dyDescent="0.35">
      <c r="F3" t="s">
        <v>53</v>
      </c>
      <c r="G3" t="s">
        <v>54</v>
      </c>
      <c r="H3"/>
      <c r="I3"/>
      <c r="J3"/>
      <c r="K3"/>
      <c r="L3"/>
      <c r="M3"/>
      <c r="N3"/>
      <c r="O3"/>
      <c r="P3"/>
      <c r="Q3"/>
      <c r="R3"/>
      <c r="S3"/>
      <c r="T3"/>
    </row>
    <row r="4" spans="2:20" ht="15" thickBot="1" x14ac:dyDescent="0.35">
      <c r="B4" s="3" t="s">
        <v>0</v>
      </c>
      <c r="C4" s="3" t="s">
        <v>1</v>
      </c>
      <c r="D4" s="4" t="s">
        <v>2</v>
      </c>
      <c r="F4" s="21" t="s">
        <v>55</v>
      </c>
      <c r="G4" s="21" t="s">
        <v>55</v>
      </c>
      <c r="H4" s="21" t="s">
        <v>56</v>
      </c>
      <c r="I4" s="21"/>
      <c r="J4" s="24" t="s">
        <v>57</v>
      </c>
      <c r="K4" s="25" t="s">
        <v>58</v>
      </c>
      <c r="L4" s="26" t="s">
        <v>59</v>
      </c>
      <c r="M4" s="26" t="s">
        <v>60</v>
      </c>
      <c r="N4" s="26" t="s">
        <v>61</v>
      </c>
      <c r="O4" s="26" t="s">
        <v>62</v>
      </c>
      <c r="P4" s="26" t="s">
        <v>63</v>
      </c>
      <c r="Q4" s="26" t="s">
        <v>64</v>
      </c>
      <c r="R4" s="27" t="s">
        <v>65</v>
      </c>
      <c r="S4" s="28" t="s">
        <v>66</v>
      </c>
      <c r="T4" s="28" t="s">
        <v>67</v>
      </c>
    </row>
    <row r="5" spans="2:20" x14ac:dyDescent="0.3">
      <c r="B5" s="6">
        <v>10009178</v>
      </c>
      <c r="C5" s="6" t="s">
        <v>3</v>
      </c>
      <c r="D5" s="8">
        <v>57600</v>
      </c>
      <c r="E5" s="1"/>
      <c r="F5" s="29">
        <f>IFERROR(VLOOKUP(B5,[1]Hoja1!$I$25:$J$77,2,0),0)</f>
        <v>1748.7075471698113</v>
      </c>
      <c r="G5" s="1">
        <v>1236.14658212324</v>
      </c>
      <c r="H5" s="30">
        <f t="shared" ref="H5:H52" si="0">AVERAGE(F5:G5)</f>
        <v>1492.4270646465257</v>
      </c>
      <c r="I5" s="30" t="s">
        <v>68</v>
      </c>
      <c r="J5" s="31">
        <v>10006719</v>
      </c>
      <c r="K5" s="32">
        <f t="shared" ref="K5:K52" si="1">D5/1000</f>
        <v>57.6</v>
      </c>
      <c r="L5" s="33">
        <f t="shared" ref="L5:L52" si="2">H5*D5/1000</f>
        <v>85963.798923639872</v>
      </c>
      <c r="M5" s="33">
        <f t="shared" ref="M5:M52" si="3">240.26*D5/1000</f>
        <v>13838.976000000001</v>
      </c>
      <c r="N5" s="33">
        <f t="shared" ref="N5:N52" si="4">K5/$K$53*$N$55</f>
        <v>1773.8089909409548</v>
      </c>
      <c r="O5" s="33">
        <f t="shared" ref="O5:O52" si="5">K5/$K$53*$O$55</f>
        <v>4791.8136055939458</v>
      </c>
      <c r="P5" s="33">
        <f t="shared" ref="P5:P52" si="6">K5/$K$53*$P$55</f>
        <v>3490.1344120427179</v>
      </c>
      <c r="Q5" s="33">
        <f>0</f>
        <v>0</v>
      </c>
      <c r="R5" s="34"/>
      <c r="S5" s="35">
        <f t="shared" ref="S5:S51" si="7">SUM(L5:O5)</f>
        <v>106368.39752017477</v>
      </c>
      <c r="T5" s="36">
        <f t="shared" ref="T5:T51" si="8">IFERROR(S5/K5,0)</f>
        <v>1846.6735680585896</v>
      </c>
    </row>
    <row r="6" spans="2:20" x14ac:dyDescent="0.3">
      <c r="B6" s="9">
        <v>10006668</v>
      </c>
      <c r="C6" s="9" t="s">
        <v>4</v>
      </c>
      <c r="D6" s="8">
        <v>760</v>
      </c>
      <c r="E6" s="1"/>
      <c r="F6" s="29">
        <f>IFERROR(VLOOKUP(B6,[1]Hoja1!$I$25:$J$77,2,0),0)</f>
        <v>1665.3823529411764</v>
      </c>
      <c r="G6" s="1">
        <v>1236.14658212324</v>
      </c>
      <c r="H6" s="30">
        <f t="shared" si="0"/>
        <v>1450.7644675322081</v>
      </c>
      <c r="I6" s="30" t="s">
        <v>68</v>
      </c>
      <c r="J6" s="31">
        <v>10006719</v>
      </c>
      <c r="K6" s="32">
        <f t="shared" si="1"/>
        <v>0.76</v>
      </c>
      <c r="L6" s="33">
        <f t="shared" si="2"/>
        <v>1102.580995324478</v>
      </c>
      <c r="M6" s="33">
        <f t="shared" si="3"/>
        <v>182.5976</v>
      </c>
      <c r="N6" s="33">
        <f t="shared" si="4"/>
        <v>23.404424186026485</v>
      </c>
      <c r="O6" s="33">
        <f t="shared" si="5"/>
        <v>63.225318407142339</v>
      </c>
      <c r="P6" s="33">
        <f t="shared" si="6"/>
        <v>46.050384603341413</v>
      </c>
      <c r="Q6" s="33">
        <f>0</f>
        <v>0</v>
      </c>
      <c r="R6" s="34"/>
      <c r="S6" s="37">
        <f t="shared" si="7"/>
        <v>1371.8083379176469</v>
      </c>
      <c r="T6" s="36">
        <f t="shared" si="8"/>
        <v>1805.0109709442722</v>
      </c>
    </row>
    <row r="7" spans="2:20" x14ac:dyDescent="0.3">
      <c r="B7" s="9">
        <v>10006719</v>
      </c>
      <c r="C7" s="9" t="s">
        <v>5</v>
      </c>
      <c r="D7" s="8">
        <v>0</v>
      </c>
      <c r="E7" s="1"/>
      <c r="F7" s="29">
        <f>IFERROR(VLOOKUP(B7,[1]Hoja1!$I$25:$J$77,2,0),0)</f>
        <v>1559.625</v>
      </c>
      <c r="G7" s="1">
        <v>1236.14658212324</v>
      </c>
      <c r="H7" s="30">
        <f t="shared" si="0"/>
        <v>1397.88579106162</v>
      </c>
      <c r="I7" s="30" t="s">
        <v>68</v>
      </c>
      <c r="J7" s="31">
        <v>10006719</v>
      </c>
      <c r="K7" s="32">
        <f t="shared" si="1"/>
        <v>0</v>
      </c>
      <c r="L7" s="33">
        <f t="shared" si="2"/>
        <v>0</v>
      </c>
      <c r="M7" s="33">
        <f t="shared" si="3"/>
        <v>0</v>
      </c>
      <c r="N7" s="33">
        <f t="shared" si="4"/>
        <v>0</v>
      </c>
      <c r="O7" s="33">
        <f t="shared" si="5"/>
        <v>0</v>
      </c>
      <c r="P7" s="33">
        <f t="shared" si="6"/>
        <v>0</v>
      </c>
      <c r="Q7" s="33">
        <f>0</f>
        <v>0</v>
      </c>
      <c r="R7" s="34"/>
      <c r="S7" s="37">
        <f t="shared" si="7"/>
        <v>0</v>
      </c>
      <c r="T7" s="36">
        <f t="shared" si="8"/>
        <v>0</v>
      </c>
    </row>
    <row r="8" spans="2:20" x14ac:dyDescent="0.3">
      <c r="B8" s="9">
        <v>10006720</v>
      </c>
      <c r="C8" s="9" t="s">
        <v>6</v>
      </c>
      <c r="D8" s="8">
        <v>240</v>
      </c>
      <c r="E8" s="1"/>
      <c r="F8" s="29">
        <f>IFERROR(VLOOKUP(B8,[1]Hoja1!$I$25:$J$77,2,0),0)</f>
        <v>1725.3333333333333</v>
      </c>
      <c r="G8" s="1">
        <v>1236.14658212324</v>
      </c>
      <c r="H8" s="30">
        <f t="shared" si="0"/>
        <v>1480.7399577282868</v>
      </c>
      <c r="I8" s="30" t="s">
        <v>68</v>
      </c>
      <c r="J8" s="31">
        <v>10006719</v>
      </c>
      <c r="K8" s="32">
        <f t="shared" si="1"/>
        <v>0.24</v>
      </c>
      <c r="L8" s="33">
        <f t="shared" si="2"/>
        <v>355.37758985478882</v>
      </c>
      <c r="M8" s="33">
        <f t="shared" si="3"/>
        <v>57.662399999999991</v>
      </c>
      <c r="N8" s="33">
        <f t="shared" si="4"/>
        <v>7.3908707955873103</v>
      </c>
      <c r="O8" s="33">
        <f t="shared" si="5"/>
        <v>19.965890023308106</v>
      </c>
      <c r="P8" s="33">
        <f t="shared" si="6"/>
        <v>14.542226716844656</v>
      </c>
      <c r="Q8" s="33">
        <f>0</f>
        <v>0</v>
      </c>
      <c r="R8" s="34"/>
      <c r="S8" s="37">
        <f t="shared" si="7"/>
        <v>440.39675067368421</v>
      </c>
      <c r="T8" s="36">
        <f t="shared" si="8"/>
        <v>1834.9864611403509</v>
      </c>
    </row>
    <row r="9" spans="2:20" x14ac:dyDescent="0.3">
      <c r="B9" s="10">
        <v>10010110</v>
      </c>
      <c r="C9" s="10" t="s">
        <v>7</v>
      </c>
      <c r="D9" s="8">
        <v>0</v>
      </c>
      <c r="E9" s="1"/>
      <c r="F9" s="29">
        <f>IFERROR(VLOOKUP(B9,[1]Hoja1!$I$25:$J$77,2,0),0)</f>
        <v>1647.8181818181815</v>
      </c>
      <c r="G9" s="1">
        <v>1236.14658212324</v>
      </c>
      <c r="H9" s="30">
        <f t="shared" si="0"/>
        <v>1441.9823819707108</v>
      </c>
      <c r="I9" s="30" t="s">
        <v>68</v>
      </c>
      <c r="J9" s="31">
        <v>10006719</v>
      </c>
      <c r="K9" s="32">
        <f t="shared" si="1"/>
        <v>0</v>
      </c>
      <c r="L9" s="33">
        <f t="shared" si="2"/>
        <v>0</v>
      </c>
      <c r="M9" s="33">
        <f t="shared" si="3"/>
        <v>0</v>
      </c>
      <c r="N9" s="33">
        <f t="shared" si="4"/>
        <v>0</v>
      </c>
      <c r="O9" s="33">
        <f t="shared" si="5"/>
        <v>0</v>
      </c>
      <c r="P9" s="33">
        <f t="shared" si="6"/>
        <v>0</v>
      </c>
      <c r="Q9" s="33">
        <f>0</f>
        <v>0</v>
      </c>
      <c r="R9" s="34"/>
      <c r="S9" s="37">
        <f t="shared" si="7"/>
        <v>0</v>
      </c>
      <c r="T9" s="36">
        <f t="shared" si="8"/>
        <v>0</v>
      </c>
    </row>
    <row r="10" spans="2:20" x14ac:dyDescent="0.3">
      <c r="B10" s="9">
        <v>10009207</v>
      </c>
      <c r="C10" s="9" t="s">
        <v>8</v>
      </c>
      <c r="D10" s="8">
        <v>20460</v>
      </c>
      <c r="E10" s="1"/>
      <c r="F10" s="29">
        <f>IFERROR(VLOOKUP(B10,[1]Hoja1!$I$25:$J$77,2,0),0)</f>
        <v>1408.5765998707177</v>
      </c>
      <c r="G10" s="1">
        <v>1236.14658212324</v>
      </c>
      <c r="H10" s="30">
        <f t="shared" si="0"/>
        <v>1322.361590996979</v>
      </c>
      <c r="I10" s="30" t="s">
        <v>68</v>
      </c>
      <c r="J10" s="31">
        <v>10006719</v>
      </c>
      <c r="K10" s="29">
        <f t="shared" si="1"/>
        <v>20.46</v>
      </c>
      <c r="L10" s="29">
        <f t="shared" si="2"/>
        <v>27055.518151798187</v>
      </c>
      <c r="M10" s="29">
        <f t="shared" si="3"/>
        <v>4915.7195999999994</v>
      </c>
      <c r="N10" s="29">
        <f t="shared" si="4"/>
        <v>630.0717353238183</v>
      </c>
      <c r="O10" s="29">
        <f t="shared" si="5"/>
        <v>1702.0921244870162</v>
      </c>
      <c r="P10" s="29">
        <f t="shared" si="6"/>
        <v>1239.7248276110072</v>
      </c>
      <c r="Q10"/>
      <c r="R10"/>
      <c r="S10" s="37">
        <f t="shared" si="7"/>
        <v>34303.401611609021</v>
      </c>
      <c r="T10" s="36">
        <f t="shared" si="8"/>
        <v>1676.6080944090429</v>
      </c>
    </row>
    <row r="11" spans="2:20" x14ac:dyDescent="0.3">
      <c r="B11" s="9">
        <v>10007969</v>
      </c>
      <c r="C11" s="9" t="s">
        <v>9</v>
      </c>
      <c r="D11" s="8">
        <v>0</v>
      </c>
      <c r="E11" s="1"/>
      <c r="F11" s="29">
        <f>IFERROR(VLOOKUP(B11,[1]Hoja1!$I$25:$J$77,2,0),0)</f>
        <v>1226.375</v>
      </c>
      <c r="G11" s="1">
        <v>807.53922388059698</v>
      </c>
      <c r="H11" s="30">
        <f t="shared" si="0"/>
        <v>1016.9571119402985</v>
      </c>
      <c r="I11" s="30" t="s">
        <v>69</v>
      </c>
      <c r="J11" s="39">
        <v>10007969</v>
      </c>
      <c r="K11" s="29">
        <f t="shared" si="1"/>
        <v>0</v>
      </c>
      <c r="L11" s="29">
        <f t="shared" si="2"/>
        <v>0</v>
      </c>
      <c r="M11" s="29">
        <f t="shared" si="3"/>
        <v>0</v>
      </c>
      <c r="N11" s="29">
        <f t="shared" si="4"/>
        <v>0</v>
      </c>
      <c r="O11" s="29">
        <f t="shared" si="5"/>
        <v>0</v>
      </c>
      <c r="P11" s="29">
        <f t="shared" si="6"/>
        <v>0</v>
      </c>
      <c r="Q11"/>
      <c r="R11"/>
      <c r="S11" s="37">
        <f t="shared" si="7"/>
        <v>0</v>
      </c>
      <c r="T11" s="36">
        <f t="shared" si="8"/>
        <v>0</v>
      </c>
    </row>
    <row r="12" spans="2:20" x14ac:dyDescent="0.3">
      <c r="B12" s="11">
        <v>10004434</v>
      </c>
      <c r="C12" s="11" t="s">
        <v>10</v>
      </c>
      <c r="D12" s="8">
        <v>1900</v>
      </c>
      <c r="E12" s="1"/>
      <c r="F12" s="29">
        <f>IFERROR(VLOOKUP(B12,[1]Hoja1!$I$25:$J$77,2,0),0)</f>
        <v>2064.636363636364</v>
      </c>
      <c r="G12" s="1">
        <v>1488.5392238806</v>
      </c>
      <c r="H12" s="30">
        <f t="shared" si="0"/>
        <v>1776.5877937584819</v>
      </c>
      <c r="I12" s="30" t="s">
        <v>70</v>
      </c>
      <c r="J12" s="40">
        <v>10005721</v>
      </c>
      <c r="K12" s="32">
        <f t="shared" si="1"/>
        <v>1.9</v>
      </c>
      <c r="L12" s="33">
        <f t="shared" si="2"/>
        <v>3375.5168081411157</v>
      </c>
      <c r="M12" s="33">
        <f t="shared" si="3"/>
        <v>456.49400000000003</v>
      </c>
      <c r="N12" s="33">
        <f t="shared" si="4"/>
        <v>58.511060465066208</v>
      </c>
      <c r="O12" s="33">
        <f t="shared" si="5"/>
        <v>158.06329601785583</v>
      </c>
      <c r="P12" s="33">
        <f t="shared" si="6"/>
        <v>115.12596150835353</v>
      </c>
      <c r="Q12" s="33">
        <f>0</f>
        <v>0</v>
      </c>
      <c r="R12" s="34"/>
      <c r="S12" s="37">
        <f t="shared" si="7"/>
        <v>4048.585164624038</v>
      </c>
      <c r="T12" s="36">
        <f t="shared" si="8"/>
        <v>2130.8342971705465</v>
      </c>
    </row>
    <row r="13" spans="2:20" x14ac:dyDescent="0.3">
      <c r="B13" s="11">
        <v>10010125</v>
      </c>
      <c r="C13" s="11" t="s">
        <v>11</v>
      </c>
      <c r="D13" s="8">
        <v>0</v>
      </c>
      <c r="E13" s="1"/>
      <c r="F13" s="29">
        <f>IFERROR(VLOOKUP(B13,[1]Hoja1!$I$25:$J$77,2,0),0)</f>
        <v>0</v>
      </c>
      <c r="G13" s="1">
        <v>1488.5392238806</v>
      </c>
      <c r="H13" s="38">
        <f>G13</f>
        <v>1488.5392238806</v>
      </c>
      <c r="I13" s="30" t="s">
        <v>70</v>
      </c>
      <c r="J13" s="40">
        <v>10005721</v>
      </c>
      <c r="K13" s="32">
        <f t="shared" si="1"/>
        <v>0</v>
      </c>
      <c r="L13" s="33">
        <f t="shared" si="2"/>
        <v>0</v>
      </c>
      <c r="M13" s="33">
        <f t="shared" si="3"/>
        <v>0</v>
      </c>
      <c r="N13" s="33">
        <f t="shared" si="4"/>
        <v>0</v>
      </c>
      <c r="O13" s="33">
        <f t="shared" si="5"/>
        <v>0</v>
      </c>
      <c r="P13" s="33">
        <f t="shared" si="6"/>
        <v>0</v>
      </c>
      <c r="Q13" s="33">
        <f>0</f>
        <v>0</v>
      </c>
      <c r="R13" s="34"/>
      <c r="S13" s="37">
        <f t="shared" si="7"/>
        <v>0</v>
      </c>
      <c r="T13" s="36">
        <f t="shared" si="8"/>
        <v>0</v>
      </c>
    </row>
    <row r="14" spans="2:20" x14ac:dyDescent="0.3">
      <c r="B14" s="11">
        <v>10004435</v>
      </c>
      <c r="C14" s="11" t="s">
        <v>12</v>
      </c>
      <c r="D14" s="8">
        <v>32160</v>
      </c>
      <c r="E14" s="1"/>
      <c r="F14" s="29">
        <f>IFERROR(VLOOKUP(B14,[1]Hoja1!$I$25:$J$77,2,0),0)</f>
        <v>1758.0257826887662</v>
      </c>
      <c r="G14" s="1">
        <v>1488.5392238806</v>
      </c>
      <c r="H14" s="30">
        <f t="shared" si="0"/>
        <v>1623.2825032846831</v>
      </c>
      <c r="I14" s="30" t="s">
        <v>70</v>
      </c>
      <c r="J14" s="40">
        <v>10005721</v>
      </c>
      <c r="K14" s="32">
        <f t="shared" si="1"/>
        <v>32.159999999999997</v>
      </c>
      <c r="L14" s="33">
        <f t="shared" si="2"/>
        <v>52204.76530563541</v>
      </c>
      <c r="M14" s="33">
        <f t="shared" si="3"/>
        <v>7726.7615999999998</v>
      </c>
      <c r="N14" s="33">
        <f t="shared" si="4"/>
        <v>990.37668660869963</v>
      </c>
      <c r="O14" s="33">
        <f t="shared" si="5"/>
        <v>2675.4292631232861</v>
      </c>
      <c r="P14" s="33">
        <f t="shared" si="6"/>
        <v>1948.6583800571839</v>
      </c>
      <c r="Q14" s="33">
        <f>0</f>
        <v>0</v>
      </c>
      <c r="R14" s="34"/>
      <c r="S14" s="37">
        <f t="shared" si="7"/>
        <v>63597.3328553674</v>
      </c>
      <c r="T14" s="36">
        <f t="shared" si="8"/>
        <v>1977.5290066967477</v>
      </c>
    </row>
    <row r="15" spans="2:20" x14ac:dyDescent="0.3">
      <c r="B15" s="9">
        <v>10005708</v>
      </c>
      <c r="C15" s="9" t="s">
        <v>13</v>
      </c>
      <c r="D15" s="8">
        <v>1080</v>
      </c>
      <c r="E15" s="1"/>
      <c r="F15" s="29">
        <f>IFERROR(VLOOKUP(B15,[1]Hoja1!$I$25:$J$77,2,0),0)</f>
        <v>2023.8796296296298</v>
      </c>
      <c r="G15" s="1">
        <v>1488.5392238806</v>
      </c>
      <c r="H15" s="30">
        <f t="shared" si="0"/>
        <v>1756.2094267551149</v>
      </c>
      <c r="I15" s="30" t="s">
        <v>70</v>
      </c>
      <c r="J15" s="40">
        <v>10005721</v>
      </c>
      <c r="K15" s="32">
        <f t="shared" si="1"/>
        <v>1.08</v>
      </c>
      <c r="L15" s="33">
        <f t="shared" si="2"/>
        <v>1896.7061808955241</v>
      </c>
      <c r="M15" s="33">
        <f t="shared" si="3"/>
        <v>259.48079999999999</v>
      </c>
      <c r="N15" s="33">
        <f t="shared" si="4"/>
        <v>33.258918580142897</v>
      </c>
      <c r="O15" s="33">
        <f t="shared" si="5"/>
        <v>89.846505104886475</v>
      </c>
      <c r="P15" s="33">
        <f t="shared" si="6"/>
        <v>65.44002022580095</v>
      </c>
      <c r="Q15" s="33">
        <f>0</f>
        <v>0</v>
      </c>
      <c r="R15" s="34"/>
      <c r="S15" s="37">
        <f t="shared" si="7"/>
        <v>2279.2924045805535</v>
      </c>
      <c r="T15" s="36">
        <f t="shared" si="8"/>
        <v>2110.4559301671788</v>
      </c>
    </row>
    <row r="16" spans="2:20" x14ac:dyDescent="0.3">
      <c r="B16" s="6">
        <v>10005721</v>
      </c>
      <c r="C16" s="6" t="s">
        <v>14</v>
      </c>
      <c r="D16" s="8">
        <v>3100</v>
      </c>
      <c r="E16" s="1"/>
      <c r="F16" s="29">
        <f>IFERROR(VLOOKUP(B16,[1]Hoja1!$I$25:$J$77,2,0),0)</f>
        <v>1959.7102564102565</v>
      </c>
      <c r="G16" s="1">
        <v>1488.5392238806</v>
      </c>
      <c r="H16" s="30">
        <f t="shared" si="0"/>
        <v>1724.1247401454284</v>
      </c>
      <c r="I16" s="30" t="s">
        <v>70</v>
      </c>
      <c r="J16" s="40">
        <v>10005721</v>
      </c>
      <c r="K16" s="32">
        <f t="shared" si="1"/>
        <v>3.1</v>
      </c>
      <c r="L16" s="33">
        <f t="shared" si="2"/>
        <v>5344.7866944508287</v>
      </c>
      <c r="M16" s="33">
        <f t="shared" si="3"/>
        <v>744.80600000000004</v>
      </c>
      <c r="N16" s="33">
        <f t="shared" si="4"/>
        <v>95.465414443002757</v>
      </c>
      <c r="O16" s="33">
        <f t="shared" si="5"/>
        <v>257.89274613439636</v>
      </c>
      <c r="P16" s="33">
        <f t="shared" si="6"/>
        <v>187.83709509257682</v>
      </c>
      <c r="Q16" s="33">
        <f>0</f>
        <v>0</v>
      </c>
      <c r="R16" s="34"/>
      <c r="S16" s="37">
        <f t="shared" si="7"/>
        <v>6442.9508550282271</v>
      </c>
      <c r="T16" s="36">
        <f t="shared" si="8"/>
        <v>2078.3712435574926</v>
      </c>
    </row>
    <row r="17" spans="2:20" x14ac:dyDescent="0.3">
      <c r="B17" s="9">
        <v>10010126</v>
      </c>
      <c r="C17" s="9" t="s">
        <v>15</v>
      </c>
      <c r="D17" s="8">
        <v>5280</v>
      </c>
      <c r="E17" s="1"/>
      <c r="F17" s="29">
        <f>IFERROR(VLOOKUP(B17,[1]Hoja1!$I$25:$J$77,2,0),0)</f>
        <v>1787.367424242424</v>
      </c>
      <c r="G17" s="1">
        <v>1488.5392238806</v>
      </c>
      <c r="H17" s="30">
        <f t="shared" si="0"/>
        <v>1637.9533240615119</v>
      </c>
      <c r="I17" s="30" t="s">
        <v>70</v>
      </c>
      <c r="J17" s="40">
        <v>10005721</v>
      </c>
      <c r="K17" s="32">
        <f t="shared" si="1"/>
        <v>5.28</v>
      </c>
      <c r="L17" s="33">
        <f t="shared" si="2"/>
        <v>8648.3935510447827</v>
      </c>
      <c r="M17" s="33">
        <f t="shared" si="3"/>
        <v>1268.5728000000001</v>
      </c>
      <c r="N17" s="33">
        <f t="shared" si="4"/>
        <v>162.59915750292086</v>
      </c>
      <c r="O17" s="33">
        <f t="shared" si="5"/>
        <v>439.24958051277838</v>
      </c>
      <c r="P17" s="33">
        <f t="shared" si="6"/>
        <v>319.92898777058247</v>
      </c>
      <c r="Q17" s="33">
        <f>0</f>
        <v>0</v>
      </c>
      <c r="R17" s="34"/>
      <c r="S17" s="37">
        <f t="shared" si="7"/>
        <v>10518.815089060481</v>
      </c>
      <c r="T17" s="36">
        <f t="shared" si="8"/>
        <v>1992.1998274735759</v>
      </c>
    </row>
    <row r="18" spans="2:20" x14ac:dyDescent="0.3">
      <c r="B18" s="9">
        <v>10005718</v>
      </c>
      <c r="C18" s="9" t="s">
        <v>16</v>
      </c>
      <c r="D18" s="8">
        <v>19920</v>
      </c>
      <c r="E18" s="12"/>
      <c r="F18" s="29">
        <f>IFERROR(VLOOKUP(B18,[1]Hoja1!$I$25:$J$77,2,0),0)</f>
        <v>1904.1872529644268</v>
      </c>
      <c r="G18" s="1">
        <v>1488.5392238806</v>
      </c>
      <c r="H18" s="30">
        <f t="shared" si="0"/>
        <v>1696.3632384225134</v>
      </c>
      <c r="I18" s="30" t="s">
        <v>70</v>
      </c>
      <c r="J18" s="40">
        <v>10005721</v>
      </c>
      <c r="K18" s="32">
        <f t="shared" si="1"/>
        <v>19.920000000000002</v>
      </c>
      <c r="L18" s="33">
        <f t="shared" si="2"/>
        <v>33791.555709376473</v>
      </c>
      <c r="M18" s="33">
        <f t="shared" si="3"/>
        <v>4785.9791999999998</v>
      </c>
      <c r="N18" s="33">
        <f t="shared" si="4"/>
        <v>613.44227603374679</v>
      </c>
      <c r="O18" s="33">
        <f t="shared" si="5"/>
        <v>1657.168871934573</v>
      </c>
      <c r="P18" s="33">
        <f t="shared" si="6"/>
        <v>1207.0048174981066</v>
      </c>
      <c r="Q18" s="33">
        <f>0</f>
        <v>0</v>
      </c>
      <c r="R18" s="34"/>
      <c r="S18" s="37">
        <f t="shared" si="7"/>
        <v>40848.146057344798</v>
      </c>
      <c r="T18" s="36">
        <f t="shared" si="8"/>
        <v>2050.609741834578</v>
      </c>
    </row>
    <row r="19" spans="2:20" x14ac:dyDescent="0.3">
      <c r="B19" s="13">
        <v>10009972</v>
      </c>
      <c r="C19" s="13" t="s">
        <v>17</v>
      </c>
      <c r="D19" s="8">
        <v>2720</v>
      </c>
      <c r="E19" s="1"/>
      <c r="F19" s="29">
        <f>IFERROR(VLOOKUP(B19,[1]Hoja1!$I$25:$J$77,2,0),0)</f>
        <v>0</v>
      </c>
      <c r="G19" s="1">
        <v>1488.5392238806</v>
      </c>
      <c r="H19" s="38">
        <f>G19</f>
        <v>1488.5392238806</v>
      </c>
      <c r="I19" s="30" t="s">
        <v>70</v>
      </c>
      <c r="J19" s="40">
        <v>10005721</v>
      </c>
      <c r="K19" s="32">
        <f t="shared" si="1"/>
        <v>2.72</v>
      </c>
      <c r="L19" s="33">
        <f t="shared" si="2"/>
        <v>4048.8266889552319</v>
      </c>
      <c r="M19" s="33">
        <f t="shared" si="3"/>
        <v>653.5071999999999</v>
      </c>
      <c r="N19" s="33">
        <f t="shared" si="4"/>
        <v>83.763202349989527</v>
      </c>
      <c r="O19" s="33">
        <f t="shared" si="5"/>
        <v>226.28008693082521</v>
      </c>
      <c r="P19" s="33">
        <f t="shared" si="6"/>
        <v>164.81190279090612</v>
      </c>
      <c r="Q19" s="33">
        <f>0</f>
        <v>0</v>
      </c>
      <c r="R19" s="34"/>
      <c r="S19" s="37">
        <f t="shared" si="7"/>
        <v>5012.3771782360454</v>
      </c>
      <c r="T19" s="36">
        <f t="shared" si="8"/>
        <v>1842.7857272926635</v>
      </c>
    </row>
    <row r="20" spans="2:20" x14ac:dyDescent="0.3">
      <c r="B20" s="6">
        <v>10009298</v>
      </c>
      <c r="C20" s="6" t="s">
        <v>18</v>
      </c>
      <c r="D20" s="8">
        <v>27040</v>
      </c>
      <c r="E20" s="1"/>
      <c r="F20" s="29">
        <f>IFERROR(VLOOKUP(B20,[1]Hoja1!$I$25:$J$77,2,0),0)</f>
        <v>2083.8593750000005</v>
      </c>
      <c r="G20" s="1">
        <v>1488.5392238806</v>
      </c>
      <c r="H20" s="30">
        <f t="shared" si="0"/>
        <v>1786.1992994403004</v>
      </c>
      <c r="I20" s="30" t="s">
        <v>70</v>
      </c>
      <c r="J20" s="40">
        <v>10005721</v>
      </c>
      <c r="K20" s="32">
        <f t="shared" si="1"/>
        <v>27.04</v>
      </c>
      <c r="L20" s="33">
        <f t="shared" si="2"/>
        <v>48298.829056865725</v>
      </c>
      <c r="M20" s="33">
        <f t="shared" si="3"/>
        <v>6496.6303999999991</v>
      </c>
      <c r="N20" s="33">
        <f t="shared" si="4"/>
        <v>832.70477630283699</v>
      </c>
      <c r="O20" s="33">
        <f t="shared" si="5"/>
        <v>2249.4902759593801</v>
      </c>
      <c r="P20" s="33">
        <f t="shared" si="6"/>
        <v>1638.4242100978313</v>
      </c>
      <c r="Q20" s="33">
        <f>0</f>
        <v>0</v>
      </c>
      <c r="R20" s="34"/>
      <c r="S20" s="37">
        <f t="shared" si="7"/>
        <v>57877.654509127948</v>
      </c>
      <c r="T20" s="36">
        <f t="shared" si="8"/>
        <v>2140.445802852365</v>
      </c>
    </row>
    <row r="21" spans="2:20" x14ac:dyDescent="0.3">
      <c r="B21" s="6"/>
      <c r="C21" s="6" t="s">
        <v>19</v>
      </c>
      <c r="D21" s="8">
        <v>10000</v>
      </c>
      <c r="E21" s="1"/>
      <c r="F21" s="29">
        <f>IFERROR(VLOOKUP(B21,[1]Hoja1!$I$25:$J$77,2,0),0)</f>
        <v>0</v>
      </c>
      <c r="G21" s="1">
        <v>1488.5392238806</v>
      </c>
      <c r="H21" s="38">
        <f>G21</f>
        <v>1488.5392238806</v>
      </c>
      <c r="I21" s="30" t="s">
        <v>70</v>
      </c>
      <c r="J21" s="40">
        <v>10005721</v>
      </c>
      <c r="K21" s="32">
        <f t="shared" si="1"/>
        <v>10</v>
      </c>
      <c r="L21" s="33">
        <f t="shared" si="2"/>
        <v>14885.392238806</v>
      </c>
      <c r="M21" s="33">
        <f t="shared" si="3"/>
        <v>2402.6</v>
      </c>
      <c r="N21" s="33">
        <f t="shared" si="4"/>
        <v>307.95294981613796</v>
      </c>
      <c r="O21" s="33">
        <f t="shared" si="5"/>
        <v>831.91208430450445</v>
      </c>
      <c r="P21" s="33">
        <f t="shared" si="6"/>
        <v>605.92611320186063</v>
      </c>
      <c r="Q21" s="33">
        <f>0</f>
        <v>0</v>
      </c>
      <c r="R21" s="34"/>
      <c r="S21" s="37">
        <f t="shared" si="7"/>
        <v>18427.857272926645</v>
      </c>
      <c r="T21" s="36">
        <f t="shared" si="8"/>
        <v>1842.7857272926644</v>
      </c>
    </row>
    <row r="22" spans="2:20" x14ac:dyDescent="0.3">
      <c r="B22" s="6">
        <v>10009644</v>
      </c>
      <c r="C22" s="6" t="s">
        <v>20</v>
      </c>
      <c r="D22" s="8">
        <v>30600</v>
      </c>
      <c r="E22" s="1"/>
      <c r="F22" s="29">
        <f>IFERROR(VLOOKUP(B22,[1]Hoja1!$I$25:$J$77,2,0),0)</f>
        <v>0</v>
      </c>
      <c r="G22" s="1">
        <v>1355.7979303482589</v>
      </c>
      <c r="H22" s="38">
        <f>G22</f>
        <v>1355.7979303482589</v>
      </c>
      <c r="I22" s="30" t="s">
        <v>70</v>
      </c>
      <c r="J22" s="40">
        <v>10005721</v>
      </c>
      <c r="K22" s="32">
        <f t="shared" si="1"/>
        <v>30.6</v>
      </c>
      <c r="L22" s="33">
        <f t="shared" si="2"/>
        <v>41487.416668656719</v>
      </c>
      <c r="M22" s="33">
        <f t="shared" si="3"/>
        <v>7351.9560000000001</v>
      </c>
      <c r="N22" s="33">
        <f t="shared" si="4"/>
        <v>942.3360264373822</v>
      </c>
      <c r="O22" s="33">
        <f t="shared" si="5"/>
        <v>2545.6509779717835</v>
      </c>
      <c r="P22" s="33">
        <f t="shared" si="6"/>
        <v>1854.1339063976939</v>
      </c>
      <c r="Q22" s="33">
        <f>0</f>
        <v>0</v>
      </c>
      <c r="R22" s="34"/>
      <c r="S22" s="37">
        <f t="shared" si="7"/>
        <v>52327.359673065883</v>
      </c>
      <c r="T22" s="36">
        <f t="shared" si="8"/>
        <v>1710.0444337603228</v>
      </c>
    </row>
    <row r="23" spans="2:20" x14ac:dyDescent="0.3">
      <c r="B23" s="6">
        <v>10010320</v>
      </c>
      <c r="C23" s="14" t="s">
        <v>21</v>
      </c>
      <c r="D23" s="8">
        <v>25440</v>
      </c>
      <c r="E23" s="1"/>
      <c r="F23" s="29">
        <f>IFERROR(VLOOKUP(B23,[1]Hoja1!$I$25:$J$77,2,0),0)</f>
        <v>0</v>
      </c>
      <c r="G23" s="1">
        <v>1355.7979303482589</v>
      </c>
      <c r="H23" s="38">
        <f>G23</f>
        <v>1355.7979303482589</v>
      </c>
      <c r="I23" s="30" t="s">
        <v>71</v>
      </c>
      <c r="J23">
        <v>10010320</v>
      </c>
      <c r="K23" s="32">
        <f t="shared" si="1"/>
        <v>25.44</v>
      </c>
      <c r="L23" s="33">
        <f t="shared" si="2"/>
        <v>34491.499348059704</v>
      </c>
      <c r="M23" s="33">
        <f t="shared" si="3"/>
        <v>6112.2143999999998</v>
      </c>
      <c r="N23" s="33">
        <f t="shared" si="4"/>
        <v>783.43230433225506</v>
      </c>
      <c r="O23" s="33">
        <f t="shared" si="5"/>
        <v>2116.3843424706592</v>
      </c>
      <c r="P23" s="33">
        <f t="shared" si="6"/>
        <v>1541.4760319855338</v>
      </c>
      <c r="Q23" s="33">
        <f>0</f>
        <v>0</v>
      </c>
      <c r="R23" s="34"/>
      <c r="S23" s="37">
        <f t="shared" si="7"/>
        <v>43503.530394862617</v>
      </c>
      <c r="T23" s="36">
        <f t="shared" si="8"/>
        <v>1710.0444337603228</v>
      </c>
    </row>
    <row r="24" spans="2:20" x14ac:dyDescent="0.3">
      <c r="B24" s="6">
        <v>10010347</v>
      </c>
      <c r="C24" s="14" t="s">
        <v>22</v>
      </c>
      <c r="D24" s="8">
        <v>28840</v>
      </c>
      <c r="E24" s="1"/>
      <c r="F24" s="29">
        <f>IFERROR(VLOOKUP(B24,[1]Hoja1!$I$25:$J$77,2,0),0)</f>
        <v>0</v>
      </c>
      <c r="G24" s="1">
        <v>1242.7305209165399</v>
      </c>
      <c r="H24" s="38">
        <f>G24</f>
        <v>1242.7305209165399</v>
      </c>
      <c r="I24" s="30" t="s">
        <v>71</v>
      </c>
      <c r="J24">
        <v>10010320</v>
      </c>
      <c r="K24" s="32">
        <f t="shared" si="1"/>
        <v>28.84</v>
      </c>
      <c r="L24" s="33">
        <f t="shared" si="2"/>
        <v>35840.348223233013</v>
      </c>
      <c r="M24" s="33">
        <f t="shared" si="3"/>
        <v>6929.0983999999999</v>
      </c>
      <c r="N24" s="33">
        <f t="shared" si="4"/>
        <v>888.13630726974179</v>
      </c>
      <c r="O24" s="33">
        <f t="shared" si="5"/>
        <v>2399.2344511341907</v>
      </c>
      <c r="P24" s="33">
        <f t="shared" si="6"/>
        <v>1747.4909104741662</v>
      </c>
      <c r="Q24" s="33">
        <f>0</f>
        <v>0</v>
      </c>
      <c r="R24" s="34"/>
      <c r="S24" s="37">
        <f t="shared" si="7"/>
        <v>46056.817381636953</v>
      </c>
      <c r="T24" s="36">
        <f t="shared" si="8"/>
        <v>1596.9770243286046</v>
      </c>
    </row>
    <row r="25" spans="2:20" x14ac:dyDescent="0.3">
      <c r="B25" s="15">
        <v>10009184</v>
      </c>
      <c r="C25" s="15" t="s">
        <v>23</v>
      </c>
      <c r="D25" s="8">
        <v>141440</v>
      </c>
      <c r="E25" s="1"/>
      <c r="F25" s="29">
        <f>IFERROR(VLOOKUP(B25,[1]Hoja1!$I$25:$J$77,2,0),0)</f>
        <v>1856.2375778646965</v>
      </c>
      <c r="G25" s="1">
        <v>1242.7305209165399</v>
      </c>
      <c r="H25" s="30">
        <f t="shared" si="0"/>
        <v>1549.4840493906181</v>
      </c>
      <c r="I25" s="30" t="s">
        <v>72</v>
      </c>
      <c r="J25" s="41">
        <v>10005779</v>
      </c>
      <c r="K25" s="32">
        <f t="shared" si="1"/>
        <v>141.44</v>
      </c>
      <c r="L25" s="33">
        <f t="shared" si="2"/>
        <v>219159.02394580905</v>
      </c>
      <c r="M25" s="33">
        <f t="shared" si="3"/>
        <v>33982.374400000001</v>
      </c>
      <c r="N25" s="33">
        <f t="shared" si="4"/>
        <v>4355.6865221994549</v>
      </c>
      <c r="O25" s="33">
        <f t="shared" si="5"/>
        <v>11766.564520402912</v>
      </c>
      <c r="P25" s="33">
        <f t="shared" si="6"/>
        <v>8570.218945127117</v>
      </c>
      <c r="Q25" s="33">
        <f>0</f>
        <v>0</v>
      </c>
      <c r="R25" s="34"/>
      <c r="S25" s="37">
        <f t="shared" si="7"/>
        <v>269263.64938841143</v>
      </c>
      <c r="T25" s="36">
        <f t="shared" si="8"/>
        <v>1903.7305528026827</v>
      </c>
    </row>
    <row r="26" spans="2:20" x14ac:dyDescent="0.3">
      <c r="B26" s="9">
        <v>10009271</v>
      </c>
      <c r="C26" s="9" t="s">
        <v>24</v>
      </c>
      <c r="D26" s="8">
        <v>41820</v>
      </c>
      <c r="E26" s="1"/>
      <c r="F26" s="29">
        <f>IFERROR(VLOOKUP(B26,[1]Hoja1!$I$25:$J$77,2,0),0)</f>
        <v>1837.4357381748684</v>
      </c>
      <c r="G26" s="1">
        <v>1242.7305209165399</v>
      </c>
      <c r="H26" s="30">
        <f t="shared" si="0"/>
        <v>1540.0831295457042</v>
      </c>
      <c r="I26" s="30" t="s">
        <v>72</v>
      </c>
      <c r="J26" s="41">
        <v>10005779</v>
      </c>
      <c r="K26" s="32">
        <f t="shared" si="1"/>
        <v>41.82</v>
      </c>
      <c r="L26" s="33">
        <f t="shared" si="2"/>
        <v>64406.27647760135</v>
      </c>
      <c r="M26" s="33">
        <f t="shared" si="3"/>
        <v>10047.673199999999</v>
      </c>
      <c r="N26" s="33">
        <f t="shared" si="4"/>
        <v>1287.8592361310889</v>
      </c>
      <c r="O26" s="33">
        <f t="shared" si="5"/>
        <v>3479.0563365614375</v>
      </c>
      <c r="P26" s="33">
        <f t="shared" si="6"/>
        <v>2533.9830054101817</v>
      </c>
      <c r="Q26" s="33">
        <f>0</f>
        <v>0</v>
      </c>
      <c r="R26" s="34"/>
      <c r="S26" s="37">
        <f t="shared" si="7"/>
        <v>79220.865250293878</v>
      </c>
      <c r="T26" s="36">
        <f t="shared" si="8"/>
        <v>1894.3296329577686</v>
      </c>
    </row>
    <row r="27" spans="2:20" x14ac:dyDescent="0.3">
      <c r="B27" s="9">
        <v>10009183</v>
      </c>
      <c r="C27" s="9" t="s">
        <v>25</v>
      </c>
      <c r="D27" s="8">
        <v>1040</v>
      </c>
      <c r="E27" s="1"/>
      <c r="F27" s="29">
        <f>IFERROR(VLOOKUP(B27,[1]Hoja1!$I$25:$J$77,2,0),0)</f>
        <v>1837.7307692307691</v>
      </c>
      <c r="G27" s="1">
        <v>1242.7305209165399</v>
      </c>
      <c r="H27" s="30">
        <f t="shared" si="0"/>
        <v>1540.2306450736546</v>
      </c>
      <c r="I27" s="30" t="s">
        <v>72</v>
      </c>
      <c r="J27" s="41">
        <v>10005779</v>
      </c>
      <c r="K27" s="32">
        <f t="shared" si="1"/>
        <v>1.04</v>
      </c>
      <c r="L27" s="33">
        <f t="shared" si="2"/>
        <v>1601.8398708766008</v>
      </c>
      <c r="M27" s="33">
        <f t="shared" si="3"/>
        <v>249.87039999999999</v>
      </c>
      <c r="N27" s="33">
        <f t="shared" si="4"/>
        <v>32.027106780878349</v>
      </c>
      <c r="O27" s="33">
        <f t="shared" si="5"/>
        <v>86.518856767668467</v>
      </c>
      <c r="P27" s="33">
        <f t="shared" si="6"/>
        <v>63.016315772993515</v>
      </c>
      <c r="Q27" s="33">
        <f>0</f>
        <v>0</v>
      </c>
      <c r="R27" s="34"/>
      <c r="S27" s="37">
        <f t="shared" si="7"/>
        <v>1970.2562344251476</v>
      </c>
      <c r="T27" s="36">
        <f t="shared" si="8"/>
        <v>1894.4771484857188</v>
      </c>
    </row>
    <row r="28" spans="2:20" x14ac:dyDescent="0.3">
      <c r="B28" s="15">
        <v>10005779</v>
      </c>
      <c r="C28" s="15" t="s">
        <v>26</v>
      </c>
      <c r="D28" s="8">
        <v>37440</v>
      </c>
      <c r="E28" s="1"/>
      <c r="F28" s="29">
        <f>IFERROR(VLOOKUP(B28,[1]Hoja1!$I$25:$J$77,2,0),0)</f>
        <v>1735.8204057279236</v>
      </c>
      <c r="G28" s="1">
        <v>1242.7305209165399</v>
      </c>
      <c r="H28" s="30">
        <f t="shared" si="0"/>
        <v>1489.2754633222316</v>
      </c>
      <c r="I28" s="30" t="s">
        <v>72</v>
      </c>
      <c r="J28" s="41">
        <v>10005779</v>
      </c>
      <c r="K28" s="32">
        <f t="shared" si="1"/>
        <v>37.44</v>
      </c>
      <c r="L28" s="33">
        <f t="shared" si="2"/>
        <v>55758.473346784354</v>
      </c>
      <c r="M28" s="33">
        <f t="shared" si="3"/>
        <v>8995.3343999999997</v>
      </c>
      <c r="N28" s="33">
        <f t="shared" si="4"/>
        <v>1152.9758441116205</v>
      </c>
      <c r="O28" s="33">
        <f t="shared" si="5"/>
        <v>3114.6788436360644</v>
      </c>
      <c r="P28" s="33">
        <f t="shared" si="6"/>
        <v>2268.5873678277667</v>
      </c>
      <c r="Q28" s="33">
        <f>0</f>
        <v>0</v>
      </c>
      <c r="R28" s="34"/>
      <c r="S28" s="37">
        <f t="shared" si="7"/>
        <v>69021.462434532034</v>
      </c>
      <c r="T28" s="36">
        <f t="shared" si="8"/>
        <v>1843.5219667342958</v>
      </c>
    </row>
    <row r="29" spans="2:20" x14ac:dyDescent="0.3">
      <c r="B29" s="15">
        <v>10005776</v>
      </c>
      <c r="C29" s="15" t="s">
        <v>27</v>
      </c>
      <c r="D29" s="8">
        <v>218380</v>
      </c>
      <c r="E29" s="1"/>
      <c r="F29" s="29">
        <f>IFERROR(VLOOKUP(B29,[1]Hoja1!$I$25:$J$77,2,0),0)</f>
        <v>1787.9197545026959</v>
      </c>
      <c r="G29" s="1">
        <v>1242.7305209165399</v>
      </c>
      <c r="H29" s="30">
        <f t="shared" si="0"/>
        <v>1515.325137709618</v>
      </c>
      <c r="I29" s="30" t="s">
        <v>72</v>
      </c>
      <c r="J29" s="41">
        <v>10005779</v>
      </c>
      <c r="K29" s="32">
        <f t="shared" si="1"/>
        <v>218.38</v>
      </c>
      <c r="L29" s="33">
        <f t="shared" si="2"/>
        <v>330916.7035730264</v>
      </c>
      <c r="M29" s="33">
        <f t="shared" si="3"/>
        <v>52467.978799999997</v>
      </c>
      <c r="N29" s="33">
        <f t="shared" si="4"/>
        <v>6725.0765180848202</v>
      </c>
      <c r="O29" s="33">
        <f t="shared" si="5"/>
        <v>18167.296097041766</v>
      </c>
      <c r="P29" s="33">
        <f t="shared" si="6"/>
        <v>13232.214460102234</v>
      </c>
      <c r="Q29" s="33">
        <f>0</f>
        <v>0</v>
      </c>
      <c r="R29" s="34"/>
      <c r="S29" s="37">
        <f t="shared" si="7"/>
        <v>408277.05498815293</v>
      </c>
      <c r="T29" s="36">
        <f t="shared" si="8"/>
        <v>1869.5716411216822</v>
      </c>
    </row>
    <row r="30" spans="2:20" x14ac:dyDescent="0.3">
      <c r="B30" s="15">
        <v>10005781</v>
      </c>
      <c r="C30" s="15" t="s">
        <v>28</v>
      </c>
      <c r="D30" s="8">
        <v>8700</v>
      </c>
      <c r="E30" s="1"/>
      <c r="F30" s="29">
        <f>IFERROR(VLOOKUP(B30,[1]Hoja1!$I$25:$J$77,2,0),0)</f>
        <v>1774.9850374064838</v>
      </c>
      <c r="G30" s="1">
        <v>1541.8894985296599</v>
      </c>
      <c r="H30" s="30">
        <f t="shared" si="0"/>
        <v>1658.4372679680719</v>
      </c>
      <c r="I30" s="30" t="s">
        <v>72</v>
      </c>
      <c r="J30" s="41">
        <v>10005779</v>
      </c>
      <c r="K30" s="32">
        <f t="shared" si="1"/>
        <v>8.6999999999999993</v>
      </c>
      <c r="L30" s="33">
        <f t="shared" si="2"/>
        <v>14428.404231322225</v>
      </c>
      <c r="M30" s="33">
        <f t="shared" si="3"/>
        <v>2090.2620000000002</v>
      </c>
      <c r="N30" s="33">
        <f t="shared" si="4"/>
        <v>267.91906634003999</v>
      </c>
      <c r="O30" s="33">
        <f t="shared" si="5"/>
        <v>723.76351334491881</v>
      </c>
      <c r="P30" s="33">
        <f t="shared" si="6"/>
        <v>527.15571848561876</v>
      </c>
      <c r="Q30" s="33">
        <f>0</f>
        <v>0</v>
      </c>
      <c r="R30" s="34"/>
      <c r="S30" s="37">
        <f t="shared" si="7"/>
        <v>17510.348811007185</v>
      </c>
      <c r="T30" s="36">
        <f t="shared" si="8"/>
        <v>2012.6837713801362</v>
      </c>
    </row>
    <row r="31" spans="2:20" x14ac:dyDescent="0.3">
      <c r="B31" s="16">
        <v>10007567</v>
      </c>
      <c r="C31" s="16" t="s">
        <v>29</v>
      </c>
      <c r="D31" s="8">
        <v>112640</v>
      </c>
      <c r="E31" s="1"/>
      <c r="F31" s="29">
        <f>IFERROR(VLOOKUP(B31,[1]Hoja1!$I$25:$J$77,2,0),0)</f>
        <v>1661.5121916236376</v>
      </c>
      <c r="G31" s="1">
        <v>1541.8894985296599</v>
      </c>
      <c r="H31" s="30">
        <f t="shared" si="0"/>
        <v>1601.7008450766489</v>
      </c>
      <c r="I31" s="30" t="s">
        <v>73</v>
      </c>
      <c r="J31" s="42">
        <v>10007567</v>
      </c>
      <c r="K31" s="32">
        <f t="shared" si="1"/>
        <v>112.64</v>
      </c>
      <c r="L31" s="33">
        <f t="shared" si="2"/>
        <v>180415.58318943373</v>
      </c>
      <c r="M31" s="33">
        <f t="shared" si="3"/>
        <v>27062.886399999999</v>
      </c>
      <c r="N31" s="33">
        <f t="shared" si="4"/>
        <v>3468.7820267289776</v>
      </c>
      <c r="O31" s="33">
        <f t="shared" si="5"/>
        <v>9370.6577176059382</v>
      </c>
      <c r="P31" s="33">
        <f t="shared" si="6"/>
        <v>6825.1517391057587</v>
      </c>
      <c r="Q31" s="33">
        <f>0</f>
        <v>0</v>
      </c>
      <c r="R31" s="34"/>
      <c r="S31" s="37">
        <f t="shared" si="7"/>
        <v>220317.90933376862</v>
      </c>
      <c r="T31" s="36">
        <f t="shared" si="8"/>
        <v>1955.9473484887128</v>
      </c>
    </row>
    <row r="32" spans="2:20" x14ac:dyDescent="0.3">
      <c r="B32" s="16">
        <v>10010107</v>
      </c>
      <c r="C32" s="16" t="s">
        <v>30</v>
      </c>
      <c r="D32" s="8">
        <v>36000</v>
      </c>
      <c r="E32" s="1"/>
      <c r="F32" s="29">
        <f>IFERROR(VLOOKUP(B32,[1]Hoja1!$I$25:$J$77,2,0),0)</f>
        <v>1762.8334268087494</v>
      </c>
      <c r="G32" s="1">
        <v>1541.8894985296599</v>
      </c>
      <c r="H32" s="30">
        <f t="shared" si="0"/>
        <v>1652.3614626692047</v>
      </c>
      <c r="I32" s="30" t="s">
        <v>73</v>
      </c>
      <c r="J32" s="42">
        <v>10007567</v>
      </c>
      <c r="K32" s="32">
        <f t="shared" si="1"/>
        <v>36</v>
      </c>
      <c r="L32" s="33">
        <f t="shared" si="2"/>
        <v>59485.01265609137</v>
      </c>
      <c r="M32" s="33">
        <f t="shared" si="3"/>
        <v>8649.36</v>
      </c>
      <c r="N32" s="33">
        <f t="shared" si="4"/>
        <v>1108.6306193380967</v>
      </c>
      <c r="O32" s="33">
        <f t="shared" si="5"/>
        <v>2994.8835034962162</v>
      </c>
      <c r="P32" s="33">
        <f t="shared" si="6"/>
        <v>2181.3340075266988</v>
      </c>
      <c r="Q32" s="33">
        <f>0</f>
        <v>0</v>
      </c>
      <c r="R32" s="34"/>
      <c r="S32" s="37">
        <f t="shared" si="7"/>
        <v>72237.886778925691</v>
      </c>
      <c r="T32" s="36">
        <f t="shared" si="8"/>
        <v>2006.6079660812693</v>
      </c>
    </row>
    <row r="33" spans="2:20" x14ac:dyDescent="0.3">
      <c r="B33" s="9">
        <v>10009186</v>
      </c>
      <c r="C33" s="9" t="s">
        <v>31</v>
      </c>
      <c r="D33" s="8">
        <v>80</v>
      </c>
      <c r="E33" s="1"/>
      <c r="F33" s="29">
        <f>IFERROR(VLOOKUP(B33,[1]Hoja1!$I$25:$J$77,2,0),0)</f>
        <v>1710.9999999999998</v>
      </c>
      <c r="G33" s="1">
        <v>1541.8894985296599</v>
      </c>
      <c r="H33" s="30">
        <f t="shared" si="0"/>
        <v>1626.4447492648299</v>
      </c>
      <c r="I33" s="30" t="s">
        <v>74</v>
      </c>
      <c r="J33" s="42">
        <v>10007162</v>
      </c>
      <c r="K33" s="32">
        <f t="shared" si="1"/>
        <v>0.08</v>
      </c>
      <c r="L33" s="33">
        <f t="shared" si="2"/>
        <v>130.11557994118638</v>
      </c>
      <c r="M33" s="33">
        <f t="shared" si="3"/>
        <v>19.220800000000001</v>
      </c>
      <c r="N33" s="33">
        <f t="shared" si="4"/>
        <v>2.4636235985291037</v>
      </c>
      <c r="O33" s="33">
        <f t="shared" si="5"/>
        <v>6.6552966744360358</v>
      </c>
      <c r="P33" s="33">
        <f t="shared" si="6"/>
        <v>4.8474089056148859</v>
      </c>
      <c r="Q33" s="33">
        <f>0</f>
        <v>0</v>
      </c>
      <c r="R33" s="34"/>
      <c r="S33" s="37">
        <f t="shared" si="7"/>
        <v>158.45530021415152</v>
      </c>
      <c r="T33" s="36">
        <f t="shared" si="8"/>
        <v>1980.691252676894</v>
      </c>
    </row>
    <row r="34" spans="2:20" x14ac:dyDescent="0.3">
      <c r="B34" s="9">
        <v>10009777</v>
      </c>
      <c r="C34" s="9" t="s">
        <v>32</v>
      </c>
      <c r="D34" s="8">
        <v>760</v>
      </c>
      <c r="E34" s="1"/>
      <c r="F34" s="29">
        <f>IFERROR(VLOOKUP(B34,[1]Hoja1!$I$25:$J$77,2,0),0)</f>
        <v>1504.8592534992224</v>
      </c>
      <c r="G34" s="1">
        <v>1541.8894985296599</v>
      </c>
      <c r="H34" s="30">
        <f t="shared" si="0"/>
        <v>1523.3743760144412</v>
      </c>
      <c r="I34" s="30" t="s">
        <v>74</v>
      </c>
      <c r="J34" s="42">
        <v>10007162</v>
      </c>
      <c r="K34" s="32">
        <f t="shared" si="1"/>
        <v>0.76</v>
      </c>
      <c r="L34" s="33">
        <f t="shared" si="2"/>
        <v>1157.7645257709753</v>
      </c>
      <c r="M34" s="33">
        <f t="shared" si="3"/>
        <v>182.5976</v>
      </c>
      <c r="N34" s="33">
        <f t="shared" si="4"/>
        <v>23.404424186026485</v>
      </c>
      <c r="O34" s="33">
        <f t="shared" si="5"/>
        <v>63.225318407142339</v>
      </c>
      <c r="P34" s="33">
        <f t="shared" si="6"/>
        <v>46.050384603341413</v>
      </c>
      <c r="Q34" s="33">
        <f>0</f>
        <v>0</v>
      </c>
      <c r="R34" s="34"/>
      <c r="S34" s="37">
        <f t="shared" si="7"/>
        <v>1426.9918683641442</v>
      </c>
      <c r="T34" s="36">
        <f t="shared" si="8"/>
        <v>1877.6208794265056</v>
      </c>
    </row>
    <row r="35" spans="2:20" x14ac:dyDescent="0.3">
      <c r="B35" s="9">
        <v>10010108</v>
      </c>
      <c r="C35" s="9" t="s">
        <v>33</v>
      </c>
      <c r="D35" s="8">
        <v>161900</v>
      </c>
      <c r="E35" s="1"/>
      <c r="F35" s="29">
        <f>IFERROR(VLOOKUP(B35,[1]Hoja1!$I$25:$J$77,2,0),0)</f>
        <v>1506.5946932814022</v>
      </c>
      <c r="G35" s="1">
        <v>1541.8894985296599</v>
      </c>
      <c r="H35" s="30">
        <f t="shared" si="0"/>
        <v>1524.2420959055312</v>
      </c>
      <c r="I35" s="30" t="s">
        <v>74</v>
      </c>
      <c r="J35" s="42">
        <v>10007162</v>
      </c>
      <c r="K35" s="32">
        <f t="shared" si="1"/>
        <v>161.9</v>
      </c>
      <c r="L35" s="33">
        <f t="shared" si="2"/>
        <v>246774.7953271055</v>
      </c>
      <c r="M35" s="33">
        <f t="shared" si="3"/>
        <v>38898.093999999997</v>
      </c>
      <c r="N35" s="33">
        <f t="shared" si="4"/>
        <v>4985.7582575232736</v>
      </c>
      <c r="O35" s="33">
        <f t="shared" si="5"/>
        <v>13468.656644889927</v>
      </c>
      <c r="P35" s="33">
        <f t="shared" si="6"/>
        <v>9809.9437727381246</v>
      </c>
      <c r="Q35" s="33">
        <f>0</f>
        <v>0</v>
      </c>
      <c r="R35" s="34"/>
      <c r="S35" s="37">
        <f t="shared" si="7"/>
        <v>304127.30422951869</v>
      </c>
      <c r="T35" s="36">
        <f t="shared" si="8"/>
        <v>1878.4885993175953</v>
      </c>
    </row>
    <row r="36" spans="2:20" x14ac:dyDescent="0.3">
      <c r="B36" s="9">
        <v>10010321</v>
      </c>
      <c r="C36" s="17" t="s">
        <v>34</v>
      </c>
      <c r="D36" s="8">
        <v>280</v>
      </c>
      <c r="E36" s="1"/>
      <c r="F36" s="29">
        <f>IFERROR(VLOOKUP(B36,[1]Hoja1!$I$25:$J$77,2,0),0)</f>
        <v>0</v>
      </c>
      <c r="G36" s="1">
        <v>1541.8894985296599</v>
      </c>
      <c r="H36" s="38">
        <f>G36</f>
        <v>1541.8894985296599</v>
      </c>
      <c r="I36" s="30" t="s">
        <v>74</v>
      </c>
      <c r="J36" s="42">
        <v>10007162</v>
      </c>
      <c r="K36" s="32">
        <f t="shared" si="1"/>
        <v>0.28000000000000003</v>
      </c>
      <c r="L36" s="33">
        <f t="shared" si="2"/>
        <v>431.72905958830478</v>
      </c>
      <c r="M36" s="33">
        <f t="shared" si="3"/>
        <v>67.272800000000004</v>
      </c>
      <c r="N36" s="33">
        <f t="shared" si="4"/>
        <v>8.6226825948518648</v>
      </c>
      <c r="O36" s="33">
        <f t="shared" si="5"/>
        <v>23.293538360526128</v>
      </c>
      <c r="P36" s="33">
        <f t="shared" si="6"/>
        <v>16.965931169652102</v>
      </c>
      <c r="Q36" s="33">
        <f>0</f>
        <v>0</v>
      </c>
      <c r="R36" s="34"/>
      <c r="S36" s="37">
        <f t="shared" si="7"/>
        <v>530.91808054368278</v>
      </c>
      <c r="T36" s="36">
        <f t="shared" si="8"/>
        <v>1896.1360019417241</v>
      </c>
    </row>
    <row r="37" spans="2:20" x14ac:dyDescent="0.3">
      <c r="B37" s="18">
        <v>10009187</v>
      </c>
      <c r="C37" s="18" t="s">
        <v>35</v>
      </c>
      <c r="D37" s="8">
        <v>120</v>
      </c>
      <c r="E37" s="1"/>
      <c r="F37" s="29">
        <f>IFERROR(VLOOKUP(B37,[1]Hoja1!$I$25:$J$77,2,0),0)</f>
        <v>2021.9999999999998</v>
      </c>
      <c r="G37" s="1">
        <v>1541.8894985296599</v>
      </c>
      <c r="H37" s="30">
        <f t="shared" si="0"/>
        <v>1781.9447492648299</v>
      </c>
      <c r="I37" s="30" t="s">
        <v>74</v>
      </c>
      <c r="J37" s="42">
        <v>10007162</v>
      </c>
      <c r="K37" s="32">
        <f t="shared" si="1"/>
        <v>0.12</v>
      </c>
      <c r="L37" s="33">
        <f t="shared" si="2"/>
        <v>213.83336991177958</v>
      </c>
      <c r="M37" s="33">
        <f t="shared" si="3"/>
        <v>28.831199999999995</v>
      </c>
      <c r="N37" s="33">
        <f t="shared" si="4"/>
        <v>3.6954353977936552</v>
      </c>
      <c r="O37" s="33">
        <f t="shared" si="5"/>
        <v>9.9829450116540528</v>
      </c>
      <c r="P37" s="33">
        <f t="shared" si="6"/>
        <v>7.271113358422328</v>
      </c>
      <c r="Q37" s="33">
        <f>0</f>
        <v>0</v>
      </c>
      <c r="R37" s="34"/>
      <c r="S37" s="37">
        <f t="shared" si="7"/>
        <v>256.34295032122731</v>
      </c>
      <c r="T37" s="36">
        <f t="shared" si="8"/>
        <v>2136.1912526768942</v>
      </c>
    </row>
    <row r="38" spans="2:20" x14ac:dyDescent="0.3">
      <c r="B38" s="18">
        <v>10007161</v>
      </c>
      <c r="C38" s="18" t="s">
        <v>36</v>
      </c>
      <c r="D38" s="8">
        <v>14640</v>
      </c>
      <c r="E38" s="1"/>
      <c r="F38" s="29">
        <f>IFERROR(VLOOKUP(B38,[1]Hoja1!$I$25:$J$77,2,0),0)</f>
        <v>1928.2289473684211</v>
      </c>
      <c r="G38" s="1">
        <v>1541.8894985296599</v>
      </c>
      <c r="H38" s="30">
        <f t="shared" si="0"/>
        <v>1735.0592229490405</v>
      </c>
      <c r="I38" s="30" t="s">
        <v>74</v>
      </c>
      <c r="J38" s="42">
        <v>10007162</v>
      </c>
      <c r="K38" s="32">
        <f t="shared" si="1"/>
        <v>14.64</v>
      </c>
      <c r="L38" s="33">
        <f t="shared" si="2"/>
        <v>25401.267023973953</v>
      </c>
      <c r="M38" s="33">
        <f t="shared" si="3"/>
        <v>3517.4063999999998</v>
      </c>
      <c r="N38" s="33">
        <f t="shared" si="4"/>
        <v>450.84311853082596</v>
      </c>
      <c r="O38" s="33">
        <f t="shared" si="5"/>
        <v>1217.9192914217945</v>
      </c>
      <c r="P38" s="33">
        <f t="shared" si="6"/>
        <v>887.07582972752414</v>
      </c>
      <c r="Q38" s="33">
        <f>0</f>
        <v>0</v>
      </c>
      <c r="R38" s="34"/>
      <c r="S38" s="37">
        <f t="shared" si="7"/>
        <v>30587.435833926571</v>
      </c>
      <c r="T38" s="36">
        <f t="shared" si="8"/>
        <v>2089.3057263611045</v>
      </c>
    </row>
    <row r="39" spans="2:20" x14ac:dyDescent="0.3">
      <c r="B39" s="18">
        <v>10009658</v>
      </c>
      <c r="C39" s="18" t="s">
        <v>37</v>
      </c>
      <c r="D39" s="8">
        <v>1960</v>
      </c>
      <c r="E39" s="1"/>
      <c r="F39" s="29">
        <f>IFERROR(VLOOKUP(B39,[1]Hoja1!$I$25:$J$77,2,0),0)</f>
        <v>1849.5051020408164</v>
      </c>
      <c r="G39" s="1">
        <v>1541.8894985296599</v>
      </c>
      <c r="H39" s="30">
        <f t="shared" si="0"/>
        <v>1695.6973002852383</v>
      </c>
      <c r="I39" s="30" t="s">
        <v>74</v>
      </c>
      <c r="J39" s="42">
        <v>10007162</v>
      </c>
      <c r="K39" s="32">
        <f t="shared" si="1"/>
        <v>1.96</v>
      </c>
      <c r="L39" s="33">
        <f t="shared" si="2"/>
        <v>3323.5667085590671</v>
      </c>
      <c r="M39" s="33">
        <f t="shared" si="3"/>
        <v>470.90959999999995</v>
      </c>
      <c r="N39" s="33">
        <f t="shared" si="4"/>
        <v>60.358778163963038</v>
      </c>
      <c r="O39" s="33">
        <f t="shared" si="5"/>
        <v>163.05476852368287</v>
      </c>
      <c r="P39" s="33">
        <f t="shared" si="6"/>
        <v>118.7615181875647</v>
      </c>
      <c r="Q39" s="33">
        <f>0</f>
        <v>0</v>
      </c>
      <c r="R39" s="34"/>
      <c r="S39" s="37">
        <f t="shared" si="7"/>
        <v>4017.8898552467131</v>
      </c>
      <c r="T39" s="36">
        <f t="shared" si="8"/>
        <v>2049.9438036973024</v>
      </c>
    </row>
    <row r="40" spans="2:20" x14ac:dyDescent="0.3">
      <c r="B40" s="18">
        <v>10009639</v>
      </c>
      <c r="C40" s="18" t="s">
        <v>38</v>
      </c>
      <c r="D40" s="8">
        <v>37180</v>
      </c>
      <c r="E40" s="1"/>
      <c r="F40" s="29">
        <f>IFERROR(VLOOKUP(B40,[1]Hoja1!$I$25:$J$77,2,0),0)</f>
        <v>1849.3426573426573</v>
      </c>
      <c r="G40" s="1">
        <v>1541.8894985296599</v>
      </c>
      <c r="H40" s="30">
        <f t="shared" si="0"/>
        <v>1695.6160779361585</v>
      </c>
      <c r="I40" s="30" t="s">
        <v>74</v>
      </c>
      <c r="J40" s="42">
        <v>10007162</v>
      </c>
      <c r="K40" s="32">
        <f t="shared" si="1"/>
        <v>37.18</v>
      </c>
      <c r="L40" s="33">
        <f t="shared" si="2"/>
        <v>63043.005777666374</v>
      </c>
      <c r="M40" s="33">
        <f t="shared" si="3"/>
        <v>8932.8667999999998</v>
      </c>
      <c r="N40" s="33">
        <f t="shared" si="4"/>
        <v>1144.9690674164008</v>
      </c>
      <c r="O40" s="33">
        <f t="shared" si="5"/>
        <v>3093.0491294441472</v>
      </c>
      <c r="P40" s="33">
        <f t="shared" si="6"/>
        <v>2252.833288884518</v>
      </c>
      <c r="Q40" s="33">
        <f>0</f>
        <v>0</v>
      </c>
      <c r="R40" s="34"/>
      <c r="S40" s="37">
        <f t="shared" si="7"/>
        <v>76213.890774526924</v>
      </c>
      <c r="T40" s="36">
        <f t="shared" si="8"/>
        <v>2049.8625813482226</v>
      </c>
    </row>
    <row r="41" spans="2:20" x14ac:dyDescent="0.3">
      <c r="B41" s="18">
        <v>10007163</v>
      </c>
      <c r="C41" s="18" t="s">
        <v>39</v>
      </c>
      <c r="D41" s="8">
        <v>4480</v>
      </c>
      <c r="E41" s="1"/>
      <c r="F41" s="29">
        <f>IFERROR(VLOOKUP(B41,[1]Hoja1!$I$25:$J$77,2,0),0)</f>
        <v>0</v>
      </c>
      <c r="G41" s="1">
        <v>1541.8894985296599</v>
      </c>
      <c r="H41" s="38">
        <f>G41</f>
        <v>1541.8894985296599</v>
      </c>
      <c r="I41" s="30" t="s">
        <v>74</v>
      </c>
      <c r="J41" s="42">
        <v>10007162</v>
      </c>
      <c r="K41" s="32">
        <f t="shared" si="1"/>
        <v>4.4800000000000004</v>
      </c>
      <c r="L41" s="33">
        <f t="shared" si="2"/>
        <v>6907.6649534128765</v>
      </c>
      <c r="M41" s="33">
        <f t="shared" si="3"/>
        <v>1076.3648000000001</v>
      </c>
      <c r="N41" s="33">
        <f t="shared" si="4"/>
        <v>137.96292151762984</v>
      </c>
      <c r="O41" s="33">
        <f t="shared" si="5"/>
        <v>372.69661376841805</v>
      </c>
      <c r="P41" s="33">
        <f t="shared" si="6"/>
        <v>271.45489871443363</v>
      </c>
      <c r="Q41" s="33">
        <f>0</f>
        <v>0</v>
      </c>
      <c r="R41" s="34"/>
      <c r="S41" s="37">
        <f t="shared" si="7"/>
        <v>8494.6892886989244</v>
      </c>
      <c r="T41" s="36">
        <f t="shared" si="8"/>
        <v>1896.1360019417241</v>
      </c>
    </row>
    <row r="42" spans="2:20" x14ac:dyDescent="0.3">
      <c r="B42" s="18">
        <v>10007162</v>
      </c>
      <c r="C42" s="18" t="s">
        <v>40</v>
      </c>
      <c r="D42" s="8">
        <v>331320</v>
      </c>
      <c r="E42" s="1"/>
      <c r="F42" s="43">
        <f>IFERROR(VLOOKUP(B42,[1]Hoja1!$I$25:$J$77,2,0),0)</f>
        <v>1900.3944901030209</v>
      </c>
      <c r="G42" s="1">
        <v>1541.8894985296599</v>
      </c>
      <c r="H42" s="30">
        <f t="shared" si="0"/>
        <v>1721.1419943163405</v>
      </c>
      <c r="I42" s="30" t="s">
        <v>74</v>
      </c>
      <c r="J42" s="42">
        <v>10007162</v>
      </c>
      <c r="K42" s="29">
        <f t="shared" si="1"/>
        <v>331.32</v>
      </c>
      <c r="L42" s="29">
        <f t="shared" si="2"/>
        <v>570248.76555688994</v>
      </c>
      <c r="M42" s="29">
        <f t="shared" si="3"/>
        <v>79602.943200000009</v>
      </c>
      <c r="N42" s="29">
        <f t="shared" si="4"/>
        <v>10203.097133308282</v>
      </c>
      <c r="O42" s="29">
        <f t="shared" si="5"/>
        <v>27562.91117717684</v>
      </c>
      <c r="P42" s="29">
        <f t="shared" si="6"/>
        <v>20075.543982604049</v>
      </c>
      <c r="Q42"/>
      <c r="R42"/>
      <c r="S42" s="37">
        <f t="shared" si="7"/>
        <v>687617.71706737508</v>
      </c>
      <c r="T42" s="36">
        <f t="shared" si="8"/>
        <v>2075.3884977284047</v>
      </c>
    </row>
    <row r="43" spans="2:20" x14ac:dyDescent="0.3">
      <c r="B43" s="18">
        <v>10009336</v>
      </c>
      <c r="C43" s="18" t="s">
        <v>41</v>
      </c>
      <c r="D43" s="8">
        <v>25180</v>
      </c>
      <c r="E43" s="1"/>
      <c r="F43" s="29">
        <f>IFERROR(VLOOKUP(B43,[1]Hoja1!$I$25:$J$77,2,0),0)</f>
        <v>3230.8044090056283</v>
      </c>
      <c r="G43" s="1">
        <v>1136.4944477611941</v>
      </c>
      <c r="H43" s="30">
        <f t="shared" si="0"/>
        <v>2183.6494283834113</v>
      </c>
      <c r="I43" s="30" t="s">
        <v>75</v>
      </c>
      <c r="J43" s="44">
        <v>10009386</v>
      </c>
      <c r="K43" s="32">
        <f t="shared" si="1"/>
        <v>25.18</v>
      </c>
      <c r="L43" s="33">
        <f t="shared" si="2"/>
        <v>54984.292606694296</v>
      </c>
      <c r="M43" s="33">
        <f t="shared" si="3"/>
        <v>6049.7467999999999</v>
      </c>
      <c r="N43" s="33">
        <f t="shared" si="4"/>
        <v>775.42552763703532</v>
      </c>
      <c r="O43" s="33">
        <f t="shared" si="5"/>
        <v>2094.7546282787421</v>
      </c>
      <c r="P43" s="33">
        <f t="shared" si="6"/>
        <v>1525.7219530422851</v>
      </c>
      <c r="Q43" s="33">
        <f>0</f>
        <v>0</v>
      </c>
      <c r="R43" s="34"/>
      <c r="S43" s="37">
        <f t="shared" si="7"/>
        <v>63904.21956261008</v>
      </c>
      <c r="T43" s="36">
        <f t="shared" si="8"/>
        <v>2537.8959317954759</v>
      </c>
    </row>
    <row r="44" spans="2:20" x14ac:dyDescent="0.3">
      <c r="B44" s="19">
        <v>10009239</v>
      </c>
      <c r="C44" s="19" t="s">
        <v>42</v>
      </c>
      <c r="D44" s="8">
        <v>307820</v>
      </c>
      <c r="E44" s="1"/>
      <c r="F44" s="29">
        <f>IFERROR(VLOOKUP(B44,[1]Hoja1!$I$25:$J$77,2,0),0)</f>
        <v>3349.7949029126216</v>
      </c>
      <c r="G44" s="1">
        <v>2714.9272835820893</v>
      </c>
      <c r="H44" s="30">
        <f t="shared" si="0"/>
        <v>3032.3610932473557</v>
      </c>
      <c r="I44" s="30" t="s">
        <v>76</v>
      </c>
      <c r="J44" s="45">
        <v>10009239</v>
      </c>
      <c r="K44" s="32">
        <f t="shared" si="1"/>
        <v>307.82</v>
      </c>
      <c r="L44" s="33">
        <f t="shared" si="2"/>
        <v>933421.39172340103</v>
      </c>
      <c r="M44" s="33">
        <f t="shared" si="3"/>
        <v>73956.833200000008</v>
      </c>
      <c r="N44" s="33">
        <f t="shared" si="4"/>
        <v>9479.4077012403577</v>
      </c>
      <c r="O44" s="33">
        <f t="shared" si="5"/>
        <v>25607.917779061256</v>
      </c>
      <c r="P44" s="33">
        <f t="shared" si="6"/>
        <v>18651.617616579675</v>
      </c>
      <c r="Q44" s="33">
        <f>0</f>
        <v>0</v>
      </c>
      <c r="R44" s="34"/>
      <c r="S44" s="37">
        <f t="shared" si="7"/>
        <v>1042465.5504037027</v>
      </c>
      <c r="T44" s="36">
        <f t="shared" si="8"/>
        <v>3386.6075966594199</v>
      </c>
    </row>
    <row r="45" spans="2:20" x14ac:dyDescent="0.3">
      <c r="B45" s="19">
        <v>10009251</v>
      </c>
      <c r="C45" s="19" t="s">
        <v>43</v>
      </c>
      <c r="D45" s="8">
        <v>7620</v>
      </c>
      <c r="E45" s="1"/>
      <c r="F45" s="29">
        <f>IFERROR(VLOOKUP(B45,[1]Hoja1!$I$25:$J$77,2,0),0)</f>
        <v>3024</v>
      </c>
      <c r="G45" s="1">
        <v>2714.9272835820893</v>
      </c>
      <c r="H45" s="30">
        <f t="shared" si="0"/>
        <v>2869.4636417910447</v>
      </c>
      <c r="I45" s="30" t="s">
        <v>76</v>
      </c>
      <c r="J45" s="45">
        <v>10009239</v>
      </c>
      <c r="K45" s="32">
        <f t="shared" si="1"/>
        <v>7.62</v>
      </c>
      <c r="L45" s="33">
        <f t="shared" si="2"/>
        <v>21865.312950447762</v>
      </c>
      <c r="M45" s="33">
        <f t="shared" si="3"/>
        <v>1830.7811999999999</v>
      </c>
      <c r="N45" s="33">
        <f t="shared" si="4"/>
        <v>234.66014775989714</v>
      </c>
      <c r="O45" s="33">
        <f t="shared" si="5"/>
        <v>633.91700824003237</v>
      </c>
      <c r="P45" s="33">
        <f t="shared" si="6"/>
        <v>461.71569825981788</v>
      </c>
      <c r="Q45" s="33">
        <f>0</f>
        <v>0</v>
      </c>
      <c r="R45" s="34"/>
      <c r="S45" s="37">
        <f t="shared" si="7"/>
        <v>24564.671306447693</v>
      </c>
      <c r="T45" s="36">
        <f t="shared" si="8"/>
        <v>3223.7101452031093</v>
      </c>
    </row>
    <row r="46" spans="2:20" x14ac:dyDescent="0.3">
      <c r="B46" s="10">
        <v>10009241</v>
      </c>
      <c r="C46" s="20" t="s">
        <v>44</v>
      </c>
      <c r="D46" s="8">
        <v>27000</v>
      </c>
      <c r="E46" s="1"/>
      <c r="F46" s="29">
        <f>IFERROR(VLOOKUP(B46,[1]Hoja1!$I$25:$J$77,2,0),0)</f>
        <v>1956.3846153846155</v>
      </c>
      <c r="G46" s="1">
        <v>2368.3601194029852</v>
      </c>
      <c r="H46" s="30">
        <f t="shared" si="0"/>
        <v>2162.3723673938002</v>
      </c>
      <c r="I46" s="30" t="s">
        <v>77</v>
      </c>
      <c r="J46" s="46">
        <v>10009334</v>
      </c>
      <c r="K46" s="32">
        <f t="shared" si="1"/>
        <v>27</v>
      </c>
      <c r="L46" s="33">
        <f t="shared" si="2"/>
        <v>58384.053919632606</v>
      </c>
      <c r="M46" s="33">
        <f t="shared" si="3"/>
        <v>6487.02</v>
      </c>
      <c r="N46" s="33">
        <f t="shared" si="4"/>
        <v>831.47296450357248</v>
      </c>
      <c r="O46" s="33">
        <f t="shared" si="5"/>
        <v>2246.1626276221618</v>
      </c>
      <c r="P46" s="33">
        <f t="shared" si="6"/>
        <v>1636.0005056450238</v>
      </c>
      <c r="Q46" s="33">
        <f>0</f>
        <v>0</v>
      </c>
      <c r="R46" s="34"/>
      <c r="S46" s="37">
        <f t="shared" si="7"/>
        <v>67948.709511758338</v>
      </c>
      <c r="T46" s="36">
        <f t="shared" si="8"/>
        <v>2516.6188708058644</v>
      </c>
    </row>
    <row r="47" spans="2:20" x14ac:dyDescent="0.3">
      <c r="B47" s="10">
        <v>10009331</v>
      </c>
      <c r="C47" s="10" t="s">
        <v>45</v>
      </c>
      <c r="D47" s="8">
        <v>116874</v>
      </c>
      <c r="E47" s="1"/>
      <c r="F47" s="29">
        <f>IFERROR(VLOOKUP(B47,[1]Hoja1!$I$25:$J$77,2,0),0)</f>
        <v>3197.3762726109294</v>
      </c>
      <c r="G47" s="1">
        <v>2368.3601194029852</v>
      </c>
      <c r="H47" s="30">
        <f t="shared" si="0"/>
        <v>2782.8681960069571</v>
      </c>
      <c r="I47" s="30" t="s">
        <v>77</v>
      </c>
      <c r="J47" s="46">
        <v>10009334</v>
      </c>
      <c r="K47" s="32">
        <f t="shared" si="1"/>
        <v>116.874</v>
      </c>
      <c r="L47" s="33">
        <f t="shared" si="2"/>
        <v>325244.93754011707</v>
      </c>
      <c r="M47" s="33">
        <f t="shared" si="3"/>
        <v>28080.147239999998</v>
      </c>
      <c r="N47" s="33">
        <f t="shared" si="4"/>
        <v>3599.1693056811305</v>
      </c>
      <c r="O47" s="33">
        <f t="shared" si="5"/>
        <v>9722.8892941004651</v>
      </c>
      <c r="P47" s="33">
        <f t="shared" si="6"/>
        <v>7081.700855435427</v>
      </c>
      <c r="Q47" s="33">
        <f>0</f>
        <v>0</v>
      </c>
      <c r="R47" s="34"/>
      <c r="S47" s="37">
        <f t="shared" si="7"/>
        <v>366647.14337989868</v>
      </c>
      <c r="T47" s="36">
        <f t="shared" si="8"/>
        <v>3137.1146994190212</v>
      </c>
    </row>
    <row r="48" spans="2:20" x14ac:dyDescent="0.3">
      <c r="B48" s="10">
        <v>10009334</v>
      </c>
      <c r="C48" s="10" t="s">
        <v>46</v>
      </c>
      <c r="D48" s="8">
        <v>3278</v>
      </c>
      <c r="E48" s="1"/>
      <c r="F48" s="29">
        <f>IFERROR(VLOOKUP(B48,[1]Hoja1!$I$25:$J$77,2,0),0)</f>
        <v>3057.26708428246</v>
      </c>
      <c r="G48" s="1">
        <v>1026.8427064676616</v>
      </c>
      <c r="H48" s="30">
        <f t="shared" si="0"/>
        <v>2042.0548953750608</v>
      </c>
      <c r="I48" s="30" t="s">
        <v>77</v>
      </c>
      <c r="J48" s="46">
        <v>10009334</v>
      </c>
      <c r="K48" s="32">
        <f t="shared" si="1"/>
        <v>3.278</v>
      </c>
      <c r="L48" s="33">
        <f t="shared" si="2"/>
        <v>6693.8559470394493</v>
      </c>
      <c r="M48" s="33">
        <f t="shared" si="3"/>
        <v>787.57227999999998</v>
      </c>
      <c r="N48" s="33">
        <f t="shared" si="4"/>
        <v>100.94697694973001</v>
      </c>
      <c r="O48" s="33">
        <f t="shared" si="5"/>
        <v>272.70078123501651</v>
      </c>
      <c r="P48" s="33">
        <f t="shared" si="6"/>
        <v>198.62257990756993</v>
      </c>
      <c r="Q48" s="33">
        <f>0</f>
        <v>0</v>
      </c>
      <c r="R48" s="34"/>
      <c r="S48" s="37">
        <f t="shared" si="7"/>
        <v>7855.0759852241963</v>
      </c>
      <c r="T48" s="36">
        <f t="shared" si="8"/>
        <v>2396.301398787125</v>
      </c>
    </row>
    <row r="49" spans="2:20" x14ac:dyDescent="0.3">
      <c r="B49" s="9">
        <v>10010348</v>
      </c>
      <c r="C49" s="3" t="s">
        <v>47</v>
      </c>
      <c r="D49" s="8">
        <v>45362</v>
      </c>
      <c r="E49" s="1"/>
      <c r="F49" s="29">
        <f>IFERROR(VLOOKUP(B49,[1]Hoja1!$I$25:$J$77,2,0),0)</f>
        <v>0</v>
      </c>
      <c r="G49" s="1">
        <v>1026.8427064676616</v>
      </c>
      <c r="H49" s="38">
        <f>G49</f>
        <v>1026.8427064676616</v>
      </c>
      <c r="I49" s="30" t="s">
        <v>78</v>
      </c>
      <c r="J49" s="45">
        <v>10007050</v>
      </c>
      <c r="K49" s="32">
        <f t="shared" si="1"/>
        <v>45.362000000000002</v>
      </c>
      <c r="L49" s="33">
        <f t="shared" si="2"/>
        <v>46579.638850786068</v>
      </c>
      <c r="M49" s="33">
        <f t="shared" si="3"/>
        <v>10898.67412</v>
      </c>
      <c r="N49" s="33">
        <f t="shared" si="4"/>
        <v>1396.9361709559651</v>
      </c>
      <c r="O49" s="33">
        <f t="shared" si="5"/>
        <v>3773.7195968220931</v>
      </c>
      <c r="P49" s="33">
        <f t="shared" si="6"/>
        <v>2748.6020347062808</v>
      </c>
      <c r="Q49" s="33">
        <f>0</f>
        <v>0</v>
      </c>
      <c r="R49" s="34"/>
      <c r="S49" s="37">
        <f t="shared" si="7"/>
        <v>62648.968738564123</v>
      </c>
      <c r="T49" s="36">
        <f t="shared" si="8"/>
        <v>1381.0892098797258</v>
      </c>
    </row>
    <row r="50" spans="2:20" x14ac:dyDescent="0.3">
      <c r="B50" s="9">
        <v>10009337</v>
      </c>
      <c r="C50" s="9" t="s">
        <v>48</v>
      </c>
      <c r="D50" s="8">
        <v>13895</v>
      </c>
      <c r="E50" s="1"/>
      <c r="F50" s="29">
        <f>IFERROR(VLOOKUP(B50,[1]Hoja1!$I$25:$J$77,2,0),0)</f>
        <v>2586.1533089985714</v>
      </c>
      <c r="G50" s="1">
        <v>1026.8427064676616</v>
      </c>
      <c r="H50" s="30">
        <f t="shared" si="0"/>
        <v>1806.4980077331165</v>
      </c>
      <c r="I50" s="30" t="s">
        <v>78</v>
      </c>
      <c r="J50" s="45">
        <v>10007050</v>
      </c>
      <c r="K50" s="32">
        <f t="shared" si="1"/>
        <v>13.895</v>
      </c>
      <c r="L50" s="33">
        <f t="shared" si="2"/>
        <v>25101.289817451656</v>
      </c>
      <c r="M50" s="33">
        <f t="shared" si="3"/>
        <v>3338.4126999999999</v>
      </c>
      <c r="N50" s="33">
        <f t="shared" si="4"/>
        <v>427.90062376952363</v>
      </c>
      <c r="O50" s="33">
        <f t="shared" si="5"/>
        <v>1155.9418411411089</v>
      </c>
      <c r="P50" s="33">
        <f t="shared" si="6"/>
        <v>841.93433429398533</v>
      </c>
      <c r="Q50" s="33">
        <f>0</f>
        <v>0</v>
      </c>
      <c r="R50" s="34"/>
      <c r="S50" s="37">
        <f t="shared" si="7"/>
        <v>30023.544982362291</v>
      </c>
      <c r="T50" s="36">
        <f t="shared" si="8"/>
        <v>2160.7445111451811</v>
      </c>
    </row>
    <row r="51" spans="2:20" x14ac:dyDescent="0.3">
      <c r="B51" s="9">
        <v>10009332</v>
      </c>
      <c r="C51" s="9" t="s">
        <v>49</v>
      </c>
      <c r="D51" s="8">
        <v>10335</v>
      </c>
      <c r="E51" s="1"/>
      <c r="F51" s="29">
        <f>IFERROR(VLOOKUP(B51,[1]Hoja1!$I$25:$J$77,2,0),0)</f>
        <v>2448.6140628532671</v>
      </c>
      <c r="G51" s="1">
        <v>1026.8427064676616</v>
      </c>
      <c r="H51" s="30">
        <f t="shared" si="0"/>
        <v>1737.7283846604644</v>
      </c>
      <c r="I51" s="30" t="s">
        <v>78</v>
      </c>
      <c r="J51" s="45">
        <v>10007050</v>
      </c>
      <c r="K51" s="32">
        <f t="shared" si="1"/>
        <v>10.335000000000001</v>
      </c>
      <c r="L51" s="33">
        <f t="shared" si="2"/>
        <v>17959.422855465898</v>
      </c>
      <c r="M51" s="33">
        <f t="shared" si="3"/>
        <v>2483.0871000000002</v>
      </c>
      <c r="N51" s="33">
        <f t="shared" si="4"/>
        <v>318.26937363497859</v>
      </c>
      <c r="O51" s="33">
        <f t="shared" si="5"/>
        <v>859.78113912870538</v>
      </c>
      <c r="P51" s="33">
        <f t="shared" si="6"/>
        <v>626.2246379941231</v>
      </c>
      <c r="Q51" s="33"/>
      <c r="R51" s="34"/>
      <c r="S51" s="37">
        <f t="shared" si="7"/>
        <v>21620.560468229585</v>
      </c>
      <c r="T51" s="36">
        <f t="shared" si="8"/>
        <v>2091.9748880725288</v>
      </c>
    </row>
    <row r="52" spans="2:20" ht="15" thickBot="1" x14ac:dyDescent="0.35">
      <c r="B52" s="7">
        <v>10009650</v>
      </c>
      <c r="C52" s="7" t="s">
        <v>50</v>
      </c>
      <c r="D52" s="8">
        <v>69240</v>
      </c>
      <c r="E52" s="1"/>
      <c r="F52" s="29">
        <f>IFERROR(VLOOKUP(B52,[1]Hoja1!$I$25:$J$77,2,0),0)</f>
        <v>0</v>
      </c>
      <c r="G52" s="1">
        <v>1488.5392238806</v>
      </c>
      <c r="H52" s="38">
        <f>G52</f>
        <v>1488.5392238806</v>
      </c>
      <c r="I52" s="30" t="s">
        <v>129</v>
      </c>
      <c r="J52" s="39">
        <v>10009649</v>
      </c>
      <c r="K52" s="47">
        <f t="shared" si="1"/>
        <v>69.239999999999995</v>
      </c>
      <c r="L52" s="48">
        <f t="shared" si="2"/>
        <v>103066.45586149275</v>
      </c>
      <c r="M52" s="48">
        <f t="shared" si="3"/>
        <v>16635.6024</v>
      </c>
      <c r="N52" s="48">
        <f t="shared" si="4"/>
        <v>2132.2662245269389</v>
      </c>
      <c r="O52" s="48">
        <f t="shared" si="5"/>
        <v>5760.1592717243884</v>
      </c>
      <c r="P52" s="48">
        <f t="shared" si="6"/>
        <v>4195.4324078096834</v>
      </c>
      <c r="Q52" s="48">
        <f>0</f>
        <v>0</v>
      </c>
      <c r="R52" s="49"/>
      <c r="S52" s="50">
        <f>SUM(L52:O52)</f>
        <v>127594.48375774409</v>
      </c>
      <c r="T52" s="51">
        <f>IFERROR(S52/K52,0)</f>
        <v>1842.7857272926647</v>
      </c>
    </row>
    <row r="53" spans="2:20" ht="15" thickBot="1" x14ac:dyDescent="0.35">
      <c r="B53" s="59"/>
      <c r="C53" s="59" t="s">
        <v>51</v>
      </c>
      <c r="D53" s="8">
        <f>SUMIF(D5:D52,"&gt;0",D5:D52)</f>
        <v>2043924</v>
      </c>
      <c r="E53" s="1"/>
      <c r="F53"/>
      <c r="G53"/>
      <c r="H53"/>
      <c r="I53"/>
      <c r="J53"/>
      <c r="K53" s="52">
        <f t="shared" ref="K53:Q53" si="9">SUM(K5:K52)</f>
        <v>2043.9240000000002</v>
      </c>
      <c r="L53" s="53">
        <f t="shared" si="9"/>
        <v>3835895.7893810309</v>
      </c>
      <c r="M53" s="53">
        <f t="shared" si="9"/>
        <v>491073.18024000007</v>
      </c>
      <c r="N53" s="53">
        <f t="shared" si="9"/>
        <v>62943.242499999978</v>
      </c>
      <c r="O53" s="53">
        <f t="shared" si="9"/>
        <v>170036.50749999995</v>
      </c>
      <c r="P53" s="53">
        <f t="shared" si="9"/>
        <v>123846.69250000002</v>
      </c>
      <c r="Q53" s="53">
        <f t="shared" si="9"/>
        <v>0</v>
      </c>
      <c r="R53" s="54"/>
      <c r="S53" s="55">
        <f>SUM(S5:S52)</f>
        <v>4559948.7196210315</v>
      </c>
      <c r="T53" s="55">
        <f>IFERROR(S53/K53,0)</f>
        <v>2230.9776291197868</v>
      </c>
    </row>
    <row r="54" spans="2:20" ht="15" thickBot="1" x14ac:dyDescent="0.35">
      <c r="E54" s="1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2:20" ht="15" thickBot="1" x14ac:dyDescent="0.35">
      <c r="F55"/>
      <c r="G55"/>
      <c r="H55"/>
      <c r="I55"/>
      <c r="J55"/>
      <c r="K55"/>
      <c r="L55"/>
      <c r="M55" s="56" t="s">
        <v>79</v>
      </c>
      <c r="N55" s="53">
        <v>62943.2425</v>
      </c>
      <c r="O55" s="53">
        <v>170036.50750000001</v>
      </c>
      <c r="P55" s="53">
        <v>123846.6925</v>
      </c>
      <c r="Q55"/>
      <c r="R55"/>
      <c r="S55"/>
      <c r="T55"/>
    </row>
    <row r="58" spans="2:20" x14ac:dyDescent="0.3">
      <c r="C58" s="5" t="s">
        <v>127</v>
      </c>
      <c r="D58" s="118">
        <f>SUM(D33:D38)</f>
        <v>177780</v>
      </c>
      <c r="E58" s="5">
        <v>2700</v>
      </c>
      <c r="F58" s="5">
        <f>E58*D58/1000</f>
        <v>480006</v>
      </c>
      <c r="I58"/>
      <c r="J58"/>
      <c r="K58" s="23" t="s">
        <v>80</v>
      </c>
      <c r="L58"/>
      <c r="M58"/>
      <c r="N58"/>
      <c r="O58"/>
      <c r="P58"/>
      <c r="Q58"/>
      <c r="R58"/>
      <c r="S58"/>
      <c r="T58"/>
    </row>
    <row r="59" spans="2:20" ht="15" thickBot="1" x14ac:dyDescent="0.35">
      <c r="C59" s="5" t="s">
        <v>128</v>
      </c>
      <c r="D59" s="22">
        <f>SUM(D39:D42)</f>
        <v>374940</v>
      </c>
      <c r="E59" s="5">
        <v>1900</v>
      </c>
      <c r="F59" s="5">
        <f>E59*D59/1000</f>
        <v>712386</v>
      </c>
      <c r="I59"/>
      <c r="J59"/>
      <c r="K59"/>
      <c r="L59"/>
      <c r="M59"/>
      <c r="N59"/>
      <c r="O59"/>
      <c r="P59"/>
      <c r="Q59"/>
      <c r="R59"/>
      <c r="S59"/>
      <c r="T59"/>
    </row>
    <row r="60" spans="2:20" ht="15" thickBot="1" x14ac:dyDescent="0.35">
      <c r="D60" s="118">
        <f>SUM(D58:D59)</f>
        <v>552720</v>
      </c>
      <c r="E60" s="5">
        <f>F60/D60*1000</f>
        <v>2157.3165436387321</v>
      </c>
      <c r="F60" s="5">
        <f>SUM(F58:F59)</f>
        <v>1192392</v>
      </c>
      <c r="I60"/>
      <c r="J60"/>
      <c r="K60" s="25" t="s">
        <v>58</v>
      </c>
      <c r="L60" s="26" t="s">
        <v>59</v>
      </c>
      <c r="M60" s="26" t="s">
        <v>60</v>
      </c>
      <c r="N60" s="26" t="s">
        <v>61</v>
      </c>
      <c r="O60" s="26" t="s">
        <v>62</v>
      </c>
      <c r="P60" s="26" t="s">
        <v>63</v>
      </c>
      <c r="Q60" s="26" t="s">
        <v>64</v>
      </c>
      <c r="R60" s="27" t="s">
        <v>65</v>
      </c>
      <c r="S60" s="28" t="s">
        <v>66</v>
      </c>
      <c r="T60" s="28" t="s">
        <v>67</v>
      </c>
    </row>
    <row r="61" spans="2:20" x14ac:dyDescent="0.3">
      <c r="I61" s="1">
        <v>1.8311059999999999</v>
      </c>
      <c r="J61" t="s">
        <v>81</v>
      </c>
      <c r="K61" s="32">
        <v>0</v>
      </c>
      <c r="L61" s="33">
        <f t="shared" ref="L61:L66" si="10">K61*I61*1000</f>
        <v>0</v>
      </c>
      <c r="M61" s="33">
        <f t="shared" ref="M61:M66" si="11">240.26*K61</f>
        <v>0</v>
      </c>
      <c r="N61" s="33">
        <f t="shared" ref="N61:N66" si="12">K61/$K$67*$N$55</f>
        <v>0</v>
      </c>
      <c r="O61" s="33">
        <f t="shared" ref="O61:O66" si="13">K61/$K$67*$O$55</f>
        <v>0</v>
      </c>
      <c r="P61" s="33">
        <f t="shared" ref="P61:P66" si="14">K61/$K$67*$P$55</f>
        <v>0</v>
      </c>
      <c r="Q61" s="33"/>
      <c r="R61" s="34"/>
      <c r="S61" s="37">
        <f t="shared" ref="S61:S66" si="15">SUM(L61:O61)</f>
        <v>0</v>
      </c>
      <c r="T61" s="36">
        <f t="shared" ref="T61:T67" si="16">IFERROR(S61/K61,0)</f>
        <v>0</v>
      </c>
    </row>
    <row r="62" spans="2:20" x14ac:dyDescent="0.3">
      <c r="I62" s="1">
        <v>1.6520360000000001</v>
      </c>
      <c r="J62" t="s">
        <v>82</v>
      </c>
      <c r="K62" s="32">
        <v>0</v>
      </c>
      <c r="L62" s="33">
        <f t="shared" si="10"/>
        <v>0</v>
      </c>
      <c r="M62" s="33">
        <f t="shared" si="11"/>
        <v>0</v>
      </c>
      <c r="N62" s="33">
        <f t="shared" si="12"/>
        <v>0</v>
      </c>
      <c r="O62" s="33">
        <f t="shared" si="13"/>
        <v>0</v>
      </c>
      <c r="P62" s="33">
        <f t="shared" si="14"/>
        <v>0</v>
      </c>
      <c r="Q62" s="33"/>
      <c r="R62" s="34"/>
      <c r="S62" s="37">
        <f t="shared" si="15"/>
        <v>0</v>
      </c>
      <c r="T62" s="36">
        <f t="shared" si="16"/>
        <v>0</v>
      </c>
    </row>
    <row r="63" spans="2:20" x14ac:dyDescent="0.3">
      <c r="I63" s="1">
        <f>1661.51219162364/1000</f>
        <v>1.6615121916236402</v>
      </c>
      <c r="J63" t="s">
        <v>83</v>
      </c>
      <c r="K63" s="32">
        <f>27*1</f>
        <v>27</v>
      </c>
      <c r="L63" s="33">
        <f t="shared" si="10"/>
        <v>44860.829173838283</v>
      </c>
      <c r="M63" s="33">
        <f t="shared" si="11"/>
        <v>6487.0199999999995</v>
      </c>
      <c r="N63" s="33">
        <f t="shared" si="12"/>
        <v>2539.1715934558488</v>
      </c>
      <c r="O63" s="33">
        <f t="shared" si="13"/>
        <v>6859.3839870013435</v>
      </c>
      <c r="P63" s="33">
        <f t="shared" si="14"/>
        <v>4996.056622590766</v>
      </c>
      <c r="Q63" s="33"/>
      <c r="R63" s="34"/>
      <c r="S63" s="37">
        <f t="shared" si="15"/>
        <v>60746.40475429548</v>
      </c>
      <c r="T63" s="36"/>
    </row>
    <row r="64" spans="2:20" ht="15.6" x14ac:dyDescent="0.3">
      <c r="I64" s="57">
        <f>2846.957/1000</f>
        <v>2.8469569999999997</v>
      </c>
      <c r="J64" s="58" t="s">
        <v>84</v>
      </c>
      <c r="K64" s="32">
        <f>589.2*1+319*0</f>
        <v>589.20000000000005</v>
      </c>
      <c r="L64" s="33">
        <f t="shared" si="10"/>
        <v>1677427.0644</v>
      </c>
      <c r="M64" s="33">
        <f t="shared" si="11"/>
        <v>141561.19200000001</v>
      </c>
      <c r="N64" s="33">
        <f t="shared" si="12"/>
        <v>55410.36677274765</v>
      </c>
      <c r="O64" s="33">
        <f t="shared" si="13"/>
        <v>149687.00167189603</v>
      </c>
      <c r="P64" s="33">
        <f t="shared" si="14"/>
        <v>109025.05785298074</v>
      </c>
      <c r="Q64" s="33"/>
      <c r="R64" s="34"/>
      <c r="S64" s="37">
        <f t="shared" si="15"/>
        <v>2024085.6248446438</v>
      </c>
      <c r="T64" s="36">
        <f t="shared" si="16"/>
        <v>3435.3116511280441</v>
      </c>
    </row>
    <row r="65" spans="9:20" x14ac:dyDescent="0.3">
      <c r="I65" s="1">
        <f>'[2]Resumen Inventario'!E15/1000</f>
        <v>2.7811293631179783</v>
      </c>
      <c r="J65" t="s">
        <v>85</v>
      </c>
      <c r="K65" s="32">
        <f>53.1*1</f>
        <v>53.1</v>
      </c>
      <c r="L65" s="33">
        <f t="shared" si="10"/>
        <v>147677.96918156467</v>
      </c>
      <c r="M65" s="33">
        <f t="shared" si="11"/>
        <v>12757.806</v>
      </c>
      <c r="N65" s="33">
        <f t="shared" si="12"/>
        <v>4993.7041337965029</v>
      </c>
      <c r="O65" s="33">
        <f t="shared" si="13"/>
        <v>13490.121841102644</v>
      </c>
      <c r="P65" s="33">
        <f t="shared" si="14"/>
        <v>9825.578024428507</v>
      </c>
      <c r="Q65" s="33"/>
      <c r="R65" s="34"/>
      <c r="S65" s="37">
        <f t="shared" si="15"/>
        <v>178919.60115646382</v>
      </c>
      <c r="T65" s="36">
        <f t="shared" si="16"/>
        <v>3369.484014246023</v>
      </c>
    </row>
    <row r="66" spans="9:20" ht="15" thickBot="1" x14ac:dyDescent="0.35">
      <c r="I66" s="1">
        <v>2.2466200000000001</v>
      </c>
      <c r="J66" t="s">
        <v>86</v>
      </c>
      <c r="K66" s="47">
        <v>0</v>
      </c>
      <c r="L66" s="48">
        <f t="shared" si="10"/>
        <v>0</v>
      </c>
      <c r="M66" s="48">
        <f t="shared" si="11"/>
        <v>0</v>
      </c>
      <c r="N66" s="48">
        <f t="shared" si="12"/>
        <v>0</v>
      </c>
      <c r="O66" s="48">
        <f t="shared" si="13"/>
        <v>0</v>
      </c>
      <c r="P66" s="48">
        <f t="shared" si="14"/>
        <v>0</v>
      </c>
      <c r="Q66" s="48"/>
      <c r="R66" s="49"/>
      <c r="S66" s="50">
        <f t="shared" si="15"/>
        <v>0</v>
      </c>
      <c r="T66" s="51">
        <f t="shared" si="16"/>
        <v>0</v>
      </c>
    </row>
    <row r="67" spans="9:20" ht="15" thickBot="1" x14ac:dyDescent="0.35">
      <c r="I67"/>
      <c r="J67"/>
      <c r="K67" s="52">
        <f t="shared" ref="K67:S67" si="17">SUM(K61:K66)</f>
        <v>669.30000000000007</v>
      </c>
      <c r="L67" s="53">
        <f t="shared" si="17"/>
        <v>1869965.8627554029</v>
      </c>
      <c r="M67" s="53">
        <f t="shared" si="17"/>
        <v>160806.01800000001</v>
      </c>
      <c r="N67" s="53">
        <f>SUM(N61:N66)</f>
        <v>62943.242500000008</v>
      </c>
      <c r="O67" s="53">
        <f t="shared" si="17"/>
        <v>170036.50750000001</v>
      </c>
      <c r="P67" s="53">
        <f t="shared" si="17"/>
        <v>123846.69250000002</v>
      </c>
      <c r="Q67" s="53">
        <f t="shared" si="17"/>
        <v>0</v>
      </c>
      <c r="R67" s="54">
        <f t="shared" si="17"/>
        <v>0</v>
      </c>
      <c r="S67" s="55">
        <f t="shared" si="17"/>
        <v>2263751.6307554031</v>
      </c>
      <c r="T67" s="55">
        <f t="shared" si="16"/>
        <v>3382.2674895493842</v>
      </c>
    </row>
  </sheetData>
  <conditionalFormatting sqref="D5:D53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Inventario</vt:lpstr>
      <vt:lpstr>Venta Octubre</vt:lpstr>
      <vt:lpstr>TD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Jerecson Frank Ali Encalada (PFRO)</dc:creator>
  <cp:lastModifiedBy>Rodrigo Sebastian Martinez Montalvo (PFRO)</cp:lastModifiedBy>
  <dcterms:created xsi:type="dcterms:W3CDTF">2026-10-19T16:41:18Z</dcterms:created>
  <dcterms:modified xsi:type="dcterms:W3CDTF">2026-10-19T22:23:52Z</dcterms:modified>
</cp:coreProperties>
</file>