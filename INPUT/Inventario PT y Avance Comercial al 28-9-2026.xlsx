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13_ncr:1_{BA65404D-5C1E-413E-BA32-92BEE2F31637}" xr6:coauthVersionLast="47" xr6:coauthVersionMax="47" xr10:uidLastSave="{00000000-0000-0000-0000-000000000000}"/>
  <bookViews>
    <workbookView xWindow="-108" yWindow="-108" windowWidth="23256" windowHeight="13896" xr2:uid="{F868A07B-4C65-411E-816D-6961551D8DCA}"/>
  </bookViews>
  <sheets>
    <sheet name="Resumen Inventario" sheetId="3" r:id="rId1"/>
    <sheet name="Venta Septiembre" sheetId="4" r:id="rId2"/>
    <sheet name="TD" sheetId="2" r:id="rId3"/>
    <sheet name="Stock" sheetId="1" r:id="rId4"/>
  </sheets>
  <externalReferences>
    <externalReference r:id="rId5"/>
    <externalReference r:id="rId6"/>
    <externalReference r:id="rId7"/>
  </externalReferences>
  <definedNames>
    <definedName name="_xlnm._FilterDatabase" localSheetId="3" hidden="1">Stock!$B$4:$D$50</definedName>
    <definedName name="_xlnm._FilterDatabase" localSheetId="1" hidden="1">'Venta Septiembre'!$A$4:$AA$17</definedName>
  </definedNames>
  <calcPr calcId="191029" iterate="1"/>
  <pivotCaches>
    <pivotCache cacheId="5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5" i="4" l="1"/>
  <c r="W6" i="4"/>
  <c r="W7" i="4"/>
  <c r="W8" i="4"/>
  <c r="W9" i="4"/>
  <c r="W10" i="4"/>
  <c r="W11" i="4"/>
  <c r="W12" i="4"/>
  <c r="W13" i="4"/>
  <c r="W14" i="4"/>
  <c r="W15" i="4"/>
  <c r="W16" i="4"/>
  <c r="W17" i="4"/>
  <c r="V19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Q16" i="4"/>
  <c r="Q17" i="4" s="1"/>
  <c r="R17" i="4" s="1"/>
  <c r="O17" i="4"/>
  <c r="O16" i="4"/>
  <c r="Q15" i="4"/>
  <c r="O15" i="4"/>
  <c r="O14" i="4"/>
  <c r="Q8" i="4"/>
  <c r="R8" i="4" s="1"/>
  <c r="Q12" i="4"/>
  <c r="Q13" i="4" s="1"/>
  <c r="R13" i="4" s="1"/>
  <c r="Q9" i="4"/>
  <c r="R9" i="4" s="1"/>
  <c r="Q6" i="4"/>
  <c r="Q7" i="4" s="1"/>
  <c r="Q5" i="4"/>
  <c r="R5" i="4" s="1"/>
  <c r="Z19" i="4"/>
  <c r="X19" i="4"/>
  <c r="U19" i="4"/>
  <c r="O5" i="4"/>
  <c r="T17" i="4"/>
  <c r="T16" i="4"/>
  <c r="T15" i="4"/>
  <c r="T14" i="4"/>
  <c r="T13" i="4"/>
  <c r="O13" i="4"/>
  <c r="T12" i="4"/>
  <c r="O12" i="4"/>
  <c r="T11" i="4"/>
  <c r="R11" i="4"/>
  <c r="O11" i="4"/>
  <c r="T10" i="4"/>
  <c r="R10" i="4"/>
  <c r="O10" i="4"/>
  <c r="T9" i="4"/>
  <c r="O9" i="4"/>
  <c r="T8" i="4"/>
  <c r="T7" i="4"/>
  <c r="O7" i="4"/>
  <c r="T6" i="4"/>
  <c r="O6" i="4"/>
  <c r="T5" i="4"/>
  <c r="H49" i="1"/>
  <c r="H45" i="1"/>
  <c r="H38" i="1"/>
  <c r="H33" i="1"/>
  <c r="H21" i="1"/>
  <c r="H20" i="1"/>
  <c r="H19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K32" i="3"/>
  <c r="D30" i="3"/>
  <c r="E24" i="3"/>
  <c r="E25" i="3"/>
  <c r="E26" i="3"/>
  <c r="E27" i="3"/>
  <c r="E28" i="3"/>
  <c r="E29" i="3"/>
  <c r="F24" i="3"/>
  <c r="G24" i="3"/>
  <c r="H24" i="3"/>
  <c r="I24" i="3"/>
  <c r="J24" i="3"/>
  <c r="F25" i="3"/>
  <c r="G25" i="3"/>
  <c r="H25" i="3"/>
  <c r="I25" i="3"/>
  <c r="J25" i="3"/>
  <c r="F26" i="3"/>
  <c r="G26" i="3"/>
  <c r="H26" i="3"/>
  <c r="I26" i="3"/>
  <c r="J26" i="3"/>
  <c r="F27" i="3"/>
  <c r="G27" i="3"/>
  <c r="H27" i="3"/>
  <c r="I27" i="3"/>
  <c r="J27" i="3"/>
  <c r="F28" i="3"/>
  <c r="G28" i="3"/>
  <c r="H28" i="3"/>
  <c r="I28" i="3"/>
  <c r="J28" i="3"/>
  <c r="F29" i="3"/>
  <c r="G29" i="3"/>
  <c r="H29" i="3"/>
  <c r="I29" i="3"/>
  <c r="J29" i="3"/>
  <c r="D24" i="3"/>
  <c r="D25" i="3"/>
  <c r="D26" i="3"/>
  <c r="D27" i="3"/>
  <c r="D28" i="3"/>
  <c r="D29" i="3"/>
  <c r="F7" i="3"/>
  <c r="M7" i="3" s="1"/>
  <c r="G7" i="3"/>
  <c r="H7" i="3"/>
  <c r="I7" i="3"/>
  <c r="J7" i="3"/>
  <c r="F8" i="3"/>
  <c r="G8" i="3"/>
  <c r="H8" i="3"/>
  <c r="I8" i="3"/>
  <c r="J8" i="3"/>
  <c r="F9" i="3"/>
  <c r="G9" i="3"/>
  <c r="H9" i="3"/>
  <c r="I9" i="3"/>
  <c r="J9" i="3"/>
  <c r="F10" i="3"/>
  <c r="G10" i="3"/>
  <c r="H10" i="3"/>
  <c r="I10" i="3"/>
  <c r="J10" i="3"/>
  <c r="F11" i="3"/>
  <c r="G11" i="3"/>
  <c r="H11" i="3"/>
  <c r="I11" i="3"/>
  <c r="J11" i="3"/>
  <c r="F12" i="3"/>
  <c r="G12" i="3"/>
  <c r="H12" i="3"/>
  <c r="I12" i="3"/>
  <c r="J12" i="3"/>
  <c r="F13" i="3"/>
  <c r="G13" i="3"/>
  <c r="H13" i="3"/>
  <c r="I13" i="3"/>
  <c r="J13" i="3"/>
  <c r="F14" i="3"/>
  <c r="G14" i="3"/>
  <c r="H14" i="3"/>
  <c r="I14" i="3"/>
  <c r="J14" i="3"/>
  <c r="F15" i="3"/>
  <c r="G15" i="3"/>
  <c r="H15" i="3"/>
  <c r="I15" i="3"/>
  <c r="J15" i="3"/>
  <c r="F16" i="3"/>
  <c r="G16" i="3"/>
  <c r="H16" i="3"/>
  <c r="I16" i="3"/>
  <c r="J16" i="3"/>
  <c r="F17" i="3"/>
  <c r="G17" i="3"/>
  <c r="H17" i="3"/>
  <c r="I17" i="3"/>
  <c r="J17" i="3"/>
  <c r="F18" i="3"/>
  <c r="G18" i="3"/>
  <c r="H18" i="3"/>
  <c r="I18" i="3"/>
  <c r="J18" i="3"/>
  <c r="O18" i="3" s="1"/>
  <c r="P18" i="3" s="1"/>
  <c r="F19" i="3"/>
  <c r="G19" i="3"/>
  <c r="H19" i="3"/>
  <c r="I19" i="3"/>
  <c r="J19" i="3"/>
  <c r="D7" i="3"/>
  <c r="R7" i="3" s="1"/>
  <c r="D8" i="3"/>
  <c r="D9" i="3"/>
  <c r="D10" i="3"/>
  <c r="R10" i="3" s="1"/>
  <c r="D11" i="3"/>
  <c r="R11" i="3" s="1"/>
  <c r="D12" i="3"/>
  <c r="E12" i="3" s="1"/>
  <c r="D13" i="3"/>
  <c r="R13" i="3" s="1"/>
  <c r="D14" i="3"/>
  <c r="R14" i="3" s="1"/>
  <c r="D15" i="3"/>
  <c r="R15" i="3" s="1"/>
  <c r="D16" i="3"/>
  <c r="R16" i="3" s="1"/>
  <c r="D17" i="3"/>
  <c r="D18" i="3"/>
  <c r="D19" i="3"/>
  <c r="R19" i="3" s="1"/>
  <c r="K30" i="3"/>
  <c r="J30" i="3"/>
  <c r="I30" i="3"/>
  <c r="H30" i="3"/>
  <c r="Q29" i="3"/>
  <c r="R29" i="3" s="1"/>
  <c r="Q28" i="3"/>
  <c r="R28" i="3" s="1"/>
  <c r="Q27" i="3"/>
  <c r="R27" i="3" s="1"/>
  <c r="Q26" i="3"/>
  <c r="R26" i="3" s="1"/>
  <c r="Q25" i="3"/>
  <c r="Q24" i="3"/>
  <c r="K20" i="3"/>
  <c r="R18" i="3"/>
  <c r="R17" i="3"/>
  <c r="M17" i="3"/>
  <c r="O10" i="3"/>
  <c r="R9" i="3"/>
  <c r="R8" i="3"/>
  <c r="E8" i="3"/>
  <c r="B13" i="2"/>
  <c r="B12" i="2"/>
  <c r="B11" i="2"/>
  <c r="B10" i="2"/>
  <c r="B9" i="2"/>
  <c r="B8" i="2"/>
  <c r="B7" i="2"/>
  <c r="B6" i="2"/>
  <c r="B5" i="2"/>
  <c r="B4" i="2"/>
  <c r="S64" i="1"/>
  <c r="T63" i="1"/>
  <c r="T62" i="1"/>
  <c r="T61" i="1"/>
  <c r="T59" i="1"/>
  <c r="T58" i="1"/>
  <c r="K64" i="1"/>
  <c r="N59" i="1" s="1"/>
  <c r="Q64" i="1"/>
  <c r="R64" i="1"/>
  <c r="O61" i="1"/>
  <c r="O59" i="1"/>
  <c r="M58" i="1"/>
  <c r="M59" i="1"/>
  <c r="M61" i="1"/>
  <c r="M62" i="1"/>
  <c r="M63" i="1"/>
  <c r="L58" i="1"/>
  <c r="L59" i="1"/>
  <c r="L62" i="1"/>
  <c r="L63" i="1"/>
  <c r="I61" i="1"/>
  <c r="L61" i="1" s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9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9" i="1"/>
  <c r="R16" i="4" l="1"/>
  <c r="S16" i="4" s="1"/>
  <c r="AC16" i="4" s="1"/>
  <c r="Q14" i="4"/>
  <c r="R14" i="4" s="1"/>
  <c r="S14" i="4" s="1"/>
  <c r="AC14" i="4" s="1"/>
  <c r="T19" i="4"/>
  <c r="S17" i="4"/>
  <c r="AC17" i="4" s="1"/>
  <c r="S11" i="4"/>
  <c r="AC11" i="4" s="1"/>
  <c r="S9" i="4"/>
  <c r="S5" i="4"/>
  <c r="AC5" i="4" s="1"/>
  <c r="S13" i="4"/>
  <c r="AC13" i="4" s="1"/>
  <c r="AC9" i="4"/>
  <c r="R6" i="4"/>
  <c r="R7" i="4"/>
  <c r="S7" i="4" s="1"/>
  <c r="S10" i="4"/>
  <c r="R15" i="4"/>
  <c r="S15" i="4" s="1"/>
  <c r="O8" i="4"/>
  <c r="S8" i="4" s="1"/>
  <c r="R12" i="4"/>
  <c r="S12" i="4" s="1"/>
  <c r="E19" i="4"/>
  <c r="O14" i="3"/>
  <c r="G20" i="3"/>
  <c r="G32" i="3" s="1"/>
  <c r="O19" i="3"/>
  <c r="E17" i="3"/>
  <c r="R24" i="3"/>
  <c r="M64" i="1"/>
  <c r="O16" i="3"/>
  <c r="P16" i="3" s="1"/>
  <c r="M13" i="3"/>
  <c r="S13" i="3" s="1"/>
  <c r="T13" i="3" s="1"/>
  <c r="O13" i="3"/>
  <c r="R12" i="3"/>
  <c r="S12" i="3" s="1"/>
  <c r="T12" i="3" s="1"/>
  <c r="O17" i="3"/>
  <c r="P17" i="3" s="1"/>
  <c r="M10" i="3"/>
  <c r="N10" i="3" s="1"/>
  <c r="M14" i="3"/>
  <c r="S14" i="3" s="1"/>
  <c r="T14" i="3" s="1"/>
  <c r="M19" i="3"/>
  <c r="U19" i="3" s="1"/>
  <c r="V19" i="3" s="1"/>
  <c r="I20" i="3"/>
  <c r="I32" i="3" s="1"/>
  <c r="R25" i="3"/>
  <c r="O11" i="3"/>
  <c r="P11" i="3" s="1"/>
  <c r="M18" i="3"/>
  <c r="N18" i="3" s="1"/>
  <c r="H20" i="3"/>
  <c r="H32" i="3" s="1"/>
  <c r="E16" i="3"/>
  <c r="N7" i="3"/>
  <c r="S18" i="3"/>
  <c r="T18" i="3" s="1"/>
  <c r="M16" i="3"/>
  <c r="N16" i="3" s="1"/>
  <c r="E11" i="3"/>
  <c r="E18" i="3"/>
  <c r="O7" i="3"/>
  <c r="P7" i="3" s="1"/>
  <c r="E13" i="3"/>
  <c r="P14" i="3"/>
  <c r="E10" i="3"/>
  <c r="E7" i="3"/>
  <c r="P10" i="3"/>
  <c r="P13" i="3"/>
  <c r="E19" i="3"/>
  <c r="E15" i="3"/>
  <c r="E14" i="3"/>
  <c r="P19" i="3"/>
  <c r="U17" i="3"/>
  <c r="V17" i="3" s="1"/>
  <c r="N17" i="3"/>
  <c r="J20" i="3"/>
  <c r="J32" i="3" s="1"/>
  <c r="R30" i="3"/>
  <c r="O9" i="3"/>
  <c r="P9" i="3" s="1"/>
  <c r="M9" i="3"/>
  <c r="N9" i="3" s="1"/>
  <c r="U14" i="3"/>
  <c r="V14" i="3" s="1"/>
  <c r="O12" i="3"/>
  <c r="P12" i="3" s="1"/>
  <c r="M12" i="3"/>
  <c r="N12" i="3" s="1"/>
  <c r="E9" i="3"/>
  <c r="S17" i="3"/>
  <c r="T17" i="3" s="1"/>
  <c r="G30" i="3"/>
  <c r="M8" i="3"/>
  <c r="S8" i="3" s="1"/>
  <c r="T8" i="3" s="1"/>
  <c r="S19" i="3"/>
  <c r="T19" i="3" s="1"/>
  <c r="F20" i="3"/>
  <c r="F32" i="3" s="1"/>
  <c r="O15" i="3"/>
  <c r="P15" i="3" s="1"/>
  <c r="M15" i="3"/>
  <c r="N15" i="3" s="1"/>
  <c r="M11" i="3"/>
  <c r="O8" i="3"/>
  <c r="P8" i="3" s="1"/>
  <c r="D20" i="3"/>
  <c r="D32" i="3" s="1"/>
  <c r="Q50" i="1"/>
  <c r="K50" i="1"/>
  <c r="N21" i="1" s="1"/>
  <c r="N10" i="1"/>
  <c r="T64" i="1"/>
  <c r="P26" i="1"/>
  <c r="L64" i="1"/>
  <c r="N58" i="1"/>
  <c r="O58" i="1"/>
  <c r="O62" i="1"/>
  <c r="O63" i="1"/>
  <c r="P63" i="1"/>
  <c r="P62" i="1"/>
  <c r="N63" i="1"/>
  <c r="P61" i="1"/>
  <c r="N62" i="1"/>
  <c r="P59" i="1"/>
  <c r="N61" i="1"/>
  <c r="P58" i="1"/>
  <c r="R19" i="4" l="1"/>
  <c r="AC12" i="4"/>
  <c r="AC15" i="4"/>
  <c r="S6" i="4"/>
  <c r="S19" i="4" s="1"/>
  <c r="X16" i="4"/>
  <c r="X12" i="4"/>
  <c r="X8" i="4"/>
  <c r="U5" i="4"/>
  <c r="X15" i="4"/>
  <c r="X11" i="4"/>
  <c r="Z14" i="4"/>
  <c r="Z10" i="4"/>
  <c r="X7" i="4"/>
  <c r="U14" i="4"/>
  <c r="Z5" i="4"/>
  <c r="X17" i="4"/>
  <c r="X13" i="4"/>
  <c r="X9" i="4"/>
  <c r="U6" i="4"/>
  <c r="Z16" i="4"/>
  <c r="Z8" i="4"/>
  <c r="X5" i="4"/>
  <c r="U15" i="4"/>
  <c r="U11" i="4"/>
  <c r="Z6" i="4"/>
  <c r="X14" i="4"/>
  <c r="X10" i="4"/>
  <c r="U7" i="4"/>
  <c r="Z17" i="4"/>
  <c r="Z13" i="4"/>
  <c r="Z9" i="4"/>
  <c r="X6" i="4"/>
  <c r="U10" i="4"/>
  <c r="Z12" i="4"/>
  <c r="Z15" i="4"/>
  <c r="U13" i="4"/>
  <c r="Z7" i="4"/>
  <c r="U12" i="4"/>
  <c r="Z11" i="4"/>
  <c r="U9" i="4"/>
  <c r="U16" i="4"/>
  <c r="U8" i="4"/>
  <c r="U17" i="4"/>
  <c r="AC10" i="4"/>
  <c r="AC8" i="4"/>
  <c r="O19" i="4"/>
  <c r="AC7" i="4"/>
  <c r="U10" i="3"/>
  <c r="V10" i="3" s="1"/>
  <c r="U13" i="3"/>
  <c r="V13" i="3" s="1"/>
  <c r="N13" i="3"/>
  <c r="U15" i="3"/>
  <c r="V15" i="3" s="1"/>
  <c r="U18" i="3"/>
  <c r="V18" i="3" s="1"/>
  <c r="S10" i="3"/>
  <c r="T10" i="3" s="1"/>
  <c r="N19" i="3"/>
  <c r="N22" i="1"/>
  <c r="O44" i="1"/>
  <c r="N12" i="1"/>
  <c r="N24" i="1"/>
  <c r="N13" i="1"/>
  <c r="N25" i="1"/>
  <c r="P45" i="1"/>
  <c r="O29" i="1"/>
  <c r="N15" i="1"/>
  <c r="O31" i="1"/>
  <c r="N17" i="1"/>
  <c r="N37" i="1"/>
  <c r="N45" i="1"/>
  <c r="N29" i="1"/>
  <c r="O12" i="1"/>
  <c r="P33" i="1"/>
  <c r="N23" i="1"/>
  <c r="O17" i="1"/>
  <c r="O26" i="1"/>
  <c r="N5" i="1"/>
  <c r="O6" i="1"/>
  <c r="P25" i="1"/>
  <c r="O32" i="1"/>
  <c r="O36" i="1"/>
  <c r="P37" i="1"/>
  <c r="S16" i="3"/>
  <c r="T16" i="3" s="1"/>
  <c r="S7" i="3"/>
  <c r="N14" i="3"/>
  <c r="U16" i="3"/>
  <c r="V16" i="3" s="1"/>
  <c r="U7" i="3"/>
  <c r="V7" i="3" s="1"/>
  <c r="R20" i="3"/>
  <c r="R32" i="3" s="1"/>
  <c r="Q32" i="3" s="1"/>
  <c r="S15" i="3"/>
  <c r="T15" i="3" s="1"/>
  <c r="M20" i="3"/>
  <c r="M32" i="3" s="1"/>
  <c r="S9" i="3"/>
  <c r="T9" i="3" s="1"/>
  <c r="U12" i="3"/>
  <c r="V12" i="3" s="1"/>
  <c r="P27" i="1"/>
  <c r="P49" i="1"/>
  <c r="N34" i="1"/>
  <c r="O5" i="1"/>
  <c r="O37" i="1"/>
  <c r="P39" i="1"/>
  <c r="N49" i="1"/>
  <c r="O35" i="1"/>
  <c r="P13" i="1"/>
  <c r="O47" i="1"/>
  <c r="N6" i="1"/>
  <c r="N43" i="1"/>
  <c r="P34" i="1"/>
  <c r="N26" i="1"/>
  <c r="P38" i="1"/>
  <c r="N36" i="1"/>
  <c r="P18" i="1"/>
  <c r="P43" i="1"/>
  <c r="O18" i="1"/>
  <c r="P14" i="1"/>
  <c r="P32" i="1"/>
  <c r="O40" i="1"/>
  <c r="P5" i="1"/>
  <c r="O13" i="1"/>
  <c r="O49" i="1"/>
  <c r="P30" i="1"/>
  <c r="P46" i="1"/>
  <c r="N19" i="1"/>
  <c r="O38" i="1"/>
  <c r="P42" i="1"/>
  <c r="P17" i="1"/>
  <c r="N27" i="1"/>
  <c r="N18" i="1"/>
  <c r="P44" i="1"/>
  <c r="N16" i="1"/>
  <c r="N47" i="1"/>
  <c r="N38" i="1"/>
  <c r="N7" i="1"/>
  <c r="P29" i="1"/>
  <c r="N41" i="1"/>
  <c r="N32" i="1"/>
  <c r="O14" i="1"/>
  <c r="N30" i="1"/>
  <c r="P22" i="1"/>
  <c r="O39" i="1"/>
  <c r="O7" i="1"/>
  <c r="P41" i="1"/>
  <c r="P31" i="1"/>
  <c r="N46" i="1"/>
  <c r="O28" i="1"/>
  <c r="N44" i="1"/>
  <c r="O22" i="1"/>
  <c r="N39" i="1"/>
  <c r="P9" i="1"/>
  <c r="O33" i="1"/>
  <c r="O15" i="1"/>
  <c r="P21" i="1"/>
  <c r="N42" i="1"/>
  <c r="P19" i="1"/>
  <c r="N20" i="1"/>
  <c r="O11" i="1"/>
  <c r="P12" i="1"/>
  <c r="N35" i="1"/>
  <c r="P28" i="1"/>
  <c r="O45" i="1"/>
  <c r="O43" i="1"/>
  <c r="O19" i="1"/>
  <c r="P15" i="1"/>
  <c r="P47" i="1"/>
  <c r="P24" i="1"/>
  <c r="P16" i="1"/>
  <c r="N20" i="3"/>
  <c r="R34" i="3"/>
  <c r="R35" i="3" s="1"/>
  <c r="Q30" i="3"/>
  <c r="E20" i="3"/>
  <c r="S37" i="3"/>
  <c r="T7" i="3"/>
  <c r="Q20" i="3"/>
  <c r="M24" i="3"/>
  <c r="F30" i="3"/>
  <c r="E30" i="3" s="1"/>
  <c r="N11" i="3"/>
  <c r="U11" i="3"/>
  <c r="V11" i="3" s="1"/>
  <c r="S11" i="3"/>
  <c r="T11" i="3" s="1"/>
  <c r="O20" i="3"/>
  <c r="O32" i="3" s="1"/>
  <c r="P32" i="3" s="1"/>
  <c r="U8" i="3"/>
  <c r="V8" i="3" s="1"/>
  <c r="N8" i="3"/>
  <c r="U9" i="3"/>
  <c r="V9" i="3" s="1"/>
  <c r="N8" i="1"/>
  <c r="P64" i="1"/>
  <c r="P40" i="1"/>
  <c r="O27" i="1"/>
  <c r="N31" i="1"/>
  <c r="N33" i="1"/>
  <c r="O42" i="1"/>
  <c r="O16" i="1"/>
  <c r="O34" i="1"/>
  <c r="O23" i="1"/>
  <c r="N40" i="1"/>
  <c r="O8" i="1"/>
  <c r="O9" i="1"/>
  <c r="O41" i="1"/>
  <c r="P6" i="1"/>
  <c r="P8" i="1"/>
  <c r="N14" i="1"/>
  <c r="O30" i="1"/>
  <c r="P7" i="1"/>
  <c r="O24" i="1"/>
  <c r="P11" i="1"/>
  <c r="O10" i="1"/>
  <c r="N9" i="1"/>
  <c r="O20" i="1"/>
  <c r="O21" i="1"/>
  <c r="N11" i="1"/>
  <c r="P20" i="1"/>
  <c r="P36" i="1"/>
  <c r="N28" i="1"/>
  <c r="O46" i="1"/>
  <c r="P35" i="1"/>
  <c r="O25" i="1"/>
  <c r="P23" i="1"/>
  <c r="P10" i="1"/>
  <c r="N64" i="1"/>
  <c r="O64" i="1"/>
  <c r="AA15" i="4" l="1"/>
  <c r="AF15" i="4" s="1"/>
  <c r="AD15" i="4"/>
  <c r="Y15" i="4"/>
  <c r="AE15" i="4" s="1"/>
  <c r="AA12" i="4"/>
  <c r="AF12" i="4" s="1"/>
  <c r="AD12" i="4"/>
  <c r="Y12" i="4"/>
  <c r="AE12" i="4" s="1"/>
  <c r="AD8" i="4"/>
  <c r="AA8" i="4"/>
  <c r="AF8" i="4" s="1"/>
  <c r="Y8" i="4"/>
  <c r="AE8" i="4" s="1"/>
  <c r="Y7" i="4"/>
  <c r="AE7" i="4" s="1"/>
  <c r="AD7" i="4"/>
  <c r="AA7" i="4"/>
  <c r="AF7" i="4" s="1"/>
  <c r="AD5" i="4"/>
  <c r="AA5" i="4"/>
  <c r="Y5" i="4"/>
  <c r="AD13" i="4"/>
  <c r="Y13" i="4"/>
  <c r="AE13" i="4" s="1"/>
  <c r="AA13" i="4"/>
  <c r="AF13" i="4" s="1"/>
  <c r="AD9" i="4"/>
  <c r="Y9" i="4"/>
  <c r="AE9" i="4" s="1"/>
  <c r="AA9" i="4"/>
  <c r="AF9" i="4" s="1"/>
  <c r="AA11" i="4"/>
  <c r="AF11" i="4" s="1"/>
  <c r="AD11" i="4"/>
  <c r="Y11" i="4"/>
  <c r="AE11" i="4" s="1"/>
  <c r="AA14" i="4"/>
  <c r="AF14" i="4" s="1"/>
  <c r="Y14" i="4"/>
  <c r="AE14" i="4" s="1"/>
  <c r="AD14" i="4"/>
  <c r="AA10" i="4"/>
  <c r="AF10" i="4" s="1"/>
  <c r="Y10" i="4"/>
  <c r="AE10" i="4" s="1"/>
  <c r="AD10" i="4"/>
  <c r="AD17" i="4"/>
  <c r="AA17" i="4"/>
  <c r="AF17" i="4" s="1"/>
  <c r="Y17" i="4"/>
  <c r="AE17" i="4" s="1"/>
  <c r="AC6" i="4"/>
  <c r="AC19" i="4"/>
  <c r="AA16" i="4"/>
  <c r="AF16" i="4" s="1"/>
  <c r="AD16" i="4"/>
  <c r="Y16" i="4"/>
  <c r="AE16" i="4" s="1"/>
  <c r="O24" i="3"/>
  <c r="P24" i="3" s="1"/>
  <c r="E32" i="3"/>
  <c r="O26" i="3"/>
  <c r="P26" i="3" s="1"/>
  <c r="M26" i="3"/>
  <c r="P20" i="3"/>
  <c r="O29" i="3"/>
  <c r="P29" i="3" s="1"/>
  <c r="M29" i="3"/>
  <c r="S20" i="3"/>
  <c r="S32" i="3" s="1"/>
  <c r="M27" i="3"/>
  <c r="M30" i="3" s="1"/>
  <c r="O27" i="3"/>
  <c r="P27" i="3" s="1"/>
  <c r="U20" i="3"/>
  <c r="U32" i="3" s="1"/>
  <c r="O25" i="3"/>
  <c r="P25" i="3" s="1"/>
  <c r="M25" i="3"/>
  <c r="M28" i="3"/>
  <c r="O28" i="3"/>
  <c r="P28" i="3" s="1"/>
  <c r="N24" i="3"/>
  <c r="S24" i="3"/>
  <c r="U24" i="3"/>
  <c r="AA6" i="4" l="1"/>
  <c r="AF6" i="4" s="1"/>
  <c r="Y6" i="4"/>
  <c r="AE6" i="4" s="1"/>
  <c r="AD6" i="4"/>
  <c r="W19" i="4"/>
  <c r="AD19" i="4" s="1"/>
  <c r="AE5" i="4"/>
  <c r="AF5" i="4"/>
  <c r="S35" i="3"/>
  <c r="S36" i="3" s="1"/>
  <c r="N30" i="3"/>
  <c r="N32" i="3"/>
  <c r="T20" i="3"/>
  <c r="N29" i="3"/>
  <c r="S29" i="3"/>
  <c r="T29" i="3" s="1"/>
  <c r="U29" i="3"/>
  <c r="V29" i="3" s="1"/>
  <c r="N28" i="3"/>
  <c r="S28" i="3"/>
  <c r="T28" i="3" s="1"/>
  <c r="U28" i="3"/>
  <c r="V28" i="3" s="1"/>
  <c r="N25" i="3"/>
  <c r="S25" i="3"/>
  <c r="T25" i="3" s="1"/>
  <c r="U25" i="3"/>
  <c r="V25" i="3" s="1"/>
  <c r="N26" i="3"/>
  <c r="U26" i="3"/>
  <c r="V26" i="3" s="1"/>
  <c r="S26" i="3"/>
  <c r="T26" i="3" s="1"/>
  <c r="O30" i="3"/>
  <c r="V24" i="3"/>
  <c r="T24" i="3"/>
  <c r="N27" i="3"/>
  <c r="U27" i="3"/>
  <c r="V27" i="3" s="1"/>
  <c r="S27" i="3"/>
  <c r="T27" i="3" s="1"/>
  <c r="V20" i="3"/>
  <c r="Y19" i="4" l="1"/>
  <c r="AE19" i="4" s="1"/>
  <c r="AA19" i="4"/>
  <c r="AF19" i="4" s="1"/>
  <c r="U30" i="3"/>
  <c r="P30" i="3"/>
  <c r="S30" i="3"/>
  <c r="T30" i="3" l="1"/>
  <c r="T32" i="3"/>
  <c r="V30" i="3"/>
  <c r="V32" i="3"/>
  <c r="P50" i="1" l="1"/>
  <c r="O50" i="1"/>
  <c r="N50" i="1"/>
  <c r="M5" i="1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9" i="1"/>
  <c r="L49" i="1"/>
  <c r="L45" i="1"/>
  <c r="L38" i="1"/>
  <c r="S38" i="1" s="1"/>
  <c r="T38" i="1" s="1"/>
  <c r="L33" i="1"/>
  <c r="L21" i="1"/>
  <c r="L20" i="1"/>
  <c r="L19" i="1"/>
  <c r="S19" i="1" s="1"/>
  <c r="T19" i="1" s="1"/>
  <c r="H17" i="1"/>
  <c r="L17" i="1" s="1"/>
  <c r="H6" i="1"/>
  <c r="L6" i="1" s="1"/>
  <c r="H7" i="1"/>
  <c r="L7" i="1" s="1"/>
  <c r="H8" i="1"/>
  <c r="L8" i="1" s="1"/>
  <c r="H9" i="1"/>
  <c r="L9" i="1" s="1"/>
  <c r="H10" i="1"/>
  <c r="L10" i="1" s="1"/>
  <c r="H11" i="1"/>
  <c r="L11" i="1" s="1"/>
  <c r="S11" i="1" s="1"/>
  <c r="T11" i="1" s="1"/>
  <c r="H12" i="1"/>
  <c r="L12" i="1" s="1"/>
  <c r="S12" i="1" s="1"/>
  <c r="T12" i="1" s="1"/>
  <c r="H13" i="1"/>
  <c r="L13" i="1" s="1"/>
  <c r="S13" i="1" s="1"/>
  <c r="T13" i="1" s="1"/>
  <c r="H14" i="1"/>
  <c r="L14" i="1" s="1"/>
  <c r="S14" i="1" s="1"/>
  <c r="T14" i="1" s="1"/>
  <c r="H15" i="1"/>
  <c r="L15" i="1" s="1"/>
  <c r="S15" i="1" s="1"/>
  <c r="T15" i="1" s="1"/>
  <c r="H16" i="1"/>
  <c r="L16" i="1" s="1"/>
  <c r="S16" i="1" s="1"/>
  <c r="T16" i="1" s="1"/>
  <c r="H18" i="1"/>
  <c r="L18" i="1" s="1"/>
  <c r="H22" i="1"/>
  <c r="L22" i="1" s="1"/>
  <c r="H23" i="1"/>
  <c r="L23" i="1" s="1"/>
  <c r="S23" i="1" s="1"/>
  <c r="T23" i="1" s="1"/>
  <c r="H24" i="1"/>
  <c r="L24" i="1" s="1"/>
  <c r="S24" i="1" s="1"/>
  <c r="T24" i="1" s="1"/>
  <c r="H25" i="1"/>
  <c r="L25" i="1" s="1"/>
  <c r="S25" i="1" s="1"/>
  <c r="T25" i="1" s="1"/>
  <c r="H26" i="1"/>
  <c r="L26" i="1" s="1"/>
  <c r="S26" i="1" s="1"/>
  <c r="T26" i="1" s="1"/>
  <c r="H27" i="1"/>
  <c r="L27" i="1" s="1"/>
  <c r="S27" i="1" s="1"/>
  <c r="T27" i="1" s="1"/>
  <c r="H28" i="1"/>
  <c r="L28" i="1" s="1"/>
  <c r="S28" i="1" s="1"/>
  <c r="T28" i="1" s="1"/>
  <c r="H29" i="1"/>
  <c r="L29" i="1" s="1"/>
  <c r="H30" i="1"/>
  <c r="L30" i="1" s="1"/>
  <c r="H31" i="1"/>
  <c r="L31" i="1" s="1"/>
  <c r="H32" i="1"/>
  <c r="L32" i="1" s="1"/>
  <c r="H34" i="1"/>
  <c r="L34" i="1" s="1"/>
  <c r="H35" i="1"/>
  <c r="L35" i="1" s="1"/>
  <c r="S35" i="1" s="1"/>
  <c r="T35" i="1" s="1"/>
  <c r="H36" i="1"/>
  <c r="L36" i="1" s="1"/>
  <c r="S36" i="1" s="1"/>
  <c r="T36" i="1" s="1"/>
  <c r="H37" i="1"/>
  <c r="L37" i="1" s="1"/>
  <c r="S37" i="1" s="1"/>
  <c r="T37" i="1" s="1"/>
  <c r="H39" i="1"/>
  <c r="L39" i="1" s="1"/>
  <c r="S39" i="1" s="1"/>
  <c r="T39" i="1" s="1"/>
  <c r="H40" i="1"/>
  <c r="L40" i="1" s="1"/>
  <c r="S40" i="1" s="1"/>
  <c r="T40" i="1" s="1"/>
  <c r="H41" i="1"/>
  <c r="L41" i="1" s="1"/>
  <c r="H42" i="1"/>
  <c r="L42" i="1" s="1"/>
  <c r="H43" i="1"/>
  <c r="L43" i="1" s="1"/>
  <c r="H44" i="1"/>
  <c r="L44" i="1" s="1"/>
  <c r="H46" i="1"/>
  <c r="L46" i="1" s="1"/>
  <c r="H47" i="1"/>
  <c r="L47" i="1" s="1"/>
  <c r="S47" i="1" s="1"/>
  <c r="T47" i="1" s="1"/>
  <c r="F49" i="1"/>
  <c r="H5" i="1"/>
  <c r="L5" i="1" s="1"/>
  <c r="S5" i="1" l="1"/>
  <c r="T5" i="1" s="1"/>
  <c r="S20" i="1"/>
  <c r="T20" i="1" s="1"/>
  <c r="S33" i="1"/>
  <c r="T33" i="1" s="1"/>
  <c r="S49" i="1"/>
  <c r="T49" i="1" s="1"/>
  <c r="S32" i="1"/>
  <c r="T32" i="1" s="1"/>
  <c r="S21" i="1"/>
  <c r="T21" i="1" s="1"/>
  <c r="S45" i="1"/>
  <c r="T45" i="1" s="1"/>
  <c r="S22" i="1"/>
  <c r="T22" i="1" s="1"/>
  <c r="S31" i="1"/>
  <c r="T31" i="1" s="1"/>
  <c r="S7" i="1"/>
  <c r="T7" i="1" s="1"/>
  <c r="S42" i="1"/>
  <c r="T42" i="1" s="1"/>
  <c r="S18" i="1"/>
  <c r="T18" i="1" s="1"/>
  <c r="S6" i="1"/>
  <c r="T6" i="1" s="1"/>
  <c r="S46" i="1"/>
  <c r="T46" i="1" s="1"/>
  <c r="S34" i="1"/>
  <c r="T34" i="1" s="1"/>
  <c r="S10" i="1"/>
  <c r="T10" i="1" s="1"/>
  <c r="S9" i="1"/>
  <c r="T9" i="1" s="1"/>
  <c r="S44" i="1"/>
  <c r="T44" i="1" s="1"/>
  <c r="S8" i="1"/>
  <c r="T8" i="1" s="1"/>
  <c r="S43" i="1"/>
  <c r="T43" i="1" s="1"/>
  <c r="S30" i="1"/>
  <c r="T30" i="1" s="1"/>
  <c r="S41" i="1"/>
  <c r="T41" i="1" s="1"/>
  <c r="S29" i="1"/>
  <c r="T29" i="1" s="1"/>
  <c r="S17" i="1"/>
  <c r="T17" i="1" s="1"/>
  <c r="M50" i="1"/>
  <c r="L50" i="1"/>
  <c r="D50" i="1"/>
  <c r="S50" i="1" l="1"/>
  <c r="T5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tc={3C416F70-4759-4137-AA64-50ADCB91BB6A}</author>
    <author>tc={9B22AF00-E908-4F1C-BFE9-9E9DA2E9AE6B}</author>
    <author>tc={D506453D-E882-4143-BA82-F0515F6D2D08}</author>
  </authors>
  <commentList>
    <comment ref="Q24" authorId="0" shapeId="0" xr:uid="{3C416F70-4759-4137-AA64-50ADCB91BB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Precio venta 1500</t>
      </text>
    </comment>
    <comment ref="Q26" authorId="1" shapeId="0" xr:uid="{9B22AF00-E908-4F1C-BFE9-9E9DA2E9AE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Precio de venta 2275</t>
      </text>
    </comment>
    <comment ref="Q27" authorId="2" shapeId="0" xr:uid="{D506453D-E882-4143-BA82-F0515F6D2D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Precio venta 3400</t>
      </text>
    </comment>
  </commentList>
</comments>
</file>

<file path=xl/sharedStrings.xml><?xml version="1.0" encoding="utf-8"?>
<sst xmlns="http://schemas.openxmlformats.org/spreadsheetml/2006/main" count="386" uniqueCount="208">
  <si>
    <t>CODIGO</t>
  </si>
  <si>
    <t>PRODUCTO</t>
  </si>
  <si>
    <t>POTA ALAS FR C/P C/C (B) S/COD BL10 S20</t>
  </si>
  <si>
    <t>POTA ALAS FR C/P C/C &lt;0.5 BL10 S20</t>
  </si>
  <si>
    <t>POTA ALAS FR C/P C/C 0.5-1 BL10 S20</t>
  </si>
  <si>
    <t>STOCK LIBRE</t>
  </si>
  <si>
    <t>POTA ALAS FR C/P C/C 1-2 BL10 S20  ENTERA</t>
  </si>
  <si>
    <t>POTA LABIOS FR S/COD BL10 S20</t>
  </si>
  <si>
    <t>POTA CONOS</t>
  </si>
  <si>
    <t xml:space="preserve">POTA FILETE C/M C/T FR 1-2 BL10 S20  </t>
  </si>
  <si>
    <t>POTA FILETE C/M C/T FR 2-4  S20</t>
  </si>
  <si>
    <t xml:space="preserve">POTA FILETE C/M C/T FR &lt;0.5 Kg AA BL10 S20  </t>
  </si>
  <si>
    <t xml:space="preserve">POTA FILETE C/M C/T FR 2-4  (AA) BL10 S20  </t>
  </si>
  <si>
    <t>POTA FILETE C/M C/T FR 1.0 - 3.0 AA BL10 S20</t>
  </si>
  <si>
    <t>POTA FILETE C/M C/T FR 1-2 AA BL10 S20  JAPON</t>
  </si>
  <si>
    <t>POTA FILETE C/M C/T FR 1-2 AA BL10 S20  50% ROSADO</t>
  </si>
  <si>
    <t xml:space="preserve">POTA FILETE SM ST 1-2 CM/ESP </t>
  </si>
  <si>
    <t>POTA FILETE C/M C/T 4.0 - UP BL10 S20</t>
  </si>
  <si>
    <t>POTA MANTO C/M C/T FR 2.0 - 4.0 BL10 S20</t>
  </si>
  <si>
    <t>POTA MANTO C/M C/T FR 2.0 - 4.0 AA BL10 S20</t>
  </si>
  <si>
    <t>POTA NUCAS FR ABIERTAS 0.1 - 0.3 BL10 S2</t>
  </si>
  <si>
    <t>POTA NUCAS FR CERRADA 0.1 - 0.3 BL10 S2</t>
  </si>
  <si>
    <t>POTA NUCAS FR CERRADA &lt;0.1 BL10 S2</t>
  </si>
  <si>
    <t>POTA NUCAS FR ABIERTAS 0.5-1 BL10 S20</t>
  </si>
  <si>
    <t>POTA NUCAS FR ABIERTAS 0.3-0.5 BL10 S20</t>
  </si>
  <si>
    <t>POTA NUCAS FR ABIERTAS 1-2 BL10 S20</t>
  </si>
  <si>
    <t>POTA REJOS OR FR LIMPIOS S/COD BL10 S20</t>
  </si>
  <si>
    <t>POTA REJOS OR FR LIMPIOS &lt;60 cm BL10 S20</t>
  </si>
  <si>
    <t>POTA REJOS FR C/U C/V S/OR 0.1-0.3 BL10</t>
  </si>
  <si>
    <t>POTA REJOS FR  C/U C/V S/OR 0.3-0.5BL10</t>
  </si>
  <si>
    <t>POTA REJOS FR  C/U C/V S/OR 0.5-1.0 BL10</t>
  </si>
  <si>
    <t>POTA REJOS FR C/B S/U S/V S/OR 3.0 - UP BL10 S20</t>
  </si>
  <si>
    <t>POTA REJOS FR C/B S/U S/V S/OR 0.3-0.5 BL10</t>
  </si>
  <si>
    <t>POTA REJOS FR C/B S/U S/V S/OR 0.5-1 BL1 0</t>
  </si>
  <si>
    <t>POTA REJOS FR C/B C/U C/V S/OR 1.0  up BL 10S20</t>
  </si>
  <si>
    <t>POTA REJOS FR C/B S/U S/V S/OR 2-UP BL10</t>
  </si>
  <si>
    <t>POTA REJOS FR C/B S/U S/V S/OR 2.0 -3.0 BL10 S20</t>
  </si>
  <si>
    <t xml:space="preserve">POTA REJOS FR C/B S/U S/V S/OR 1-2 BL10  </t>
  </si>
  <si>
    <t>VENTOSAS DE REJOS</t>
  </si>
  <si>
    <t xml:space="preserve">POTA FILETE PRE COCIDO S/M S/T C/P S/COD  </t>
  </si>
  <si>
    <t>POTA FILETE PRE COCIDO S/M S/T C/P 0.6-1.0</t>
  </si>
  <si>
    <t>POTA ALAS PRE COC 0.3up BL9 S18</t>
  </si>
  <si>
    <t>POTA ALAS PRE COC B BL9 S18</t>
  </si>
  <si>
    <t>POTA RECORTES PRE COC BL9 S18</t>
  </si>
  <si>
    <t>POTA RECORTES LAM PRE COC (M) BL7.5 S15</t>
  </si>
  <si>
    <t>POTA RECORTES LAM PRE COC (T) BL7.5 S15</t>
  </si>
  <si>
    <t>ALAS FR PARA REPROCESO</t>
  </si>
  <si>
    <t>TOTAL LIBRE</t>
  </si>
  <si>
    <t>FILETE FRESCO</t>
  </si>
  <si>
    <t>REJOS</t>
  </si>
  <si>
    <t>CU Producción</t>
  </si>
  <si>
    <t>Al cierre de Agosto</t>
  </si>
  <si>
    <t>Simulador Septiembre</t>
  </si>
  <si>
    <t>REPRODUCTORES</t>
  </si>
  <si>
    <t>Promedio CU</t>
  </si>
  <si>
    <t>CÓDIGO</t>
  </si>
  <si>
    <t>ALAS FRESCAS</t>
  </si>
  <si>
    <t>CONOS</t>
  </si>
  <si>
    <t>MANTO</t>
  </si>
  <si>
    <t>NUCAS</t>
  </si>
  <si>
    <t>VENTOSAS</t>
  </si>
  <si>
    <t>DARUMA</t>
  </si>
  <si>
    <t>ALAS COCIDAS</t>
  </si>
  <si>
    <t>RECORTES</t>
  </si>
  <si>
    <t>ALAS REPROCESO</t>
  </si>
  <si>
    <t>totales</t>
  </si>
  <si>
    <t>TM en Stock</t>
  </si>
  <si>
    <t>Costo Ventas</t>
  </si>
  <si>
    <t>Gasto Ventas</t>
  </si>
  <si>
    <t>Gasto ADM</t>
  </si>
  <si>
    <t>Gasto Fin</t>
  </si>
  <si>
    <t>Depreciación</t>
  </si>
  <si>
    <t>Utilidad Neta</t>
  </si>
  <si>
    <t>Margen Neto</t>
  </si>
  <si>
    <t>Venta Equilibrio</t>
  </si>
  <si>
    <t>Precio Equilibrio x TM</t>
  </si>
  <si>
    <t>Daruma</t>
  </si>
  <si>
    <t>Filete</t>
  </si>
  <si>
    <t>Alas</t>
  </si>
  <si>
    <t>Alas Cocidas</t>
  </si>
  <si>
    <t>Recortes</t>
  </si>
  <si>
    <t>STOCK EN PAITA</t>
  </si>
  <si>
    <t>STOCK EN CHINA (FUENTE: CUADRO DE EXPORTACIONES DE ROXANA)</t>
  </si>
  <si>
    <t>Suma de TM en Stock</t>
  </si>
  <si>
    <t>Etiquetas de fila</t>
  </si>
  <si>
    <t>Total general</t>
  </si>
  <si>
    <t>Suma de Costo Ventas</t>
  </si>
  <si>
    <t>Suma de Gasto Ventas</t>
  </si>
  <si>
    <t>Suma de Gasto ADM</t>
  </si>
  <si>
    <t>Suma de Gasto Fin</t>
  </si>
  <si>
    <t>Suma de Depreciación</t>
  </si>
  <si>
    <t>STOCK SEPTIEMBRE</t>
  </si>
  <si>
    <t>POTA FILETE CONGELADO</t>
  </si>
  <si>
    <t>POTA NUCAS CONGELADAS</t>
  </si>
  <si>
    <t>POTA ALAS CONGELADAS</t>
  </si>
  <si>
    <t>POTA RECORTES COCIDOS</t>
  </si>
  <si>
    <t>POTA REJOS CONGELADOS</t>
  </si>
  <si>
    <t>POTA REPRODUCTORES</t>
  </si>
  <si>
    <t>POTA FILETE DARUMA</t>
  </si>
  <si>
    <t>POTA ALAS COCIDAS</t>
  </si>
  <si>
    <t>OTROS</t>
  </si>
  <si>
    <t>FILETE PARA REPROCESO</t>
  </si>
  <si>
    <t>ALAS PARA REPROCESO</t>
  </si>
  <si>
    <t>PERU FROST</t>
  </si>
  <si>
    <t>RENTABILIDAD DEL INVENTARIO</t>
  </si>
  <si>
    <t>Código</t>
  </si>
  <si>
    <t>Producto</t>
  </si>
  <si>
    <t>TM en 
Stock Libre</t>
  </si>
  <si>
    <t>CU</t>
  </si>
  <si>
    <t>Venta Equilibrio 
a Utd Neta</t>
  </si>
  <si>
    <t>Precio Equilibrio 
x TM a Utd Neta</t>
  </si>
  <si>
    <t>Venta Equilibro 
a EBITDA</t>
  </si>
  <si>
    <t>Precio Equilibrio 
x TM a EBITDA</t>
  </si>
  <si>
    <t>Precio Mercado</t>
  </si>
  <si>
    <t>Venta total</t>
  </si>
  <si>
    <t>Utilidad</t>
  </si>
  <si>
    <t>Mg Neto</t>
  </si>
  <si>
    <t>EBITDA</t>
  </si>
  <si>
    <t>Mg EBITDA</t>
  </si>
  <si>
    <t>TOTAL</t>
  </si>
  <si>
    <t>STOCK DE CHINA</t>
  </si>
  <si>
    <t>venta stock julio + china</t>
  </si>
  <si>
    <t>costo financiero mes</t>
  </si>
  <si>
    <t>costo financiero por tm</t>
  </si>
  <si>
    <t>costo almacenamiento mensual</t>
  </si>
  <si>
    <t>AVANCE COMERCIAL AL 28-9-2026</t>
  </si>
  <si>
    <t>(en blanco)</t>
  </si>
  <si>
    <t>Rejos</t>
  </si>
  <si>
    <t>VENTA DE SEPTIEMBRE 2026</t>
  </si>
  <si>
    <t>MES</t>
  </si>
  <si>
    <t>FP</t>
  </si>
  <si>
    <t>Fecha FP</t>
  </si>
  <si>
    <t>Fecha Embarque</t>
  </si>
  <si>
    <t xml:space="preserve"> Cantidad </t>
  </si>
  <si>
    <t>Corte</t>
  </si>
  <si>
    <t>Espec.</t>
  </si>
  <si>
    <t>País</t>
  </si>
  <si>
    <t xml:space="preserve">Puerto </t>
  </si>
  <si>
    <t>Cliente (Razón Social)</t>
  </si>
  <si>
    <t xml:space="preserve">Contacto </t>
  </si>
  <si>
    <t>Stock</t>
  </si>
  <si>
    <t>Precio TM</t>
  </si>
  <si>
    <t>VENTA 
CFR</t>
  </si>
  <si>
    <t>Costo 
Ventas</t>
  </si>
  <si>
    <t>Utilidad 
Bruta</t>
  </si>
  <si>
    <t>Gasto 
Ventas</t>
  </si>
  <si>
    <t>Gasto 
Adm</t>
  </si>
  <si>
    <t>Utilidad 
Operativa</t>
  </si>
  <si>
    <t>Gasto 
Financiero</t>
  </si>
  <si>
    <t>Utilidad 
Neta</t>
  </si>
  <si>
    <t>Margen 
Bruto</t>
  </si>
  <si>
    <t>Margen 
Operativo</t>
  </si>
  <si>
    <t>Margen 
Neto</t>
  </si>
  <si>
    <t>Margen 
EBITDA</t>
  </si>
  <si>
    <t>SEPTIEMBRE</t>
  </si>
  <si>
    <t>276-2026</t>
  </si>
  <si>
    <t>Rejos Re</t>
  </si>
  <si>
    <t>+  60 CM , SUCKERS OFF</t>
  </si>
  <si>
    <t>Mexico</t>
  </si>
  <si>
    <t>Manzanillo</t>
  </si>
  <si>
    <t>GOLDEN SEAFOOD</t>
  </si>
  <si>
    <t>alexander</t>
  </si>
  <si>
    <t>277-2026</t>
  </si>
  <si>
    <t>POTA NUCAS</t>
  </si>
  <si>
    <t>Nucas</t>
  </si>
  <si>
    <t>500-1000</t>
  </si>
  <si>
    <t>Tailandia</t>
  </si>
  <si>
    <t>Lat Krabang</t>
  </si>
  <si>
    <t xml:space="preserve">TSUJINO </t>
  </si>
  <si>
    <t>Jose</t>
  </si>
  <si>
    <t xml:space="preserve"> 1 - 2</t>
  </si>
  <si>
    <t>282-2026</t>
  </si>
  <si>
    <t xml:space="preserve">Filete </t>
  </si>
  <si>
    <t>cm ct 2-4 AA</t>
  </si>
  <si>
    <t xml:space="preserve">China </t>
  </si>
  <si>
    <t>Qingdao</t>
  </si>
  <si>
    <t>SACRAMENTO CO., LTD</t>
  </si>
  <si>
    <t>julia</t>
  </si>
  <si>
    <t>China</t>
  </si>
  <si>
    <t>278-2026</t>
  </si>
  <si>
    <t>Conos</t>
  </si>
  <si>
    <t>DAIRECK S.A.</t>
  </si>
  <si>
    <t>Julieta</t>
  </si>
  <si>
    <t>285-2026</t>
  </si>
  <si>
    <t>300 - 500</t>
  </si>
  <si>
    <t>Shenzhen Yueshi Supply</t>
  </si>
  <si>
    <t>susan</t>
  </si>
  <si>
    <t>500 - 1000</t>
  </si>
  <si>
    <t>RD FP 257</t>
  </si>
  <si>
    <t>Xiamen</t>
  </si>
  <si>
    <t>286-2026</t>
  </si>
  <si>
    <t>POTA RECORTES</t>
  </si>
  <si>
    <t xml:space="preserve">Recortes cocidos </t>
  </si>
  <si>
    <t>España</t>
  </si>
  <si>
    <t>Vigo</t>
  </si>
  <si>
    <t>PESCIRO</t>
  </si>
  <si>
    <t>Francisco</t>
  </si>
  <si>
    <t>287-2026</t>
  </si>
  <si>
    <t>Paita</t>
  </si>
  <si>
    <t>STOCK PAITA</t>
  </si>
  <si>
    <t>James</t>
  </si>
  <si>
    <t>JAMES</t>
  </si>
  <si>
    <t>Alas coc</t>
  </si>
  <si>
    <t>259-2026</t>
  </si>
  <si>
    <t>265-2026</t>
  </si>
  <si>
    <t>275-2026A</t>
  </si>
  <si>
    <t>Flete</t>
  </si>
  <si>
    <t>Drawback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</si>
</sst>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7" formatCode="0.0%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mbria"/>
      <family val="1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Cambria"/>
      <family val="1"/>
    </font>
    <font>
      <sz val="11"/>
      <color theme="1"/>
      <name val="Cambria"/>
      <family val="1"/>
    </font>
    <font>
      <sz val="1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indexed="81"/>
      <name val="Tahoma"/>
      <family val="2"/>
    </font>
    <font>
      <sz val="11"/>
      <color theme="1"/>
      <name val="Calibri"/>
      <family val="2"/>
      <charset val="1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249977111117893"/>
        <bgColor theme="9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129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/>
    <xf numFmtId="164" fontId="0" fillId="0" borderId="0" xfId="0" applyNumberFormat="1"/>
    <xf numFmtId="0" fontId="2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0" fontId="2" fillId="0" borderId="1" xfId="0" applyFont="1" applyBorder="1"/>
    <xf numFmtId="164" fontId="2" fillId="0" borderId="1" xfId="1" applyNumberFormat="1" applyFont="1" applyBorder="1"/>
    <xf numFmtId="0" fontId="2" fillId="0" borderId="0" xfId="0" applyFont="1" applyAlignment="1">
      <alignment horizontal="center"/>
    </xf>
    <xf numFmtId="43" fontId="0" fillId="0" borderId="0" xfId="0" applyNumberFormat="1"/>
    <xf numFmtId="0" fontId="3" fillId="0" borderId="0" xfId="0" applyFont="1" applyAlignment="1">
      <alignment horizontal="center" vertical="center"/>
    </xf>
    <xf numFmtId="0" fontId="0" fillId="2" borderId="2" xfId="0" applyFill="1" applyBorder="1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0" fontId="0" fillId="4" borderId="2" xfId="0" applyFill="1" applyBorder="1" applyAlignment="1">
      <alignment horizontal="center" vertical="top"/>
    </xf>
    <xf numFmtId="0" fontId="0" fillId="5" borderId="2" xfId="0" applyFill="1" applyBorder="1" applyAlignment="1">
      <alignment horizontal="center" vertical="top"/>
    </xf>
    <xf numFmtId="0" fontId="0" fillId="6" borderId="2" xfId="0" applyFill="1" applyBorder="1" applyAlignment="1">
      <alignment horizontal="center" vertical="top"/>
    </xf>
    <xf numFmtId="0" fontId="0" fillId="7" borderId="2" xfId="0" applyFill="1" applyBorder="1" applyAlignment="1">
      <alignment horizontal="center" vertical="top"/>
    </xf>
    <xf numFmtId="0" fontId="0" fillId="0" borderId="3" xfId="0" applyBorder="1" applyAlignment="1">
      <alignment horizontal="center"/>
    </xf>
    <xf numFmtId="164" fontId="3" fillId="0" borderId="4" xfId="1" applyNumberFormat="1" applyFont="1" applyBorder="1"/>
    <xf numFmtId="0" fontId="3" fillId="8" borderId="5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9" fontId="3" fillId="0" borderId="4" xfId="0" applyNumberFormat="1" applyFont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164" fontId="0" fillId="0" borderId="7" xfId="1" applyNumberFormat="1" applyFont="1" applyBorder="1"/>
    <xf numFmtId="164" fontId="7" fillId="0" borderId="0" xfId="1" applyNumberFormat="1" applyFont="1" applyBorder="1"/>
    <xf numFmtId="43" fontId="7" fillId="0" borderId="0" xfId="1" applyFont="1" applyBorder="1"/>
    <xf numFmtId="164" fontId="7" fillId="0" borderId="0" xfId="1" applyNumberFormat="1" applyFont="1" applyBorder="1" applyAlignment="1">
      <alignment horizontal="center"/>
    </xf>
    <xf numFmtId="164" fontId="7" fillId="6" borderId="8" xfId="1" applyNumberFormat="1" applyFont="1" applyFill="1" applyBorder="1"/>
    <xf numFmtId="164" fontId="7" fillId="6" borderId="9" xfId="1" applyNumberFormat="1" applyFont="1" applyFill="1" applyBorder="1"/>
    <xf numFmtId="164" fontId="7" fillId="6" borderId="10" xfId="1" applyNumberFormat="1" applyFont="1" applyFill="1" applyBorder="1"/>
    <xf numFmtId="164" fontId="0" fillId="0" borderId="11" xfId="1" applyNumberFormat="1" applyFont="1" applyBorder="1"/>
    <xf numFmtId="164" fontId="7" fillId="0" borderId="12" xfId="1" applyNumberFormat="1" applyFont="1" applyBorder="1"/>
    <xf numFmtId="164" fontId="7" fillId="0" borderId="12" xfId="1" applyNumberFormat="1" applyFont="1" applyBorder="1" applyAlignment="1">
      <alignment horizontal="center"/>
    </xf>
    <xf numFmtId="164" fontId="7" fillId="6" borderId="13" xfId="1" applyNumberFormat="1" applyFont="1" applyFill="1" applyBorder="1"/>
    <xf numFmtId="164" fontId="7" fillId="6" borderId="14" xfId="1" applyNumberFormat="1" applyFont="1" applyFill="1" applyBorder="1"/>
    <xf numFmtId="164" fontId="3" fillId="0" borderId="5" xfId="1" applyNumberFormat="1" applyFont="1" applyBorder="1"/>
    <xf numFmtId="164" fontId="3" fillId="0" borderId="4" xfId="1" applyNumberFormat="1" applyFont="1" applyBorder="1" applyAlignment="1">
      <alignment horizontal="center"/>
    </xf>
    <xf numFmtId="164" fontId="3" fillId="6" borderId="6" xfId="1" applyNumberFormat="1" applyFont="1" applyFill="1" applyBorder="1"/>
    <xf numFmtId="0" fontId="8" fillId="9" borderId="0" xfId="0" applyFont="1" applyFill="1"/>
    <xf numFmtId="43" fontId="9" fillId="0" borderId="0" xfId="1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0" fillId="0" borderId="0" xfId="0" applyFont="1"/>
    <xf numFmtId="0" fontId="5" fillId="0" borderId="0" xfId="0" applyFont="1"/>
    <xf numFmtId="0" fontId="0" fillId="0" borderId="15" xfId="0" applyBorder="1"/>
    <xf numFmtId="0" fontId="0" fillId="0" borderId="15" xfId="0" applyBorder="1" applyAlignment="1">
      <alignment vertical="top"/>
    </xf>
    <xf numFmtId="0" fontId="1" fillId="0" borderId="0" xfId="2"/>
    <xf numFmtId="0" fontId="11" fillId="0" borderId="0" xfId="2" applyFont="1"/>
    <xf numFmtId="0" fontId="2" fillId="0" borderId="0" xfId="2" applyFont="1"/>
    <xf numFmtId="164" fontId="1" fillId="0" borderId="0" xfId="2" applyNumberFormat="1"/>
    <xf numFmtId="167" fontId="0" fillId="0" borderId="0" xfId="3" applyNumberFormat="1" applyFont="1"/>
    <xf numFmtId="43" fontId="1" fillId="0" borderId="0" xfId="2" applyNumberFormat="1"/>
    <xf numFmtId="0" fontId="2" fillId="11" borderId="0" xfId="2" applyFont="1" applyFill="1" applyAlignment="1">
      <alignment horizontal="center"/>
    </xf>
    <xf numFmtId="0" fontId="2" fillId="0" borderId="5" xfId="2" applyFont="1" applyBorder="1" applyAlignment="1">
      <alignment horizontal="center"/>
    </xf>
    <xf numFmtId="0" fontId="2" fillId="0" borderId="4" xfId="2" applyFont="1" applyBorder="1" applyAlignment="1">
      <alignment horizontal="center"/>
    </xf>
    <xf numFmtId="0" fontId="2" fillId="0" borderId="16" xfId="2" applyFont="1" applyBorder="1" applyAlignment="1">
      <alignment horizontal="center"/>
    </xf>
    <xf numFmtId="0" fontId="2" fillId="10" borderId="17" xfId="2" applyFont="1" applyFill="1" applyBorder="1" applyAlignment="1">
      <alignment vertical="center"/>
    </xf>
    <xf numFmtId="0" fontId="2" fillId="0" borderId="1" xfId="2" applyFont="1" applyBorder="1" applyAlignment="1">
      <alignment horizontal="center" vertical="center"/>
    </xf>
    <xf numFmtId="0" fontId="2" fillId="8" borderId="18" xfId="2" applyFont="1" applyFill="1" applyBorder="1" applyAlignment="1">
      <alignment horizontal="center" vertical="center" wrapText="1"/>
    </xf>
    <xf numFmtId="0" fontId="2" fillId="8" borderId="19" xfId="2" applyFont="1" applyFill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2" fillId="0" borderId="4" xfId="2" applyFont="1" applyBorder="1" applyAlignment="1">
      <alignment horizontal="center" vertical="center"/>
    </xf>
    <xf numFmtId="9" fontId="2" fillId="0" borderId="4" xfId="2" applyNumberFormat="1" applyFont="1" applyBorder="1" applyAlignment="1">
      <alignment horizontal="center" vertical="center"/>
    </xf>
    <xf numFmtId="0" fontId="12" fillId="6" borderId="6" xfId="2" applyFont="1" applyFill="1" applyBorder="1" applyAlignment="1">
      <alignment horizontal="center" vertical="center" wrapText="1"/>
    </xf>
    <xf numFmtId="0" fontId="12" fillId="0" borderId="6" xfId="2" applyFont="1" applyBorder="1" applyAlignment="1">
      <alignment horizontal="center" vertical="center"/>
    </xf>
    <xf numFmtId="0" fontId="1" fillId="0" borderId="0" xfId="2" applyAlignment="1">
      <alignment vertical="center"/>
    </xf>
    <xf numFmtId="0" fontId="1" fillId="0" borderId="0" xfId="2" applyAlignment="1">
      <alignment horizontal="left"/>
    </xf>
    <xf numFmtId="0" fontId="1" fillId="0" borderId="15" xfId="2" applyBorder="1"/>
    <xf numFmtId="1" fontId="1" fillId="8" borderId="20" xfId="2" applyNumberFormat="1" applyFill="1" applyBorder="1" applyAlignment="1">
      <alignment horizontal="center"/>
    </xf>
    <xf numFmtId="164" fontId="0" fillId="8" borderId="21" xfId="4" applyNumberFormat="1" applyFont="1" applyFill="1" applyBorder="1" applyAlignment="1">
      <alignment horizontal="center"/>
    </xf>
    <xf numFmtId="164" fontId="0" fillId="0" borderId="0" xfId="4" applyNumberFormat="1" applyFont="1"/>
    <xf numFmtId="164" fontId="0" fillId="0" borderId="0" xfId="4" applyNumberFormat="1" applyFont="1" applyBorder="1"/>
    <xf numFmtId="9" fontId="1" fillId="0" borderId="0" xfId="2" applyNumberFormat="1"/>
    <xf numFmtId="164" fontId="8" fillId="6" borderId="10" xfId="2" applyNumberFormat="1" applyFont="1" applyFill="1" applyBorder="1"/>
    <xf numFmtId="164" fontId="8" fillId="6" borderId="10" xfId="4" applyNumberFormat="1" applyFont="1" applyFill="1" applyBorder="1"/>
    <xf numFmtId="164" fontId="8" fillId="0" borderId="10" xfId="4" applyNumberFormat="1" applyFont="1" applyFill="1" applyBorder="1"/>
    <xf numFmtId="9" fontId="8" fillId="0" borderId="10" xfId="3" applyFont="1" applyFill="1" applyBorder="1" applyAlignment="1">
      <alignment horizontal="center"/>
    </xf>
    <xf numFmtId="0" fontId="1" fillId="0" borderId="15" xfId="2" applyBorder="1" applyAlignment="1">
      <alignment vertical="top"/>
    </xf>
    <xf numFmtId="164" fontId="8" fillId="0" borderId="9" xfId="4" applyNumberFormat="1" applyFont="1" applyFill="1" applyBorder="1"/>
    <xf numFmtId="0" fontId="2" fillId="0" borderId="22" xfId="2" applyFont="1" applyBorder="1" applyAlignment="1">
      <alignment horizontal="center"/>
    </xf>
    <xf numFmtId="1" fontId="2" fillId="8" borderId="23" xfId="2" applyNumberFormat="1" applyFont="1" applyFill="1" applyBorder="1" applyAlignment="1">
      <alignment horizontal="center"/>
    </xf>
    <xf numFmtId="164" fontId="2" fillId="8" borderId="24" xfId="4" applyNumberFormat="1" applyFont="1" applyFill="1" applyBorder="1" applyAlignment="1">
      <alignment horizontal="center"/>
    </xf>
    <xf numFmtId="164" fontId="2" fillId="0" borderId="4" xfId="4" applyNumberFormat="1" applyFont="1" applyBorder="1"/>
    <xf numFmtId="9" fontId="2" fillId="0" borderId="4" xfId="3" applyFont="1" applyBorder="1"/>
    <xf numFmtId="164" fontId="12" fillId="6" borderId="6" xfId="4" applyNumberFormat="1" applyFont="1" applyFill="1" applyBorder="1"/>
    <xf numFmtId="164" fontId="12" fillId="0" borderId="6" xfId="4" applyNumberFormat="1" applyFont="1" applyFill="1" applyBorder="1"/>
    <xf numFmtId="164" fontId="12" fillId="0" borderId="16" xfId="4" applyNumberFormat="1" applyFont="1" applyFill="1" applyBorder="1"/>
    <xf numFmtId="9" fontId="12" fillId="0" borderId="6" xfId="3" applyFont="1" applyFill="1" applyBorder="1" applyAlignment="1">
      <alignment horizontal="center"/>
    </xf>
    <xf numFmtId="0" fontId="1" fillId="0" borderId="0" xfId="2" applyAlignment="1">
      <alignment horizontal="right"/>
    </xf>
    <xf numFmtId="164" fontId="0" fillId="0" borderId="0" xfId="4" applyNumberFormat="1" applyFont="1" applyAlignment="1">
      <alignment horizontal="center"/>
    </xf>
    <xf numFmtId="43" fontId="0" fillId="0" borderId="0" xfId="4" applyFont="1" applyAlignment="1">
      <alignment horizontal="center"/>
    </xf>
    <xf numFmtId="0" fontId="2" fillId="8" borderId="1" xfId="2" applyFont="1" applyFill="1" applyBorder="1" applyAlignment="1">
      <alignment horizontal="center" vertical="center" wrapText="1"/>
    </xf>
    <xf numFmtId="0" fontId="2" fillId="8" borderId="1" xfId="2" applyFont="1" applyFill="1" applyBorder="1" applyAlignment="1">
      <alignment horizontal="center" vertical="center"/>
    </xf>
    <xf numFmtId="9" fontId="2" fillId="0" borderId="1" xfId="2" applyNumberFormat="1" applyFont="1" applyBorder="1" applyAlignment="1">
      <alignment horizontal="center" vertical="center"/>
    </xf>
    <xf numFmtId="0" fontId="12" fillId="6" borderId="1" xfId="2" applyFont="1" applyFill="1" applyBorder="1" applyAlignment="1">
      <alignment horizontal="center" vertical="center" wrapText="1"/>
    </xf>
    <xf numFmtId="16" fontId="1" fillId="0" borderId="0" xfId="2" applyNumberFormat="1"/>
    <xf numFmtId="0" fontId="2" fillId="0" borderId="25" xfId="2" applyFont="1" applyBorder="1" applyAlignment="1">
      <alignment horizontal="center"/>
    </xf>
    <xf numFmtId="164" fontId="0" fillId="0" borderId="0" xfId="4" applyNumberFormat="1" applyFont="1" applyAlignment="1">
      <alignment horizontal="right"/>
    </xf>
    <xf numFmtId="9" fontId="0" fillId="0" borderId="0" xfId="3" applyFont="1"/>
    <xf numFmtId="43" fontId="5" fillId="0" borderId="0" xfId="0" applyNumberFormat="1" applyFont="1"/>
    <xf numFmtId="0" fontId="10" fillId="0" borderId="0" xfId="5" applyFont="1"/>
    <xf numFmtId="0" fontId="14" fillId="0" borderId="0" xfId="5"/>
    <xf numFmtId="0" fontId="4" fillId="12" borderId="1" xfId="5" applyFont="1" applyFill="1" applyBorder="1" applyAlignment="1">
      <alignment horizontal="center" vertical="center"/>
    </xf>
    <xf numFmtId="0" fontId="4" fillId="12" borderId="1" xfId="5" applyFont="1" applyFill="1" applyBorder="1" applyAlignment="1">
      <alignment horizontal="center" vertical="center" wrapText="1"/>
    </xf>
    <xf numFmtId="14" fontId="4" fillId="12" borderId="1" xfId="5" applyNumberFormat="1" applyFont="1" applyFill="1" applyBorder="1" applyAlignment="1">
      <alignment horizontal="center" vertical="center" wrapText="1"/>
    </xf>
    <xf numFmtId="43" fontId="4" fillId="12" borderId="1" xfId="4" applyFont="1" applyFill="1" applyBorder="1" applyAlignment="1">
      <alignment horizontal="center" vertical="center"/>
    </xf>
    <xf numFmtId="43" fontId="4" fillId="12" borderId="1" xfId="4" applyFont="1" applyFill="1" applyBorder="1" applyAlignment="1">
      <alignment horizontal="center" vertical="center" wrapText="1"/>
    </xf>
    <xf numFmtId="16" fontId="8" fillId="0" borderId="1" xfId="5" applyNumberFormat="1" applyFont="1" applyBorder="1" applyAlignment="1">
      <alignment horizontal="left"/>
    </xf>
    <xf numFmtId="0" fontId="8" fillId="0" borderId="1" xfId="5" applyFont="1" applyBorder="1" applyAlignment="1">
      <alignment vertical="center"/>
    </xf>
    <xf numFmtId="16" fontId="8" fillId="0" borderId="1" xfId="5" applyNumberFormat="1" applyFont="1" applyBorder="1"/>
    <xf numFmtId="43" fontId="8" fillId="0" borderId="1" xfId="4" applyFont="1" applyFill="1" applyBorder="1" applyAlignment="1">
      <alignment horizontal="center"/>
    </xf>
    <xf numFmtId="2" fontId="15" fillId="0" borderId="1" xfId="5" applyNumberFormat="1" applyFont="1" applyBorder="1"/>
    <xf numFmtId="0" fontId="8" fillId="0" borderId="1" xfId="5" applyFont="1" applyBorder="1"/>
    <xf numFmtId="0" fontId="8" fillId="0" borderId="1" xfId="5" applyFont="1" applyBorder="1" applyAlignment="1">
      <alignment horizontal="center" vertical="center"/>
    </xf>
    <xf numFmtId="0" fontId="8" fillId="0" borderId="1" xfId="5" applyFont="1" applyBorder="1" applyAlignment="1">
      <alignment horizontal="center"/>
    </xf>
    <xf numFmtId="164" fontId="12" fillId="0" borderId="1" xfId="6" applyNumberFormat="1" applyFont="1" applyFill="1" applyBorder="1"/>
    <xf numFmtId="164" fontId="0" fillId="0" borderId="1" xfId="6" applyNumberFormat="1" applyFont="1" applyBorder="1"/>
    <xf numFmtId="164" fontId="10" fillId="0" borderId="1" xfId="6" applyNumberFormat="1" applyFont="1" applyBorder="1"/>
    <xf numFmtId="164" fontId="1" fillId="0" borderId="1" xfId="6" applyNumberFormat="1" applyFont="1" applyBorder="1"/>
    <xf numFmtId="9" fontId="0" fillId="0" borderId="1" xfId="7" applyFont="1" applyBorder="1" applyAlignment="1">
      <alignment horizontal="center"/>
    </xf>
    <xf numFmtId="0" fontId="10" fillId="6" borderId="1" xfId="5" applyFont="1" applyFill="1" applyBorder="1"/>
    <xf numFmtId="165" fontId="10" fillId="6" borderId="1" xfId="6" applyNumberFormat="1" applyFont="1" applyFill="1" applyBorder="1"/>
    <xf numFmtId="164" fontId="10" fillId="6" borderId="1" xfId="6" applyNumberFormat="1" applyFont="1" applyFill="1" applyBorder="1"/>
    <xf numFmtId="9" fontId="10" fillId="6" borderId="1" xfId="7" applyFont="1" applyFill="1" applyBorder="1" applyAlignment="1">
      <alignment horizontal="center"/>
    </xf>
    <xf numFmtId="43" fontId="14" fillId="0" borderId="0" xfId="5" applyNumberFormat="1"/>
    <xf numFmtId="164" fontId="14" fillId="0" borderId="0" xfId="1" applyNumberFormat="1" applyFont="1"/>
    <xf numFmtId="16" fontId="8" fillId="0" borderId="1" xfId="5" applyNumberFormat="1" applyFont="1" applyBorder="1" applyAlignment="1">
      <alignment horizontal="center"/>
    </xf>
  </cellXfs>
  <cellStyles count="8">
    <cellStyle name="Millares" xfId="1" builtinId="3"/>
    <cellStyle name="Millares 2" xfId="4" xr:uid="{70E586EB-57A1-49A0-8A7E-87DA9C79971C}"/>
    <cellStyle name="Millares 3" xfId="6" xr:uid="{40C8F8D8-3F54-4F58-BC19-50C4C1969218}"/>
    <cellStyle name="Normal" xfId="0" builtinId="0"/>
    <cellStyle name="Normal 2" xfId="2" xr:uid="{A34664CD-0F09-45C1-BA29-BE7CB2B9ACEB}"/>
    <cellStyle name="Normal 3" xfId="5" xr:uid="{477D974B-7B17-4205-86E8-34AEEEDF4742}"/>
    <cellStyle name="Porcentaje 2" xfId="3" xr:uid="{78BC986B-4C54-4B97-9167-D377CEE36749}"/>
    <cellStyle name="Porcentaje 3" xfId="7" xr:uid="{6954DDE2-A0B5-46E7-B19E-825881CD4A41}"/>
  </cellStyles>
  <dxfs count="2">
    <dxf>
      <font>
        <b/>
        <i val="0"/>
        <color rgb="FFFF0000"/>
      </font>
    </dxf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Microsoft/Olk/Attachments/ooa-66037a1c-a165-485c-bd92-0cd3c1c934cf/ecbf072206e17d833f5749063245080f23d65f3b0459423ed9bd34950f992bb4/Stock%20Agosto%202026.xlsx" TargetMode="External"/><Relationship Id="rId2" Type="http://schemas.openxmlformats.org/officeDocument/2006/relationships/externalLinkPath" Target="file:///C:\Users\rodrigom\AppData\Local\Microsoft\Olk\Attachments\ooa-66037a1c-a165-485c-bd92-0cd3c1c934cf\ecbf072206e17d833f5749063245080f23d65f3b0459423ed9bd34950f992bb4\Stock%20Agosto%202026.xlsx" TargetMode="External"/><Relationship Id="rId1" Type="http://schemas.openxmlformats.org/officeDocument/2006/relationships/externalLinkPath" Target="/Users/rodrigom/AppData/Local/Microsoft/Olk/Attachments/ooa-66037a1c-a165-485c-bd92-0cd3c1c934cf/ecbf072206e17d833f5749063245080f23d65f3b0459423ed9bd34950f992bb4/Stock%20Agosto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drigom\Documents\Inventario%20PT%20y%20Avance%20Comercial%20al%2014-9-2026.xlsx" TargetMode="External"/><Relationship Id="rId1" Type="http://schemas.openxmlformats.org/officeDocument/2006/relationships/externalLinkPath" Target="Inventario%20PT%20y%20Avance%20Comercial%20al%2014-9-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drigom\Documents\Stock%20Agosto%202026%20SAP.xlsx" TargetMode="External"/><Relationship Id="rId1" Type="http://schemas.openxmlformats.org/officeDocument/2006/relationships/externalLinkPath" Target="Stock%20Agosto%202026%20S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  <sheetName val="Data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entario Precios Altos"/>
      <sheetName val="Resumen Inventario"/>
      <sheetName val="Hoja1"/>
      <sheetName val="Venta Septiembre"/>
      <sheetName val="TD"/>
      <sheetName val="Stock"/>
    </sheetNames>
    <sheetDataSet>
      <sheetData sheetId="0">
        <row r="51">
          <cell r="R51">
            <v>7373493</v>
          </cell>
        </row>
      </sheetData>
      <sheetData sheetId="1">
        <row r="20">
          <cell r="H20">
            <v>78579.000000000029</v>
          </cell>
        </row>
      </sheetData>
      <sheetData sheetId="2" refreshError="1"/>
      <sheetData sheetId="3" refreshError="1"/>
      <sheetData sheetId="4"/>
      <sheetData sheetId="5">
        <row r="97">
          <cell r="N97">
            <v>78579.000000000015</v>
          </cell>
          <cell r="O97">
            <v>154473.00000000003</v>
          </cell>
          <cell r="P97">
            <v>123484.35000000002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Data"/>
    </sheetNames>
    <sheetDataSet>
      <sheetData sheetId="0">
        <row r="25">
          <cell r="I25">
            <v>10004433</v>
          </cell>
          <cell r="J25">
            <v>0</v>
          </cell>
        </row>
        <row r="26">
          <cell r="I26">
            <v>10004434</v>
          </cell>
          <cell r="J26">
            <v>2064.636363636364</v>
          </cell>
        </row>
        <row r="27">
          <cell r="I27">
            <v>10004435</v>
          </cell>
          <cell r="J27">
            <v>1758.0257826887662</v>
          </cell>
        </row>
        <row r="28">
          <cell r="I28">
            <v>10005708</v>
          </cell>
          <cell r="J28">
            <v>2023.8796296296298</v>
          </cell>
        </row>
        <row r="29">
          <cell r="I29">
            <v>10005711</v>
          </cell>
          <cell r="J29">
            <v>2106</v>
          </cell>
        </row>
        <row r="30">
          <cell r="I30">
            <v>10005718</v>
          </cell>
          <cell r="J30">
            <v>1904.1872529644268</v>
          </cell>
        </row>
        <row r="31">
          <cell r="I31">
            <v>10005721</v>
          </cell>
          <cell r="J31">
            <v>1959.7102564102565</v>
          </cell>
        </row>
        <row r="32">
          <cell r="I32">
            <v>10005776</v>
          </cell>
          <cell r="J32">
            <v>1787.9197545026959</v>
          </cell>
        </row>
        <row r="33">
          <cell r="I33">
            <v>10005779</v>
          </cell>
          <cell r="J33">
            <v>1735.8204057279236</v>
          </cell>
        </row>
        <row r="34">
          <cell r="I34">
            <v>10005781</v>
          </cell>
          <cell r="J34">
            <v>1774.9850374064838</v>
          </cell>
        </row>
        <row r="35">
          <cell r="I35">
            <v>10006668</v>
          </cell>
          <cell r="J35">
            <v>1665.3823529411764</v>
          </cell>
        </row>
        <row r="36">
          <cell r="I36">
            <v>10006719</v>
          </cell>
          <cell r="J36">
            <v>1559.625</v>
          </cell>
        </row>
        <row r="37">
          <cell r="I37">
            <v>10006720</v>
          </cell>
          <cell r="J37">
            <v>1725.3333333333333</v>
          </cell>
        </row>
        <row r="38">
          <cell r="I38">
            <v>10006722</v>
          </cell>
          <cell r="J38">
            <v>1866.9166666666667</v>
          </cell>
        </row>
        <row r="39">
          <cell r="I39">
            <v>10007050</v>
          </cell>
          <cell r="J39">
            <v>2999.2982491856678</v>
          </cell>
        </row>
        <row r="40">
          <cell r="I40">
            <v>10007051</v>
          </cell>
          <cell r="J40">
            <v>1593.75</v>
          </cell>
        </row>
        <row r="41">
          <cell r="I41">
            <v>10007161</v>
          </cell>
          <cell r="J41">
            <v>1928.2289473684211</v>
          </cell>
        </row>
        <row r="42">
          <cell r="I42">
            <v>10007162</v>
          </cell>
          <cell r="J42">
            <v>1900.3944901030209</v>
          </cell>
        </row>
        <row r="43">
          <cell r="I43">
            <v>10007567</v>
          </cell>
          <cell r="J43">
            <v>1661.5121916236376</v>
          </cell>
        </row>
        <row r="44">
          <cell r="I44">
            <v>10007969</v>
          </cell>
          <cell r="J44">
            <v>1226.375</v>
          </cell>
        </row>
        <row r="45">
          <cell r="I45">
            <v>10009176</v>
          </cell>
          <cell r="J45">
            <v>0</v>
          </cell>
        </row>
        <row r="46">
          <cell r="I46">
            <v>10009177</v>
          </cell>
          <cell r="J46">
            <v>0</v>
          </cell>
        </row>
        <row r="47">
          <cell r="I47">
            <v>10009178</v>
          </cell>
          <cell r="J47">
            <v>1748.7075471698113</v>
          </cell>
        </row>
        <row r="48">
          <cell r="I48">
            <v>10009183</v>
          </cell>
          <cell r="J48">
            <v>1837.7307692307691</v>
          </cell>
        </row>
        <row r="49">
          <cell r="I49">
            <v>10009184</v>
          </cell>
          <cell r="J49">
            <v>1856.2375778646965</v>
          </cell>
        </row>
        <row r="50">
          <cell r="I50">
            <v>10009186</v>
          </cell>
          <cell r="J50">
            <v>1710.9999999999998</v>
          </cell>
        </row>
        <row r="51">
          <cell r="I51">
            <v>10009187</v>
          </cell>
          <cell r="J51">
            <v>2021.9999999999998</v>
          </cell>
        </row>
        <row r="52">
          <cell r="I52">
            <v>10009207</v>
          </cell>
          <cell r="J52">
            <v>1408.5765998707177</v>
          </cell>
        </row>
        <row r="53">
          <cell r="I53">
            <v>10009224</v>
          </cell>
          <cell r="J53">
            <v>3641.2946428571427</v>
          </cell>
        </row>
        <row r="54">
          <cell r="I54">
            <v>10009239</v>
          </cell>
          <cell r="J54">
            <v>3349.7949029126216</v>
          </cell>
        </row>
        <row r="55">
          <cell r="I55">
            <v>10009241</v>
          </cell>
          <cell r="J55">
            <v>1956.3846153846155</v>
          </cell>
        </row>
        <row r="56">
          <cell r="I56">
            <v>10009251</v>
          </cell>
          <cell r="J56">
            <v>3024</v>
          </cell>
        </row>
        <row r="57">
          <cell r="I57">
            <v>10009265</v>
          </cell>
          <cell r="J57">
            <v>0</v>
          </cell>
        </row>
        <row r="58">
          <cell r="I58">
            <v>10009271</v>
          </cell>
          <cell r="J58">
            <v>1837.4357381748684</v>
          </cell>
        </row>
        <row r="59">
          <cell r="I59">
            <v>10009298</v>
          </cell>
          <cell r="J59">
            <v>2083.8593750000005</v>
          </cell>
        </row>
        <row r="60">
          <cell r="I60">
            <v>10009331</v>
          </cell>
          <cell r="J60">
            <v>3197.3762726109294</v>
          </cell>
        </row>
        <row r="61">
          <cell r="I61">
            <v>10009332</v>
          </cell>
          <cell r="J61">
            <v>2448.6140628532671</v>
          </cell>
        </row>
        <row r="62">
          <cell r="I62">
            <v>10009334</v>
          </cell>
          <cell r="J62">
            <v>3057.26708428246</v>
          </cell>
        </row>
        <row r="63">
          <cell r="I63">
            <v>10009336</v>
          </cell>
          <cell r="J63">
            <v>3230.8044090056283</v>
          </cell>
        </row>
        <row r="64">
          <cell r="I64">
            <v>10009337</v>
          </cell>
          <cell r="J64">
            <v>2586.1533089985714</v>
          </cell>
        </row>
        <row r="65">
          <cell r="I65">
            <v>10009639</v>
          </cell>
          <cell r="J65">
            <v>1849.3426573426573</v>
          </cell>
        </row>
        <row r="66">
          <cell r="I66">
            <v>10009641</v>
          </cell>
          <cell r="J66">
            <v>14619.069205197944</v>
          </cell>
        </row>
        <row r="67">
          <cell r="I67">
            <v>10009642</v>
          </cell>
          <cell r="J67">
            <v>48443.988050784166</v>
          </cell>
        </row>
        <row r="68">
          <cell r="I68">
            <v>10009643</v>
          </cell>
          <cell r="J68">
            <v>12634.381551362681</v>
          </cell>
        </row>
        <row r="69">
          <cell r="I69">
            <v>10009649</v>
          </cell>
          <cell r="J69">
            <v>0</v>
          </cell>
        </row>
        <row r="70">
          <cell r="I70">
            <v>10009650</v>
          </cell>
          <cell r="J70">
            <v>0</v>
          </cell>
        </row>
        <row r="71">
          <cell r="I71">
            <v>10009658</v>
          </cell>
          <cell r="J71">
            <v>1849.5051020408164</v>
          </cell>
        </row>
        <row r="72">
          <cell r="I72">
            <v>10009777</v>
          </cell>
          <cell r="J72">
            <v>1504.8592534992224</v>
          </cell>
        </row>
        <row r="73">
          <cell r="I73">
            <v>10010107</v>
          </cell>
          <cell r="J73">
            <v>1762.8334268087494</v>
          </cell>
        </row>
        <row r="74">
          <cell r="I74">
            <v>10010108</v>
          </cell>
          <cell r="J74">
            <v>1506.5946932814022</v>
          </cell>
        </row>
        <row r="75">
          <cell r="I75">
            <v>10010110</v>
          </cell>
          <cell r="J75">
            <v>1647.8181818181815</v>
          </cell>
        </row>
        <row r="76">
          <cell r="I76">
            <v>10010125</v>
          </cell>
          <cell r="J76">
            <v>0</v>
          </cell>
        </row>
        <row r="77">
          <cell r="I77">
            <v>10010126</v>
          </cell>
          <cell r="J77">
            <v>1787.367424242424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odrigo Sebastian Martinez Montalvo (PFRO)" id="{3F5C2E61-68D1-472A-B07A-3840D61CC52F}" userId="S::rodrigom@perufrost.com::75c07d1f-87b1-48a3-938c-bed2666ad39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293.888339120371" createdVersion="8" refreshedVersion="8" minRefreshableVersion="3" recordCount="45" xr:uid="{0E113455-40D2-4CEC-9C2C-63448200B69C}">
  <cacheSource type="worksheet">
    <worksheetSource ref="J4:P49" sheet="Stock"/>
  </cacheSource>
  <cacheFields count="7">
    <cacheField name="CÓDIGO" numFmtId="0">
      <sharedItems containsString="0" containsBlank="1" containsNumber="1" containsInteger="1" minValue="10005721" maxValue="10010347" count="15">
        <n v="10006719"/>
        <n v="10007969"/>
        <n v="10005721"/>
        <n v="10010320"/>
        <n v="10005779"/>
        <n v="10007567"/>
        <n v="10007162"/>
        <n v="10009386"/>
        <n v="10009239"/>
        <n v="10009334"/>
        <n v="10007050"/>
        <m/>
        <n v="10009649"/>
        <n v="10010347" u="1"/>
        <n v="10009207" u="1"/>
      </sharedItems>
    </cacheField>
    <cacheField name="TM en Stock" numFmtId="164">
      <sharedItems containsString="0" containsBlank="1" containsNumber="1" minValue="0" maxValue="290.27999999999997"/>
    </cacheField>
    <cacheField name="Costo Ventas" numFmtId="164">
      <sharedItems containsString="0" containsBlank="1" containsNumber="1" minValue="0" maxValue="781621.39539543842"/>
    </cacheField>
    <cacheField name="Gasto Ventas" numFmtId="164">
      <sharedItems containsString="0" containsBlank="1" containsNumber="1" minValue="0" maxValue="69742.6728"/>
    </cacheField>
    <cacheField name="Gasto ADM" numFmtId="0">
      <sharedItems containsString="0" containsBlank="1" containsNumber="1" minValue="0" maxValue="9290.3218166277511"/>
    </cacheField>
    <cacheField name="Gasto Fin" numFmtId="0">
      <sharedItems containsString="0" containsBlank="1" containsNumber="1" minValue="0" maxValue="25097.116267094727"/>
    </cacheField>
    <cacheField name="Depreciación" numFmtId="0">
      <sharedItems containsString="0" containsBlank="1" containsNumber="1" minValue="0" maxValue="18279.5735261007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n v="8.92"/>
    <n v="13312.44941664701"/>
    <n v="2143.1191999999996"/>
    <n v="285.4818471969117"/>
    <n v="771.20806498031186"/>
    <n v="561.71212571592434"/>
  </r>
  <r>
    <x v="0"/>
    <n v="0.76"/>
    <n v="1102.580995324478"/>
    <n v="182.5976"/>
    <n v="24.323565456239116"/>
    <n v="65.708310469174563"/>
    <n v="47.858880666379207"/>
  </r>
  <r>
    <x v="0"/>
    <n v="0"/>
    <n v="0"/>
    <n v="0"/>
    <n v="0"/>
    <n v="0"/>
    <n v="0"/>
  </r>
  <r>
    <x v="0"/>
    <n v="0"/>
    <n v="0"/>
    <n v="0"/>
    <n v="0"/>
    <n v="0"/>
    <n v="0"/>
  </r>
  <r>
    <x v="0"/>
    <n v="41.74"/>
    <n v="55195.372808213906"/>
    <n v="10028.4524"/>
    <n v="1335.8758186097641"/>
    <n v="3608.7695776096666"/>
    <n v="2628.4601039666686"/>
  </r>
  <r>
    <x v="1"/>
    <n v="0"/>
    <n v="0"/>
    <n v="0"/>
    <n v="0"/>
    <n v="0"/>
    <n v="0"/>
  </r>
  <r>
    <x v="2"/>
    <n v="1.9"/>
    <n v="3375.5168081411157"/>
    <n v="456.49400000000003"/>
    <n v="60.80891364059778"/>
    <n v="164.27077617293639"/>
    <n v="119.647201665948"/>
  </r>
  <r>
    <x v="2"/>
    <n v="32.18"/>
    <n v="52237.230955701103"/>
    <n v="7731.5667999999996"/>
    <n v="1029.9109689233876"/>
    <n v="2782.228198550049"/>
    <n v="2026.4457629527406"/>
  </r>
  <r>
    <x v="2"/>
    <n v="1.08"/>
    <n v="1896.7061808955241"/>
    <n v="259.48079999999999"/>
    <n v="34.565066700971379"/>
    <n v="93.374967508827012"/>
    <n v="68.00998831538098"/>
  </r>
  <r>
    <x v="2"/>
    <n v="3.1"/>
    <n v="5344.7866944508287"/>
    <n v="744.80600000000004"/>
    <n v="99.214543308343764"/>
    <n v="268.0207400716331"/>
    <n v="195.21385534970466"/>
  </r>
  <r>
    <x v="2"/>
    <n v="5.28"/>
    <n v="8648.3935510447827"/>
    <n v="1268.5728000000001"/>
    <n v="168.98477053808227"/>
    <n v="456.49984115426543"/>
    <n v="332.49327620852927"/>
  </r>
  <r>
    <x v="2"/>
    <n v="17.7"/>
    <n v="30025.629320078489"/>
    <n v="4252.6019999999999"/>
    <n v="566.48303759925307"/>
    <n v="1530.3119675057758"/>
    <n v="1114.6081418354104"/>
  </r>
  <r>
    <x v="2"/>
    <n v="2.72"/>
    <n v="4048.8266889552319"/>
    <n v="653.5071999999999"/>
    <n v="87.052760580224202"/>
    <n v="235.1665848370458"/>
    <n v="171.28441501651506"/>
  </r>
  <r>
    <x v="2"/>
    <n v="27.04"/>
    <n v="48298.829056865725"/>
    <n v="6496.6303999999991"/>
    <n v="865.40685517987583"/>
    <n v="2337.8325198506318"/>
    <n v="1702.7685963406495"/>
  </r>
  <r>
    <x v="2"/>
    <n v="25.14"/>
    <n v="37421.87608835828"/>
    <n v="6040.1363999999994"/>
    <n v="804.59794153927805"/>
    <n v="2173.5617436776952"/>
    <n v="1583.1213946747016"/>
  </r>
  <r>
    <x v="3"/>
    <n v="25.44"/>
    <n v="34491.499348059704"/>
    <n v="6112.2143999999998"/>
    <n v="814.19934895621464"/>
    <n v="2199.4992346523695"/>
    <n v="1602.0130580956409"/>
  </r>
  <r>
    <x v="3"/>
    <n v="20.02"/>
    <n v="27143.074565572144"/>
    <n v="4810.0052000000005"/>
    <n v="640.73392162356186"/>
    <n v="1730.895231043256"/>
    <n v="1260.7036722906732"/>
  </r>
  <r>
    <x v="4"/>
    <n v="140.86000000000001"/>
    <n v="218260.32319716248"/>
    <n v="33843.0236"/>
    <n v="4508.1808291655816"/>
    <n v="12178.516595642013"/>
    <n v="8870.265698244968"/>
  </r>
  <r>
    <x v="4"/>
    <n v="41.82"/>
    <n v="64406.27647760135"/>
    <n v="10047.673199999999"/>
    <n v="1338.4361939209471"/>
    <n v="3615.6862418695791"/>
    <n v="2633.4978808789187"/>
  </r>
  <r>
    <x v="4"/>
    <n v="1.04"/>
    <n v="1601.8398708766008"/>
    <n v="249.87039999999999"/>
    <n v="33.284879045379839"/>
    <n v="89.916635378870453"/>
    <n v="65.491099859255755"/>
  </r>
  <r>
    <x v="4"/>
    <n v="91.08"/>
    <n v="135643.20919938886"/>
    <n v="21882.880799999999"/>
    <n v="2914.9872917819189"/>
    <n v="7874.622259911077"/>
    <n v="5735.509014597129"/>
  </r>
  <r>
    <x v="4"/>
    <n v="212.38"/>
    <n v="321824.75274676865"/>
    <n v="51026.418799999999"/>
    <n v="6797.1563573632411"/>
    <n v="18362.014444004333"/>
    <n v="13374.038257796863"/>
  </r>
  <r>
    <x v="4"/>
    <n v="5.84"/>
    <n v="8811.7294303032286"/>
    <n v="1403.1183999999998"/>
    <n v="186.90739771636373"/>
    <n v="504.91649097365718"/>
    <n v="367.75771459428233"/>
  </r>
  <r>
    <x v="5"/>
    <n v="99.8"/>
    <n v="159849.74433864956"/>
    <n v="23977.948"/>
    <n v="3194.0682007008731"/>
    <n v="8628.538664241607"/>
    <n v="6284.6266980324272"/>
  </r>
  <r>
    <x v="5"/>
    <n v="35.92"/>
    <n v="59352.82373907783"/>
    <n v="8630.1391999999996"/>
    <n v="1149.6085147211961"/>
    <n v="3105.5822527009873"/>
    <n v="2261.9618336004492"/>
  </r>
  <r>
    <x v="6"/>
    <n v="0.04"/>
    <n v="65.057789970593191"/>
    <n v="9.6104000000000003"/>
    <n v="1.2801876555915324"/>
    <n v="3.4583321299565557"/>
    <n v="2.5188884561252212"/>
  </r>
  <r>
    <x v="6"/>
    <n v="0.64"/>
    <n v="974.95960064924225"/>
    <n v="153.7664"/>
    <n v="20.483002489464518"/>
    <n v="55.333314079304891"/>
    <n v="40.302215298003539"/>
  </r>
  <r>
    <x v="6"/>
    <n v="182.28"/>
    <n v="277838.84924166021"/>
    <n v="43794.592799999999"/>
    <n v="5833.8151465306128"/>
    <n v="15759.619516212026"/>
    <n v="11478.574694562634"/>
  </r>
  <r>
    <x v="6"/>
    <n v="0.16"/>
    <n v="246.7023197647456"/>
    <n v="38.441600000000001"/>
    <n v="5.1207506223661294"/>
    <n v="13.833328519826223"/>
    <n v="10.075553824500885"/>
  </r>
  <r>
    <x v="6"/>
    <n v="0.22"/>
    <n v="392.02784483826258"/>
    <n v="52.857199999999999"/>
    <n v="7.0410321057534278"/>
    <n v="19.020826714761057"/>
    <n v="13.853886508688717"/>
  </r>
  <r>
    <x v="6"/>
    <n v="4.5"/>
    <n v="7807.7665032706818"/>
    <n v="1081.17"/>
    <n v="144.02111125404738"/>
    <n v="389.06236462011253"/>
    <n v="283.37495131408741"/>
  </r>
  <r>
    <x v="6"/>
    <n v="2.68"/>
    <n v="4544.4687647644387"/>
    <n v="643.89679999999998"/>
    <n v="85.772572924632684"/>
    <n v="231.70825270708929"/>
    <n v="168.76552656038984"/>
  </r>
  <r>
    <x v="6"/>
    <n v="37.18"/>
    <n v="63043.005777666374"/>
    <n v="8932.8667999999998"/>
    <n v="1189.9344258723293"/>
    <n v="3214.5197147946187"/>
    <n v="2341.306819968393"/>
  </r>
  <r>
    <x v="6"/>
    <n v="2.2599999999999998"/>
    <n v="3484.6702666770311"/>
    <n v="542.98759999999993"/>
    <n v="72.330602540921575"/>
    <n v="195.39576534254539"/>
    <n v="142.31719777107497"/>
  </r>
  <r>
    <x v="6"/>
    <n v="290.27999999999997"/>
    <n v="499613.09811014729"/>
    <n v="69742.6728"/>
    <n v="9290.3218166277511"/>
    <n v="25097.116267094727"/>
    <n v="18279.573526100732"/>
  </r>
  <r>
    <x v="7"/>
    <n v="24.36"/>
    <n v="53193.700075419903"/>
    <n v="5852.7335999999996"/>
    <n v="779.63428225524319"/>
    <n v="2106.1242671435425"/>
    <n v="1534.0030697802599"/>
  </r>
  <r>
    <x v="8"/>
    <n v="257.76"/>
    <n v="781621.39539543842"/>
    <n v="61929.417599999993"/>
    <n v="8249.5292526318335"/>
    <n v="22285.492245440048"/>
    <n v="16231.717211270927"/>
  </r>
  <r>
    <x v="8"/>
    <n v="6.7"/>
    <n v="19225.4064"/>
    <n v="1609.742"/>
    <n v="214.43143231158166"/>
    <n v="579.2706317677231"/>
    <n v="421.91381640097455"/>
  </r>
  <r>
    <x v="9"/>
    <n v="92.52"/>
    <n v="257470.96549456366"/>
    <n v="22228.855199999998"/>
    <n v="2961.0740473832143"/>
    <n v="7999.1222165895142"/>
    <n v="5826.1889990176369"/>
  </r>
  <r>
    <x v="9"/>
    <n v="2.198"/>
    <n v="5962.7642968503042"/>
    <n v="528.09147999999993"/>
    <n v="70.346311674754702"/>
    <n v="190.03535054111273"/>
    <n v="138.4129206640809"/>
  </r>
  <r>
    <x v="10"/>
    <n v="36.39"/>
    <n v="37366.806088358207"/>
    <n v="8743.0614000000005"/>
    <n v="1164.6507196743967"/>
    <n v="3146.217655227977"/>
    <n v="2291.5587729599206"/>
  </r>
  <r>
    <x v="10"/>
    <n v="61.74"/>
    <n v="111533.18699744262"/>
    <n v="14833.652399999999"/>
    <n v="1975.9696464055303"/>
    <n v="5337.935642587945"/>
    <n v="3887.9043320292794"/>
  </r>
  <r>
    <x v="10"/>
    <n v="73.7"/>
    <n v="128070.58194947623"/>
    <n v="17707.162"/>
    <n v="2358.7457554273983"/>
    <n v="6371.9769494449547"/>
    <n v="4641.0519804107207"/>
  </r>
  <r>
    <x v="11"/>
    <m/>
    <m/>
    <m/>
    <m/>
    <m/>
    <m/>
  </r>
  <r>
    <x v="12"/>
    <n v="49.32"/>
    <n v="60966.749430318196"/>
    <n v="11849.6232"/>
    <n v="1578.4713793443595"/>
    <n v="4264.1235162364337"/>
    <n v="3105.7894664023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092DB2-8B9D-4396-B7B7-B3138D4FA974}" name="TablaDinámica1" cacheId="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:K17" firstHeaderRow="0" firstDataRow="1" firstDataCol="1"/>
  <pivotFields count="7">
    <pivotField axis="axisRow" showAll="0">
      <items count="16">
        <item x="2"/>
        <item x="4"/>
        <item x="0"/>
        <item x="10"/>
        <item x="6"/>
        <item x="5"/>
        <item m="1" x="14"/>
        <item x="1"/>
        <item x="8"/>
        <item x="9"/>
        <item x="7"/>
        <item x="3"/>
        <item x="12"/>
        <item m="1" x="13"/>
        <item x="11"/>
        <item t="default"/>
      </items>
    </pivotField>
    <pivotField dataField="1" numFmtId="164" showAll="0"/>
    <pivotField dataField="1" numFmtId="164" showAll="0"/>
    <pivotField dataField="1" numFmtId="164" showAll="0"/>
    <pivotField dataField="1" showAll="0"/>
    <pivotField dataField="1" showAll="0"/>
    <pivotField dataField="1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>
      <x v="1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a de TM en Stock" fld="1" baseField="0" baseItem="0" numFmtId="164"/>
    <dataField name="Suma de Costo Ventas" fld="2" baseField="0" baseItem="0" numFmtId="164"/>
    <dataField name="Suma de Gasto Ventas" fld="3" baseField="0" baseItem="0" numFmtId="164"/>
    <dataField name="Suma de Gasto ADM" fld="4" baseField="0" baseItem="0"/>
    <dataField name="Suma de Gasto Fin" fld="5" baseField="0" baseItem="0"/>
    <dataField name="Suma de Depreciación" fld="6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24" dT="2026-08-03T21:04:12.65" personId="{3F5C2E61-68D1-472A-B07A-3840D61CC52F}" id="{3C416F70-4759-4137-AA64-50ADCB91BB6A}">
    <text>Precio venta 1500</text>
  </threadedComment>
  <threadedComment ref="Q26" dT="2026-08-03T21:04:38.98" personId="{3F5C2E61-68D1-472A-B07A-3840D61CC52F}" id="{9B22AF00-E908-4F1C-BFE9-9E9DA2E9AE6B}">
    <text>Precio de venta 2275</text>
  </threadedComment>
  <threadedComment ref="Q27" dT="2026-08-03T21:04:24.79" personId="{3F5C2E61-68D1-472A-B07A-3840D61CC52F}" id="{D506453D-E882-4143-BA82-F0515F6D2D08}">
    <text>Precio venta 3400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2F911-4CC1-4DE7-84D9-97FE79B23155}">
  <dimension ref="A2:X39"/>
  <sheetViews>
    <sheetView showGridLines="0" tabSelected="1" zoomScale="70" zoomScaleNormal="7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F32" sqref="F32"/>
    </sheetView>
  </sheetViews>
  <sheetFormatPr baseColWidth="10" defaultRowHeight="14.4" outlineLevelCol="2" x14ac:dyDescent="0.3"/>
  <cols>
    <col min="1" max="1" width="7.77734375" style="48" customWidth="1"/>
    <col min="2" max="2" width="14.33203125" style="48" hidden="1" customWidth="1" outlineLevel="1"/>
    <col min="3" max="3" width="34.109375" style="48" customWidth="1" collapsed="1"/>
    <col min="4" max="4" width="16.21875" style="48" customWidth="1" outlineLevel="1"/>
    <col min="5" max="5" width="12.88671875" style="48" customWidth="1" outlineLevel="1"/>
    <col min="6" max="6" width="16.44140625" style="48" bestFit="1" customWidth="1" outlineLevel="2"/>
    <col min="7" max="7" width="16.5546875" style="48" bestFit="1" customWidth="1" outlineLevel="2"/>
    <col min="8" max="8" width="14.21875" style="48" bestFit="1" customWidth="1" outlineLevel="2"/>
    <col min="9" max="9" width="12.5546875" style="48" bestFit="1" customWidth="1" outlineLevel="2"/>
    <col min="10" max="11" width="16.21875" style="48" bestFit="1" customWidth="1" outlineLevel="2"/>
    <col min="12" max="12" width="15.88671875" style="48" bestFit="1" customWidth="1" outlineLevel="2"/>
    <col min="13" max="13" width="17.33203125" style="48" customWidth="1" outlineLevel="2"/>
    <col min="14" max="16" width="16" style="48" customWidth="1" outlineLevel="2"/>
    <col min="17" max="22" width="17.5546875" style="48" customWidth="1" outlineLevel="2"/>
    <col min="23" max="23" width="12.21875" style="48" customWidth="1" outlineLevel="1"/>
    <col min="24" max="16384" width="11.5546875" style="48"/>
  </cols>
  <sheetData>
    <row r="2" spans="2:24" ht="15.6" x14ac:dyDescent="0.3">
      <c r="C2" s="49" t="s">
        <v>103</v>
      </c>
    </row>
    <row r="3" spans="2:24" x14ac:dyDescent="0.3">
      <c r="C3" s="50" t="s">
        <v>125</v>
      </c>
      <c r="G3" s="51"/>
      <c r="M3" s="52"/>
      <c r="N3" s="51"/>
      <c r="O3" s="51"/>
      <c r="P3" s="51"/>
      <c r="R3" s="53"/>
    </row>
    <row r="4" spans="2:24" ht="15" thickBot="1" x14ac:dyDescent="0.35">
      <c r="C4" s="50"/>
      <c r="G4" s="53"/>
      <c r="M4" s="53"/>
    </row>
    <row r="5" spans="2:24" ht="15" thickBot="1" x14ac:dyDescent="0.35">
      <c r="C5" s="54" t="s">
        <v>199</v>
      </c>
      <c r="F5" s="55" t="s">
        <v>104</v>
      </c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7"/>
    </row>
    <row r="6" spans="2:24" s="67" customFormat="1" ht="29.4" thickBot="1" x14ac:dyDescent="0.35">
      <c r="B6" s="58" t="s">
        <v>105</v>
      </c>
      <c r="C6" s="59" t="s">
        <v>106</v>
      </c>
      <c r="D6" s="60" t="s">
        <v>107</v>
      </c>
      <c r="E6" s="61" t="s">
        <v>108</v>
      </c>
      <c r="F6" s="62" t="s">
        <v>67</v>
      </c>
      <c r="G6" s="63" t="s">
        <v>68</v>
      </c>
      <c r="H6" s="63" t="s">
        <v>69</v>
      </c>
      <c r="I6" s="63" t="s">
        <v>70</v>
      </c>
      <c r="J6" s="63" t="s">
        <v>71</v>
      </c>
      <c r="K6" s="63" t="s">
        <v>72</v>
      </c>
      <c r="L6" s="64" t="s">
        <v>73</v>
      </c>
      <c r="M6" s="65" t="s">
        <v>109</v>
      </c>
      <c r="N6" s="65" t="s">
        <v>110</v>
      </c>
      <c r="O6" s="65" t="s">
        <v>111</v>
      </c>
      <c r="P6" s="65" t="s">
        <v>112</v>
      </c>
      <c r="Q6" s="66" t="s">
        <v>113</v>
      </c>
      <c r="R6" s="66" t="s">
        <v>114</v>
      </c>
      <c r="S6" s="66" t="s">
        <v>115</v>
      </c>
      <c r="T6" s="66" t="s">
        <v>116</v>
      </c>
      <c r="U6" s="66" t="s">
        <v>117</v>
      </c>
      <c r="V6" s="66" t="s">
        <v>118</v>
      </c>
    </row>
    <row r="7" spans="2:24" x14ac:dyDescent="0.3">
      <c r="B7" s="68">
        <v>10005721</v>
      </c>
      <c r="C7" s="69" t="s">
        <v>92</v>
      </c>
      <c r="D7" s="70">
        <f>TD!F4</f>
        <v>116.14</v>
      </c>
      <c r="E7" s="71">
        <f t="shared" ref="E7:E20" si="0">IFERROR(F7/D7,0)</f>
        <v>1647.1310086489675</v>
      </c>
      <c r="F7" s="72">
        <f>TD!G4</f>
        <v>191297.79534449108</v>
      </c>
      <c r="G7" s="51">
        <f>TD!H4</f>
        <v>27903.796399999996</v>
      </c>
      <c r="H7" s="51">
        <f>TD!I4</f>
        <v>3717.0248580100138</v>
      </c>
      <c r="I7" s="51">
        <f>TD!J4</f>
        <v>10041.267339328861</v>
      </c>
      <c r="J7" s="51">
        <f>TD!K4</f>
        <v>7313.5926323595813</v>
      </c>
      <c r="K7" s="73">
        <v>0</v>
      </c>
      <c r="L7" s="74">
        <v>0</v>
      </c>
      <c r="M7" s="75">
        <f>F7+G7+H7+I7</f>
        <v>232959.88394182993</v>
      </c>
      <c r="N7" s="76">
        <f>IFERROR(M7/D7,0)</f>
        <v>2005.8540032876695</v>
      </c>
      <c r="O7" s="76">
        <f>F7+G7+H7-J7</f>
        <v>215605.02397014148</v>
      </c>
      <c r="P7" s="76">
        <f t="shared" ref="P7:P20" si="1">IFERROR(O7/D7,0)</f>
        <v>1856.4234886356251</v>
      </c>
      <c r="Q7" s="77">
        <v>1550</v>
      </c>
      <c r="R7" s="77">
        <f>Q7*D7</f>
        <v>180017</v>
      </c>
      <c r="S7" s="77">
        <f t="shared" ref="S7:S19" si="2">R7-M7</f>
        <v>-52942.883941829932</v>
      </c>
      <c r="T7" s="78">
        <f t="shared" ref="T7:T19" si="3">IFERROR(S7/R7,0)</f>
        <v>-0.29409935695978673</v>
      </c>
      <c r="U7" s="77">
        <f t="shared" ref="U7:U9" si="4">R7-(M7-J7-I7)</f>
        <v>-35588.023970141483</v>
      </c>
      <c r="V7" s="78">
        <f t="shared" ref="V7:V20" si="5">IFERROR(U7/R7,0)</f>
        <v>-0.19769257331330642</v>
      </c>
      <c r="X7" s="53"/>
    </row>
    <row r="8" spans="2:24" x14ac:dyDescent="0.3">
      <c r="B8" s="68">
        <v>10005779</v>
      </c>
      <c r="C8" s="79" t="s">
        <v>93</v>
      </c>
      <c r="D8" s="70">
        <f>TD!F5</f>
        <v>493.02</v>
      </c>
      <c r="E8" s="71">
        <f t="shared" si="0"/>
        <v>1522.3482433209631</v>
      </c>
      <c r="F8" s="51">
        <f>TD!G5</f>
        <v>750548.13092210121</v>
      </c>
      <c r="G8" s="51">
        <f>TD!H5</f>
        <v>118452.98520000001</v>
      </c>
      <c r="H8" s="51">
        <f>TD!I5</f>
        <v>15778.952948993432</v>
      </c>
      <c r="I8" s="51">
        <f>TD!J5</f>
        <v>42625.672667779523</v>
      </c>
      <c r="J8" s="51">
        <f>TD!K5</f>
        <v>31046.559665971414</v>
      </c>
      <c r="K8" s="73">
        <v>0</v>
      </c>
      <c r="L8" s="74">
        <v>0</v>
      </c>
      <c r="M8" s="75">
        <f t="shared" ref="M8:M19" si="6">F8+G8+H8+I8</f>
        <v>927405.74173887412</v>
      </c>
      <c r="N8" s="76">
        <f>IFERROR(M8/D8,0)</f>
        <v>1881.0712379596653</v>
      </c>
      <c r="O8" s="76">
        <f t="shared" ref="O8:O19" si="7">F8+G8+H8-J8</f>
        <v>853733.50940512319</v>
      </c>
      <c r="P8" s="76">
        <f t="shared" si="1"/>
        <v>1731.6407233076209</v>
      </c>
      <c r="Q8" s="77">
        <v>1400</v>
      </c>
      <c r="R8" s="77">
        <f t="shared" ref="R8:R14" si="8">Q8*D8</f>
        <v>690228</v>
      </c>
      <c r="S8" s="77">
        <f t="shared" si="2"/>
        <v>-237177.74173887412</v>
      </c>
      <c r="T8" s="78">
        <f t="shared" si="3"/>
        <v>-0.34362231282833228</v>
      </c>
      <c r="U8" s="77">
        <f t="shared" si="4"/>
        <v>-163505.50940512319</v>
      </c>
      <c r="V8" s="78">
        <f t="shared" si="5"/>
        <v>-0.23688623093401484</v>
      </c>
    </row>
    <row r="9" spans="2:24" x14ac:dyDescent="0.3">
      <c r="B9" s="68">
        <v>10006719</v>
      </c>
      <c r="C9" s="79" t="s">
        <v>94</v>
      </c>
      <c r="D9" s="70">
        <f>TD!F6</f>
        <v>51.42</v>
      </c>
      <c r="E9" s="71">
        <f t="shared" si="0"/>
        <v>1353.7612450444458</v>
      </c>
      <c r="F9" s="51">
        <f>TD!G6</f>
        <v>69610.403220185399</v>
      </c>
      <c r="G9" s="51">
        <f>TD!H6</f>
        <v>12354.1692</v>
      </c>
      <c r="H9" s="51">
        <f>TD!I6</f>
        <v>1645.6812312629149</v>
      </c>
      <c r="I9" s="51">
        <f>TD!J6</f>
        <v>4445.6859530591528</v>
      </c>
      <c r="J9" s="51">
        <f>TD!K6</f>
        <v>3238.0311103489721</v>
      </c>
      <c r="K9" s="73">
        <v>0</v>
      </c>
      <c r="L9" s="74">
        <v>0</v>
      </c>
      <c r="M9" s="75">
        <f t="shared" si="6"/>
        <v>88055.939604507468</v>
      </c>
      <c r="N9" s="76">
        <f t="shared" ref="N9:N14" si="9">IFERROR(M9/D9,0)</f>
        <v>1712.484239683148</v>
      </c>
      <c r="O9" s="76">
        <f t="shared" si="7"/>
        <v>80372.222541099356</v>
      </c>
      <c r="P9" s="76">
        <f t="shared" si="1"/>
        <v>1563.0537250311038</v>
      </c>
      <c r="Q9" s="77">
        <v>1800</v>
      </c>
      <c r="R9" s="77">
        <f t="shared" si="8"/>
        <v>92556</v>
      </c>
      <c r="S9" s="77">
        <f t="shared" si="2"/>
        <v>4500.0603954925318</v>
      </c>
      <c r="T9" s="78">
        <f t="shared" si="3"/>
        <v>4.8619866842695578E-2</v>
      </c>
      <c r="U9" s="77">
        <f t="shared" si="4"/>
        <v>12183.777458900644</v>
      </c>
      <c r="V9" s="78">
        <f t="shared" si="5"/>
        <v>0.13163681942716457</v>
      </c>
    </row>
    <row r="10" spans="2:24" x14ac:dyDescent="0.3">
      <c r="B10" s="68">
        <v>10007050</v>
      </c>
      <c r="C10" s="79" t="s">
        <v>95</v>
      </c>
      <c r="D10" s="70">
        <f>TD!F7</f>
        <v>171.82999999999998</v>
      </c>
      <c r="E10" s="71">
        <f t="shared" si="0"/>
        <v>1611.8871852137408</v>
      </c>
      <c r="F10" s="51">
        <f>TD!G7</f>
        <v>276970.57503527706</v>
      </c>
      <c r="G10" s="51">
        <f>TD!H7</f>
        <v>41283.875799999994</v>
      </c>
      <c r="H10" s="51">
        <f>TD!I7</f>
        <v>5499.3661215073253</v>
      </c>
      <c r="I10" s="51">
        <f>TD!J7</f>
        <v>14856.130247260877</v>
      </c>
      <c r="J10" s="51">
        <f>TD!K7</f>
        <v>10820.51508539992</v>
      </c>
      <c r="K10" s="73">
        <v>0</v>
      </c>
      <c r="L10" s="74">
        <v>0</v>
      </c>
      <c r="M10" s="75">
        <f t="shared" si="6"/>
        <v>338609.94720404519</v>
      </c>
      <c r="N10" s="76">
        <f t="shared" si="9"/>
        <v>1970.6101798524426</v>
      </c>
      <c r="O10" s="76">
        <f t="shared" si="7"/>
        <v>312933.30187138444</v>
      </c>
      <c r="P10" s="76">
        <f t="shared" si="1"/>
        <v>1821.1796652003984</v>
      </c>
      <c r="Q10" s="77">
        <v>2200</v>
      </c>
      <c r="R10" s="77">
        <f t="shared" si="8"/>
        <v>378025.99999999994</v>
      </c>
      <c r="S10" s="77">
        <f t="shared" si="2"/>
        <v>39416.052795954747</v>
      </c>
      <c r="T10" s="78">
        <f t="shared" si="3"/>
        <v>0.10426810006707145</v>
      </c>
      <c r="U10" s="77">
        <f>R10-(M10-J10-I10)</f>
        <v>65092.698128615506</v>
      </c>
      <c r="V10" s="78">
        <f t="shared" si="5"/>
        <v>0.1721910612725461</v>
      </c>
    </row>
    <row r="11" spans="2:24" x14ac:dyDescent="0.3">
      <c r="B11" s="68">
        <v>10007162</v>
      </c>
      <c r="C11" s="79" t="s">
        <v>96</v>
      </c>
      <c r="D11" s="70">
        <f>TD!F8</f>
        <v>520.24</v>
      </c>
      <c r="E11" s="71">
        <f t="shared" si="0"/>
        <v>1649.2592000219302</v>
      </c>
      <c r="F11" s="51">
        <f>TD!G8</f>
        <v>858010.60621940892</v>
      </c>
      <c r="G11" s="51">
        <f>TD!H8</f>
        <v>124992.86239999998</v>
      </c>
      <c r="H11" s="51">
        <f>TD!I8</f>
        <v>16650.120648623473</v>
      </c>
      <c r="I11" s="51">
        <f>TD!J8</f>
        <v>44979.067682214969</v>
      </c>
      <c r="J11" s="51">
        <f>TD!K8</f>
        <v>32760.663260364632</v>
      </c>
      <c r="K11" s="73">
        <v>0</v>
      </c>
      <c r="L11" s="74">
        <v>0</v>
      </c>
      <c r="M11" s="75">
        <f t="shared" si="6"/>
        <v>1044632.6569502474</v>
      </c>
      <c r="N11" s="76">
        <f t="shared" si="9"/>
        <v>2007.9821946606323</v>
      </c>
      <c r="O11" s="76">
        <f t="shared" si="7"/>
        <v>966892.92600766767</v>
      </c>
      <c r="P11" s="76">
        <f t="shared" si="1"/>
        <v>1858.5516800085877</v>
      </c>
      <c r="Q11" s="77">
        <v>2400</v>
      </c>
      <c r="R11" s="77">
        <f t="shared" si="8"/>
        <v>1248576</v>
      </c>
      <c r="S11" s="77">
        <f t="shared" si="2"/>
        <v>203943.34304975264</v>
      </c>
      <c r="T11" s="78">
        <f t="shared" si="3"/>
        <v>0.16334075222473654</v>
      </c>
      <c r="U11" s="77">
        <f t="shared" ref="U11:U19" si="10">R11-(M11-J11-I11)</f>
        <v>281683.07399233233</v>
      </c>
      <c r="V11" s="78">
        <f t="shared" si="5"/>
        <v>0.22560346666308845</v>
      </c>
    </row>
    <row r="12" spans="2:24" x14ac:dyDescent="0.3">
      <c r="B12" s="68">
        <v>10007567</v>
      </c>
      <c r="C12" s="79" t="s">
        <v>97</v>
      </c>
      <c r="D12" s="70">
        <f>TD!F9</f>
        <v>135.72</v>
      </c>
      <c r="E12" s="71">
        <f t="shared" si="0"/>
        <v>1615.1088128332406</v>
      </c>
      <c r="F12" s="51">
        <f>TD!G9</f>
        <v>219202.5680777274</v>
      </c>
      <c r="G12" s="51">
        <f>TD!H9</f>
        <v>32608.087200000002</v>
      </c>
      <c r="H12" s="51">
        <f>TD!I9</f>
        <v>4343.6767154220688</v>
      </c>
      <c r="I12" s="51">
        <f>TD!J9</f>
        <v>11734.120916942595</v>
      </c>
      <c r="J12" s="51">
        <f>TD!K9</f>
        <v>8546.5885316328768</v>
      </c>
      <c r="K12" s="73">
        <v>0</v>
      </c>
      <c r="L12" s="74">
        <v>0</v>
      </c>
      <c r="M12" s="75">
        <f t="shared" si="6"/>
        <v>267888.45291009208</v>
      </c>
      <c r="N12" s="76">
        <f t="shared" si="9"/>
        <v>1973.8318074719427</v>
      </c>
      <c r="O12" s="76">
        <f t="shared" si="7"/>
        <v>247607.7434615166</v>
      </c>
      <c r="P12" s="76">
        <f t="shared" si="1"/>
        <v>1824.4012928198983</v>
      </c>
      <c r="Q12" s="77">
        <v>2500</v>
      </c>
      <c r="R12" s="77">
        <f t="shared" si="8"/>
        <v>339300</v>
      </c>
      <c r="S12" s="77">
        <f t="shared" si="2"/>
        <v>71411.547089907923</v>
      </c>
      <c r="T12" s="78">
        <f t="shared" si="3"/>
        <v>0.21046727701122289</v>
      </c>
      <c r="U12" s="77">
        <f t="shared" si="10"/>
        <v>91692.256538483402</v>
      </c>
      <c r="V12" s="78">
        <f t="shared" si="5"/>
        <v>0.27023948287204069</v>
      </c>
    </row>
    <row r="13" spans="2:24" x14ac:dyDescent="0.3">
      <c r="B13" s="68">
        <v>10007969</v>
      </c>
      <c r="C13" s="79" t="s">
        <v>8</v>
      </c>
      <c r="D13" s="70">
        <f>TD!F10</f>
        <v>0</v>
      </c>
      <c r="E13" s="71">
        <f t="shared" si="0"/>
        <v>0</v>
      </c>
      <c r="F13" s="51">
        <f>TD!G10</f>
        <v>0</v>
      </c>
      <c r="G13" s="51">
        <f>TD!H10</f>
        <v>0</v>
      </c>
      <c r="H13" s="51">
        <f>TD!I10</f>
        <v>0</v>
      </c>
      <c r="I13" s="51">
        <f>TD!J10</f>
        <v>0</v>
      </c>
      <c r="J13" s="51">
        <f>TD!K10</f>
        <v>0</v>
      </c>
      <c r="K13" s="73">
        <v>0</v>
      </c>
      <c r="L13" s="74">
        <v>0</v>
      </c>
      <c r="M13" s="75">
        <f t="shared" si="6"/>
        <v>0</v>
      </c>
      <c r="N13" s="76">
        <f t="shared" si="9"/>
        <v>0</v>
      </c>
      <c r="O13" s="76">
        <f t="shared" si="7"/>
        <v>0</v>
      </c>
      <c r="P13" s="76">
        <f t="shared" si="1"/>
        <v>0</v>
      </c>
      <c r="Q13" s="77">
        <v>1750</v>
      </c>
      <c r="R13" s="77">
        <f t="shared" si="8"/>
        <v>0</v>
      </c>
      <c r="S13" s="77">
        <f t="shared" si="2"/>
        <v>0</v>
      </c>
      <c r="T13" s="78">
        <f t="shared" si="3"/>
        <v>0</v>
      </c>
      <c r="U13" s="77">
        <f t="shared" si="10"/>
        <v>0</v>
      </c>
      <c r="V13" s="78">
        <f t="shared" si="5"/>
        <v>0</v>
      </c>
    </row>
    <row r="14" spans="2:24" x14ac:dyDescent="0.3">
      <c r="B14" s="68">
        <v>10009239</v>
      </c>
      <c r="C14" s="79" t="s">
        <v>98</v>
      </c>
      <c r="D14" s="70">
        <f>TD!F11</f>
        <v>264.45999999999998</v>
      </c>
      <c r="E14" s="71">
        <f t="shared" si="0"/>
        <v>3028.2341442767847</v>
      </c>
      <c r="F14" s="51">
        <f>TD!G11</f>
        <v>800846.8017954384</v>
      </c>
      <c r="G14" s="51">
        <f>TD!H11</f>
        <v>63539.159599999992</v>
      </c>
      <c r="H14" s="51">
        <f>TD!I11</f>
        <v>8463.9606849434149</v>
      </c>
      <c r="I14" s="51">
        <f>TD!J11</f>
        <v>22864.76287720777</v>
      </c>
      <c r="J14" s="51">
        <f>TD!K11</f>
        <v>16653.631027671901</v>
      </c>
      <c r="K14" s="73">
        <v>0</v>
      </c>
      <c r="L14" s="74">
        <v>0</v>
      </c>
      <c r="M14" s="75">
        <f t="shared" si="6"/>
        <v>895714.68495758949</v>
      </c>
      <c r="N14" s="76">
        <f t="shared" si="9"/>
        <v>3386.9571389154867</v>
      </c>
      <c r="O14" s="76">
        <f t="shared" si="7"/>
        <v>856196.29105270992</v>
      </c>
      <c r="P14" s="76">
        <f t="shared" si="1"/>
        <v>3237.5266242634425</v>
      </c>
      <c r="Q14" s="77">
        <v>3500</v>
      </c>
      <c r="R14" s="77">
        <f t="shared" si="8"/>
        <v>925609.99999999988</v>
      </c>
      <c r="S14" s="77">
        <f t="shared" si="2"/>
        <v>29895.315042410395</v>
      </c>
      <c r="T14" s="78">
        <f t="shared" si="3"/>
        <v>3.2297960309860957E-2</v>
      </c>
      <c r="U14" s="77">
        <f t="shared" si="10"/>
        <v>69413.708947289968</v>
      </c>
      <c r="V14" s="78">
        <f t="shared" si="5"/>
        <v>7.4992393067587843E-2</v>
      </c>
    </row>
    <row r="15" spans="2:24" x14ac:dyDescent="0.3">
      <c r="B15" s="68">
        <v>10009334</v>
      </c>
      <c r="C15" s="79" t="s">
        <v>99</v>
      </c>
      <c r="D15" s="70">
        <f>TD!F12</f>
        <v>94.717999999999989</v>
      </c>
      <c r="E15" s="71">
        <f t="shared" si="0"/>
        <v>2781.2425282566564</v>
      </c>
      <c r="F15" s="51">
        <f>TD!G12</f>
        <v>263433.72979141393</v>
      </c>
      <c r="G15" s="51">
        <f>TD!H12</f>
        <v>22756.946679999997</v>
      </c>
      <c r="H15" s="51">
        <f>TD!I12</f>
        <v>3031.4203590579691</v>
      </c>
      <c r="I15" s="51">
        <f>TD!J12</f>
        <v>8189.1575671306273</v>
      </c>
      <c r="J15" s="51">
        <f>TD!K12</f>
        <v>5964.6019196817178</v>
      </c>
      <c r="K15" s="73">
        <v>0</v>
      </c>
      <c r="L15" s="74">
        <v>0</v>
      </c>
      <c r="M15" s="75">
        <f t="shared" si="6"/>
        <v>297411.25439760252</v>
      </c>
      <c r="N15" s="76">
        <f>IFERROR(M15/D15,0)</f>
        <v>3139.9655228953584</v>
      </c>
      <c r="O15" s="76">
        <f t="shared" si="7"/>
        <v>283257.49491079018</v>
      </c>
      <c r="P15" s="76">
        <f t="shared" si="1"/>
        <v>2990.5350082433138</v>
      </c>
      <c r="Q15" s="77">
        <v>3500</v>
      </c>
      <c r="R15" s="77">
        <f>Q15*D15</f>
        <v>331512.99999999994</v>
      </c>
      <c r="S15" s="77">
        <f t="shared" si="2"/>
        <v>34101.745602397423</v>
      </c>
      <c r="T15" s="78">
        <f t="shared" si="3"/>
        <v>0.10286699345846899</v>
      </c>
      <c r="U15" s="77">
        <f t="shared" si="10"/>
        <v>48255.505089209764</v>
      </c>
      <c r="V15" s="78">
        <f t="shared" si="5"/>
        <v>0.14556142621619597</v>
      </c>
    </row>
    <row r="16" spans="2:24" x14ac:dyDescent="0.3">
      <c r="B16" s="68">
        <v>10009386</v>
      </c>
      <c r="C16" s="79" t="s">
        <v>60</v>
      </c>
      <c r="D16" s="70">
        <f>TD!F13</f>
        <v>24.36</v>
      </c>
      <c r="E16" s="71">
        <f t="shared" si="0"/>
        <v>2183.6494283834113</v>
      </c>
      <c r="F16" s="51">
        <f>TD!G13</f>
        <v>53193.700075419903</v>
      </c>
      <c r="G16" s="51">
        <f>TD!H13</f>
        <v>5852.7335999999996</v>
      </c>
      <c r="H16" s="51">
        <f>TD!I13</f>
        <v>779.63428225524319</v>
      </c>
      <c r="I16" s="51">
        <f>TD!J13</f>
        <v>2106.1242671435425</v>
      </c>
      <c r="J16" s="51">
        <f>TD!K13</f>
        <v>1534.0030697802599</v>
      </c>
      <c r="K16" s="73">
        <v>0</v>
      </c>
      <c r="L16" s="74">
        <v>0</v>
      </c>
      <c r="M16" s="75">
        <f t="shared" si="6"/>
        <v>61932.192224818682</v>
      </c>
      <c r="N16" s="76">
        <f>IFERROR(M16/D16,0)</f>
        <v>2542.3724230221133</v>
      </c>
      <c r="O16" s="76">
        <f t="shared" si="7"/>
        <v>58292.064887894885</v>
      </c>
      <c r="P16" s="76">
        <f t="shared" si="1"/>
        <v>2392.9419083700691</v>
      </c>
      <c r="Q16" s="77">
        <v>1600</v>
      </c>
      <c r="R16" s="77">
        <f>Q16*D16</f>
        <v>38976</v>
      </c>
      <c r="S16" s="77">
        <f t="shared" si="2"/>
        <v>-22956.192224818682</v>
      </c>
      <c r="T16" s="78">
        <f t="shared" si="3"/>
        <v>-0.58898276438882091</v>
      </c>
      <c r="U16" s="77">
        <f t="shared" si="10"/>
        <v>-19316.064887894885</v>
      </c>
      <c r="V16" s="78">
        <f t="shared" si="5"/>
        <v>-0.49558869273129325</v>
      </c>
    </row>
    <row r="17" spans="1:23" x14ac:dyDescent="0.3">
      <c r="B17" s="68">
        <v>10009386</v>
      </c>
      <c r="C17" s="79" t="s">
        <v>100</v>
      </c>
      <c r="D17" s="70">
        <f>TD!F14</f>
        <v>45.46</v>
      </c>
      <c r="E17" s="71">
        <f t="shared" si="0"/>
        <v>1355.7979303482587</v>
      </c>
      <c r="F17" s="51">
        <f>TD!G14</f>
        <v>61634.573913631844</v>
      </c>
      <c r="G17" s="51">
        <f>TD!H14</f>
        <v>10922.2196</v>
      </c>
      <c r="H17" s="51">
        <f>TD!I14</f>
        <v>1454.9332705797765</v>
      </c>
      <c r="I17" s="51">
        <f>TD!J14</f>
        <v>3930.3944656956255</v>
      </c>
      <c r="J17" s="51">
        <f>TD!K14</f>
        <v>2862.7167303863143</v>
      </c>
      <c r="K17" s="73">
        <v>0</v>
      </c>
      <c r="L17" s="74">
        <v>0</v>
      </c>
      <c r="M17" s="75">
        <f t="shared" si="6"/>
        <v>77942.121249907243</v>
      </c>
      <c r="N17" s="76">
        <f t="shared" ref="N17:N19" si="11">IFERROR(M17/D17,0)</f>
        <v>1714.5209249869608</v>
      </c>
      <c r="O17" s="76">
        <f t="shared" si="7"/>
        <v>71149.010053825303</v>
      </c>
      <c r="P17" s="76">
        <f t="shared" si="1"/>
        <v>1565.0904103349164</v>
      </c>
      <c r="Q17" s="77">
        <v>1600</v>
      </c>
      <c r="R17" s="77">
        <f>Q17*D17</f>
        <v>72736</v>
      </c>
      <c r="S17" s="77">
        <f t="shared" si="2"/>
        <v>-5206.1212499072426</v>
      </c>
      <c r="T17" s="78">
        <f t="shared" si="3"/>
        <v>-7.1575578116850558E-2</v>
      </c>
      <c r="U17" s="77">
        <f t="shared" si="10"/>
        <v>1586.9899461746973</v>
      </c>
      <c r="V17" s="78">
        <f t="shared" si="5"/>
        <v>2.1818493540677206E-2</v>
      </c>
    </row>
    <row r="18" spans="1:23" x14ac:dyDescent="0.3">
      <c r="B18" s="68"/>
      <c r="C18" s="79" t="s">
        <v>101</v>
      </c>
      <c r="D18" s="70">
        <f>TD!F15</f>
        <v>49.32</v>
      </c>
      <c r="E18" s="71">
        <f t="shared" si="0"/>
        <v>1236.14658212324</v>
      </c>
      <c r="F18" s="51">
        <f>TD!G15</f>
        <v>60966.749430318196</v>
      </c>
      <c r="G18" s="51">
        <f>TD!H15</f>
        <v>11849.6232</v>
      </c>
      <c r="H18" s="51">
        <f>TD!I15</f>
        <v>1578.4713793443595</v>
      </c>
      <c r="I18" s="51">
        <f>TD!J15</f>
        <v>4264.1235162364337</v>
      </c>
      <c r="J18" s="51">
        <f>TD!K15</f>
        <v>3105.7894664023979</v>
      </c>
      <c r="K18" s="73">
        <v>0</v>
      </c>
      <c r="L18" s="74">
        <v>0</v>
      </c>
      <c r="M18" s="75">
        <f t="shared" si="6"/>
        <v>78658.967525898988</v>
      </c>
      <c r="N18" s="76">
        <f t="shared" si="11"/>
        <v>1594.8695767619422</v>
      </c>
      <c r="O18" s="76">
        <f t="shared" si="7"/>
        <v>71289.054543260165</v>
      </c>
      <c r="P18" s="76">
        <f t="shared" si="1"/>
        <v>1445.4390621098978</v>
      </c>
      <c r="Q18" s="77">
        <v>1550</v>
      </c>
      <c r="R18" s="80">
        <f>Q18*D18</f>
        <v>76446</v>
      </c>
      <c r="S18" s="77">
        <f t="shared" si="2"/>
        <v>-2212.9675258989882</v>
      </c>
      <c r="T18" s="78">
        <f t="shared" si="3"/>
        <v>-2.8948114039962697E-2</v>
      </c>
      <c r="U18" s="77">
        <f t="shared" si="10"/>
        <v>5156.9454567398352</v>
      </c>
      <c r="V18" s="78">
        <f t="shared" si="5"/>
        <v>6.7458669606517474E-2</v>
      </c>
    </row>
    <row r="19" spans="1:23" ht="15" thickBot="1" x14ac:dyDescent="0.35">
      <c r="B19" s="68"/>
      <c r="C19" s="79" t="s">
        <v>102</v>
      </c>
      <c r="D19" s="70">
        <f>TD!F16</f>
        <v>0</v>
      </c>
      <c r="E19" s="71">
        <f t="shared" si="0"/>
        <v>0</v>
      </c>
      <c r="F19" s="51">
        <f>TD!G16</f>
        <v>0</v>
      </c>
      <c r="G19" s="51">
        <f>TD!H16</f>
        <v>0</v>
      </c>
      <c r="H19" s="51">
        <f>TD!I16</f>
        <v>0</v>
      </c>
      <c r="I19" s="51">
        <f>TD!J16</f>
        <v>0</v>
      </c>
      <c r="J19" s="51">
        <f>TD!K16</f>
        <v>0</v>
      </c>
      <c r="K19" s="73">
        <v>0</v>
      </c>
      <c r="L19" s="74">
        <v>0</v>
      </c>
      <c r="M19" s="75">
        <f t="shared" si="6"/>
        <v>0</v>
      </c>
      <c r="N19" s="76">
        <f t="shared" si="11"/>
        <v>0</v>
      </c>
      <c r="O19" s="76">
        <f t="shared" si="7"/>
        <v>0</v>
      </c>
      <c r="P19" s="76">
        <f t="shared" si="1"/>
        <v>0</v>
      </c>
      <c r="Q19" s="77">
        <v>1800</v>
      </c>
      <c r="R19" s="80">
        <f>Q19*D19</f>
        <v>0</v>
      </c>
      <c r="S19" s="77">
        <f t="shared" si="2"/>
        <v>0</v>
      </c>
      <c r="T19" s="78">
        <f t="shared" si="3"/>
        <v>0</v>
      </c>
      <c r="U19" s="77">
        <f t="shared" si="10"/>
        <v>0</v>
      </c>
      <c r="V19" s="78">
        <f t="shared" si="5"/>
        <v>0</v>
      </c>
    </row>
    <row r="20" spans="1:23" ht="15" thickBot="1" x14ac:dyDescent="0.35">
      <c r="C20" s="81" t="s">
        <v>119</v>
      </c>
      <c r="D20" s="82">
        <f>SUM(D7:D19)</f>
        <v>1966.6879999999999</v>
      </c>
      <c r="E20" s="83">
        <f t="shared" si="0"/>
        <v>1833.3948413909141</v>
      </c>
      <c r="F20" s="84">
        <f t="shared" ref="F20:K20" si="12">SUM(F7:F19)</f>
        <v>3605715.6338254139</v>
      </c>
      <c r="G20" s="84">
        <f t="shared" si="12"/>
        <v>472516.45887999999</v>
      </c>
      <c r="H20" s="84">
        <f t="shared" si="12"/>
        <v>62943.242499999986</v>
      </c>
      <c r="I20" s="84">
        <f t="shared" si="12"/>
        <v>170036.50749999998</v>
      </c>
      <c r="J20" s="84">
        <f t="shared" si="12"/>
        <v>123846.69249999999</v>
      </c>
      <c r="K20" s="84">
        <f t="shared" si="12"/>
        <v>0</v>
      </c>
      <c r="L20" s="85">
        <v>0</v>
      </c>
      <c r="M20" s="86">
        <f>SUM(M7:M19)</f>
        <v>4311211.8427054137</v>
      </c>
      <c r="N20" s="86">
        <f>IFERROR(M20/D20,0)</f>
        <v>2192.1178360296162</v>
      </c>
      <c r="O20" s="86">
        <f>SUM(O7:O19)</f>
        <v>4017328.6427054126</v>
      </c>
      <c r="P20" s="86">
        <f t="shared" si="1"/>
        <v>2042.6873213775712</v>
      </c>
      <c r="Q20" s="87">
        <f>R20/D20</f>
        <v>2224.0355358857128</v>
      </c>
      <c r="R20" s="88">
        <f t="shared" ref="R20:S20" si="13">SUM(R7:R19)</f>
        <v>4373984</v>
      </c>
      <c r="S20" s="87">
        <f t="shared" si="13"/>
        <v>62772.157294586723</v>
      </c>
      <c r="T20" s="89">
        <f>S20/R20</f>
        <v>1.4351254438650604E-2</v>
      </c>
      <c r="U20" s="87">
        <f>SUM(U7:U19)</f>
        <v>356655.3572945866</v>
      </c>
      <c r="V20" s="89">
        <f t="shared" si="5"/>
        <v>8.1540160479459139E-2</v>
      </c>
    </row>
    <row r="21" spans="1:23" x14ac:dyDescent="0.3">
      <c r="I21" s="53"/>
      <c r="J21" s="53"/>
      <c r="N21" s="51"/>
      <c r="O21" s="51"/>
    </row>
    <row r="22" spans="1:23" ht="15" thickBot="1" x14ac:dyDescent="0.35">
      <c r="C22" s="54" t="s">
        <v>120</v>
      </c>
      <c r="L22" s="90"/>
      <c r="M22" s="51"/>
      <c r="N22" s="91"/>
      <c r="O22" s="91"/>
      <c r="P22" s="91"/>
      <c r="Q22" s="91"/>
      <c r="R22" s="92"/>
      <c r="S22" s="91"/>
      <c r="T22" s="91"/>
      <c r="U22" s="91"/>
      <c r="V22" s="91"/>
      <c r="W22" s="51"/>
    </row>
    <row r="23" spans="1:23" ht="29.4" thickBot="1" x14ac:dyDescent="0.35">
      <c r="C23" s="59" t="s">
        <v>106</v>
      </c>
      <c r="D23" s="93" t="s">
        <v>107</v>
      </c>
      <c r="E23" s="94" t="s">
        <v>108</v>
      </c>
      <c r="F23" s="59" t="s">
        <v>67</v>
      </c>
      <c r="G23" s="59" t="s">
        <v>68</v>
      </c>
      <c r="H23" s="59" t="s">
        <v>69</v>
      </c>
      <c r="I23" s="59" t="s">
        <v>70</v>
      </c>
      <c r="J23" s="59" t="s">
        <v>71</v>
      </c>
      <c r="K23" s="59" t="s">
        <v>72</v>
      </c>
      <c r="L23" s="95" t="s">
        <v>73</v>
      </c>
      <c r="M23" s="96" t="s">
        <v>109</v>
      </c>
      <c r="N23" s="96" t="s">
        <v>110</v>
      </c>
      <c r="O23" s="96" t="s">
        <v>111</v>
      </c>
      <c r="P23" s="96" t="s">
        <v>112</v>
      </c>
      <c r="Q23" s="66" t="s">
        <v>113</v>
      </c>
      <c r="R23" s="66" t="s">
        <v>114</v>
      </c>
      <c r="S23" s="66" t="s">
        <v>115</v>
      </c>
      <c r="T23" s="66" t="s">
        <v>116</v>
      </c>
      <c r="U23" s="66" t="s">
        <v>117</v>
      </c>
      <c r="V23" s="66" t="s">
        <v>118</v>
      </c>
      <c r="W23" s="51"/>
    </row>
    <row r="24" spans="1:23" x14ac:dyDescent="0.3">
      <c r="A24" s="97"/>
      <c r="C24" s="79" t="s">
        <v>92</v>
      </c>
      <c r="D24" s="70">
        <f>Stock!K58</f>
        <v>27</v>
      </c>
      <c r="E24" s="71">
        <f t="shared" ref="E24:E29" si="14">IFERROR(F24/D24,0)</f>
        <v>1831.106</v>
      </c>
      <c r="F24" s="51">
        <f>Stock!L58</f>
        <v>49439.862000000001</v>
      </c>
      <c r="G24" s="51">
        <f>Stock!M58</f>
        <v>6487.0199999999995</v>
      </c>
      <c r="H24" s="51">
        <f>Stock!N58</f>
        <v>2250.6522943980931</v>
      </c>
      <c r="I24" s="51">
        <f>Stock!O58</f>
        <v>6079.9704707985702</v>
      </c>
      <c r="J24" s="51">
        <f>Stock!P58</f>
        <v>4428.3680274135877</v>
      </c>
      <c r="K24" s="73">
        <v>0</v>
      </c>
      <c r="L24" s="74">
        <v>0</v>
      </c>
      <c r="M24" s="75">
        <f t="shared" ref="M24:M29" si="15">F24+G24+H24+I24</f>
        <v>64257.504765196667</v>
      </c>
      <c r="N24" s="76">
        <f t="shared" ref="N24:N29" si="16">IFERROR(M24/D24,0)</f>
        <v>2379.907583896173</v>
      </c>
      <c r="O24" s="76">
        <f t="shared" ref="O24:O29" si="17">F24+G24+H24-J24</f>
        <v>53749.16626698451</v>
      </c>
      <c r="P24" s="76">
        <f t="shared" ref="P24:P29" si="18">IFERROR(O24/D24,0)</f>
        <v>1990.7098617401671</v>
      </c>
      <c r="Q24" s="77">
        <f>Q7</f>
        <v>1550</v>
      </c>
      <c r="R24" s="77">
        <f t="shared" ref="R24:R29" si="19">Q24*D24</f>
        <v>41850</v>
      </c>
      <c r="S24" s="77">
        <f t="shared" ref="S24:S29" si="20">R24-M24</f>
        <v>-22407.504765196667</v>
      </c>
      <c r="T24" s="78">
        <f t="shared" ref="T24:T29" si="21">IFERROR(S24/R24,0)</f>
        <v>-0.53542424767495023</v>
      </c>
      <c r="U24" s="77">
        <f t="shared" ref="U24:U29" si="22">R24-(M24-J24-I24)</f>
        <v>-11899.166266984503</v>
      </c>
      <c r="V24" s="78">
        <f t="shared" ref="V24:V29" si="23">IFERROR(U24/R24,0)</f>
        <v>-0.28432894305817213</v>
      </c>
      <c r="W24" s="51"/>
    </row>
    <row r="25" spans="1:23" x14ac:dyDescent="0.3">
      <c r="A25" s="97"/>
      <c r="C25" s="79" t="s">
        <v>94</v>
      </c>
      <c r="D25" s="70">
        <f>Stock!K59</f>
        <v>54</v>
      </c>
      <c r="E25" s="71">
        <f t="shared" si="14"/>
        <v>1652.0360000000001</v>
      </c>
      <c r="F25" s="51">
        <f>Stock!L59</f>
        <v>89209.944000000003</v>
      </c>
      <c r="G25" s="51">
        <f>Stock!M59</f>
        <v>12974.039999999999</v>
      </c>
      <c r="H25" s="51">
        <f>Stock!N59</f>
        <v>4501.3045887961862</v>
      </c>
      <c r="I25" s="51">
        <f>Stock!O59</f>
        <v>12159.94094159714</v>
      </c>
      <c r="J25" s="51">
        <f>Stock!P59</f>
        <v>8856.7360548271754</v>
      </c>
      <c r="K25" s="73">
        <v>0</v>
      </c>
      <c r="L25" s="74">
        <v>0</v>
      </c>
      <c r="M25" s="75">
        <f t="shared" si="15"/>
        <v>118845.22953039334</v>
      </c>
      <c r="N25" s="76">
        <f t="shared" si="16"/>
        <v>2200.8375838961729</v>
      </c>
      <c r="O25" s="76">
        <f t="shared" si="17"/>
        <v>97828.552533969021</v>
      </c>
      <c r="P25" s="76">
        <f t="shared" si="18"/>
        <v>1811.6398617401671</v>
      </c>
      <c r="Q25" s="77">
        <f>Q9</f>
        <v>1800</v>
      </c>
      <c r="R25" s="77">
        <f t="shared" si="19"/>
        <v>97200</v>
      </c>
      <c r="S25" s="77">
        <f>R25-M25</f>
        <v>-21645.229530393335</v>
      </c>
      <c r="T25" s="78">
        <f t="shared" si="21"/>
        <v>-0.22268754660898493</v>
      </c>
      <c r="U25" s="77">
        <f t="shared" si="22"/>
        <v>-628.55253396900662</v>
      </c>
      <c r="V25" s="78">
        <f t="shared" si="23"/>
        <v>-6.4665898556482164E-3</v>
      </c>
      <c r="W25" s="51"/>
    </row>
    <row r="26" spans="1:23" x14ac:dyDescent="0.3">
      <c r="A26" s="97"/>
      <c r="C26" s="79" t="s">
        <v>96</v>
      </c>
      <c r="D26" s="70">
        <f>Stock!K60</f>
        <v>0</v>
      </c>
      <c r="E26" s="71">
        <f t="shared" si="14"/>
        <v>0</v>
      </c>
      <c r="F26" s="51">
        <f>Stock!L60</f>
        <v>0</v>
      </c>
      <c r="G26" s="51">
        <f>Stock!M60</f>
        <v>0</v>
      </c>
      <c r="H26" s="51">
        <f>Stock!N60</f>
        <v>0</v>
      </c>
      <c r="I26" s="51">
        <f>Stock!O60</f>
        <v>0</v>
      </c>
      <c r="J26" s="51">
        <f>Stock!P60</f>
        <v>0</v>
      </c>
      <c r="K26" s="73">
        <v>0</v>
      </c>
      <c r="L26" s="74">
        <v>0</v>
      </c>
      <c r="M26" s="75">
        <f t="shared" si="15"/>
        <v>0</v>
      </c>
      <c r="N26" s="76">
        <f t="shared" si="16"/>
        <v>0</v>
      </c>
      <c r="O26" s="76">
        <f t="shared" si="17"/>
        <v>0</v>
      </c>
      <c r="P26" s="76">
        <f t="shared" si="18"/>
        <v>0</v>
      </c>
      <c r="Q26" s="77">
        <f>Q11</f>
        <v>2400</v>
      </c>
      <c r="R26" s="77">
        <f t="shared" si="19"/>
        <v>0</v>
      </c>
      <c r="S26" s="77">
        <f t="shared" si="20"/>
        <v>0</v>
      </c>
      <c r="T26" s="78">
        <f t="shared" si="21"/>
        <v>0</v>
      </c>
      <c r="U26" s="77">
        <f t="shared" si="22"/>
        <v>0</v>
      </c>
      <c r="V26" s="78">
        <f t="shared" si="23"/>
        <v>0</v>
      </c>
      <c r="W26" s="51"/>
    </row>
    <row r="27" spans="1:23" x14ac:dyDescent="0.3">
      <c r="A27" s="97"/>
      <c r="C27" s="79" t="s">
        <v>98</v>
      </c>
      <c r="D27" s="70">
        <f>Stock!K61</f>
        <v>594</v>
      </c>
      <c r="E27" s="71">
        <f t="shared" si="14"/>
        <v>2846.9569999999999</v>
      </c>
      <c r="F27" s="51">
        <f>Stock!L61</f>
        <v>1691092.4579999999</v>
      </c>
      <c r="G27" s="51">
        <f>Stock!M61</f>
        <v>142714.44</v>
      </c>
      <c r="H27" s="51">
        <f>Stock!N61</f>
        <v>49514.350476758045</v>
      </c>
      <c r="I27" s="51">
        <f>Stock!O61</f>
        <v>133759.35035756853</v>
      </c>
      <c r="J27" s="51">
        <f>Stock!P61</f>
        <v>97424.096603098922</v>
      </c>
      <c r="K27" s="73">
        <v>0</v>
      </c>
      <c r="L27" s="74">
        <v>0</v>
      </c>
      <c r="M27" s="75">
        <f t="shared" si="15"/>
        <v>2017080.5988343265</v>
      </c>
      <c r="N27" s="76">
        <f t="shared" si="16"/>
        <v>3395.7585838961727</v>
      </c>
      <c r="O27" s="76">
        <f t="shared" si="17"/>
        <v>1785897.1518736589</v>
      </c>
      <c r="P27" s="76">
        <f t="shared" si="18"/>
        <v>3006.5608617401663</v>
      </c>
      <c r="Q27" s="77">
        <f>Q14</f>
        <v>3500</v>
      </c>
      <c r="R27" s="77">
        <f t="shared" si="19"/>
        <v>2079000</v>
      </c>
      <c r="S27" s="77">
        <f t="shared" si="20"/>
        <v>61919.401165673509</v>
      </c>
      <c r="T27" s="78">
        <f t="shared" si="21"/>
        <v>2.9783261743950702E-2</v>
      </c>
      <c r="U27" s="77">
        <f t="shared" si="22"/>
        <v>293102.84812634112</v>
      </c>
      <c r="V27" s="78">
        <f t="shared" si="23"/>
        <v>0.14098261093138101</v>
      </c>
      <c r="W27" s="51"/>
    </row>
    <row r="28" spans="1:23" x14ac:dyDescent="0.3">
      <c r="A28" s="97"/>
      <c r="C28" s="79" t="s">
        <v>99</v>
      </c>
      <c r="D28" s="70">
        <f>Stock!K62</f>
        <v>53.1</v>
      </c>
      <c r="E28" s="71">
        <f t="shared" si="14"/>
        <v>2574.8230000000003</v>
      </c>
      <c r="F28" s="51">
        <f>Stock!L62</f>
        <v>136723.10130000001</v>
      </c>
      <c r="G28" s="51">
        <f>Stock!M62</f>
        <v>12757.806</v>
      </c>
      <c r="H28" s="51">
        <f>Stock!N62</f>
        <v>4426.2828456495827</v>
      </c>
      <c r="I28" s="51">
        <f>Stock!O62</f>
        <v>11957.275259237187</v>
      </c>
      <c r="J28" s="51">
        <f>Stock!P62</f>
        <v>8709.1237872467227</v>
      </c>
      <c r="K28" s="73">
        <v>0</v>
      </c>
      <c r="L28" s="74">
        <v>0</v>
      </c>
      <c r="M28" s="75">
        <f t="shared" si="15"/>
        <v>165864.46540488678</v>
      </c>
      <c r="N28" s="76">
        <f t="shared" si="16"/>
        <v>3123.6245838961727</v>
      </c>
      <c r="O28" s="76">
        <f t="shared" si="17"/>
        <v>145198.06635840287</v>
      </c>
      <c r="P28" s="76">
        <f t="shared" si="18"/>
        <v>2734.4268617401667</v>
      </c>
      <c r="Q28" s="77">
        <f>Q15</f>
        <v>3500</v>
      </c>
      <c r="R28" s="80">
        <f t="shared" si="19"/>
        <v>185850</v>
      </c>
      <c r="S28" s="80">
        <f t="shared" si="20"/>
        <v>19985.534595113219</v>
      </c>
      <c r="T28" s="78">
        <f t="shared" si="21"/>
        <v>0.10753583317252202</v>
      </c>
      <c r="U28" s="80">
        <f t="shared" si="22"/>
        <v>40651.933641597134</v>
      </c>
      <c r="V28" s="78">
        <f t="shared" si="23"/>
        <v>0.21873518235995229</v>
      </c>
      <c r="W28" s="51"/>
    </row>
    <row r="29" spans="1:23" ht="15" thickBot="1" x14ac:dyDescent="0.35">
      <c r="A29" s="97"/>
      <c r="C29" s="79" t="s">
        <v>95</v>
      </c>
      <c r="D29" s="70">
        <f>Stock!K63</f>
        <v>27</v>
      </c>
      <c r="E29" s="71">
        <f t="shared" si="14"/>
        <v>2246.6200000000003</v>
      </c>
      <c r="F29" s="51">
        <f>Stock!L63</f>
        <v>60658.740000000005</v>
      </c>
      <c r="G29" s="51">
        <f>Stock!M63</f>
        <v>6487.0199999999995</v>
      </c>
      <c r="H29" s="51">
        <f>Stock!N63</f>
        <v>2250.6522943980931</v>
      </c>
      <c r="I29" s="51">
        <f>Stock!O63</f>
        <v>6079.9704707985702</v>
      </c>
      <c r="J29" s="51">
        <f>Stock!P63</f>
        <v>4428.3680274135877</v>
      </c>
      <c r="K29" s="73">
        <v>0</v>
      </c>
      <c r="L29" s="74">
        <v>0</v>
      </c>
      <c r="M29" s="75">
        <f t="shared" si="15"/>
        <v>75476.382765196671</v>
      </c>
      <c r="N29" s="76">
        <f t="shared" si="16"/>
        <v>2795.4215838961732</v>
      </c>
      <c r="O29" s="76">
        <f t="shared" si="17"/>
        <v>64968.044266984522</v>
      </c>
      <c r="P29" s="76">
        <f t="shared" si="18"/>
        <v>2406.2238617401676</v>
      </c>
      <c r="Q29" s="77">
        <f>Q10</f>
        <v>2200</v>
      </c>
      <c r="R29" s="80">
        <f t="shared" si="19"/>
        <v>59400</v>
      </c>
      <c r="S29" s="80">
        <f t="shared" si="20"/>
        <v>-16076.382765196671</v>
      </c>
      <c r="T29" s="78">
        <f t="shared" si="21"/>
        <v>-0.27064617449826045</v>
      </c>
      <c r="U29" s="80">
        <f t="shared" si="22"/>
        <v>-5568.0442669845143</v>
      </c>
      <c r="V29" s="78">
        <f t="shared" si="23"/>
        <v>-9.3738118972803264E-2</v>
      </c>
      <c r="W29" s="51"/>
    </row>
    <row r="30" spans="1:23" ht="15" thickBot="1" x14ac:dyDescent="0.35">
      <c r="C30" s="98" t="s">
        <v>119</v>
      </c>
      <c r="D30" s="82">
        <f>SUM(D24:D29)</f>
        <v>755.1</v>
      </c>
      <c r="E30" s="83">
        <f>F30/D30</f>
        <v>2684.5770166865314</v>
      </c>
      <c r="F30" s="84">
        <f t="shared" ref="F30:K30" si="24">SUM(F24:F29)</f>
        <v>2027124.1052999999</v>
      </c>
      <c r="G30" s="84">
        <f t="shared" si="24"/>
        <v>181420.326</v>
      </c>
      <c r="H30" s="84">
        <f>[2]Stock!N97</f>
        <v>78579.000000000015</v>
      </c>
      <c r="I30" s="84">
        <f>[2]Stock!O97</f>
        <v>154473.00000000003</v>
      </c>
      <c r="J30" s="84">
        <f>[2]Stock!P97</f>
        <v>123484.35000000002</v>
      </c>
      <c r="K30" s="84">
        <f t="shared" si="24"/>
        <v>0</v>
      </c>
      <c r="L30" s="85">
        <v>0</v>
      </c>
      <c r="M30" s="86">
        <f>SUM(M24:M29)</f>
        <v>2441524.1812999998</v>
      </c>
      <c r="N30" s="86">
        <f>IFERROR(M30/D30,0)</f>
        <v>3233.3786005827042</v>
      </c>
      <c r="O30" s="86">
        <f>SUM(O24:O29)</f>
        <v>2147640.9812999996</v>
      </c>
      <c r="P30" s="86">
        <f>IFERROR(O30/D30,0)</f>
        <v>2844.1808784266977</v>
      </c>
      <c r="Q30" s="87">
        <f>R30/D30</f>
        <v>3262.2169249106078</v>
      </c>
      <c r="R30" s="88">
        <f>SUM(R24:R29)</f>
        <v>2463300</v>
      </c>
      <c r="S30" s="88">
        <f>SUM(S24:S29)</f>
        <v>21775.818700000054</v>
      </c>
      <c r="T30" s="89">
        <f>S30/R30</f>
        <v>8.8401001502050325E-3</v>
      </c>
      <c r="U30" s="88">
        <f>SUM(U24:U29)</f>
        <v>315659.01870000019</v>
      </c>
      <c r="V30" s="89">
        <f>IFERROR(U30/R30,0)</f>
        <v>0.12814477274388023</v>
      </c>
      <c r="W30" s="51"/>
    </row>
    <row r="31" spans="1:23" ht="15" thickBot="1" x14ac:dyDescent="0.35">
      <c r="D31" s="48">
        <v>909.72</v>
      </c>
      <c r="E31" s="48">
        <v>270</v>
      </c>
      <c r="G31" s="51"/>
      <c r="J31" s="53"/>
      <c r="L31" s="90"/>
      <c r="N31" s="91"/>
      <c r="O31" s="91"/>
      <c r="P31" s="91"/>
      <c r="Q31" s="91"/>
      <c r="R31" s="91"/>
      <c r="S31" s="91"/>
      <c r="T31" s="91"/>
      <c r="U31" s="91"/>
      <c r="V31" s="91"/>
      <c r="W31" s="51"/>
    </row>
    <row r="32" spans="1:23" ht="15" thickBot="1" x14ac:dyDescent="0.35">
      <c r="C32" s="98" t="s">
        <v>119</v>
      </c>
      <c r="D32" s="82">
        <f>D20+D30</f>
        <v>2721.788</v>
      </c>
      <c r="E32" s="83">
        <f>F32/D32</f>
        <v>2069.5365469777271</v>
      </c>
      <c r="F32" s="84">
        <f t="shared" ref="F32:K32" si="25">F20+F30</f>
        <v>5632839.7391254138</v>
      </c>
      <c r="G32" s="84">
        <f t="shared" si="25"/>
        <v>653936.78487999993</v>
      </c>
      <c r="H32" s="84">
        <f t="shared" si="25"/>
        <v>141522.24249999999</v>
      </c>
      <c r="I32" s="84">
        <f t="shared" si="25"/>
        <v>324509.50750000001</v>
      </c>
      <c r="J32" s="84">
        <f t="shared" si="25"/>
        <v>247331.04250000001</v>
      </c>
      <c r="K32" s="84">
        <f t="shared" si="25"/>
        <v>0</v>
      </c>
      <c r="L32" s="85">
        <v>0</v>
      </c>
      <c r="M32" s="86">
        <f>M20+M30</f>
        <v>6752736.0240054131</v>
      </c>
      <c r="N32" s="86">
        <f>IFERROR(M32/D32,0)</f>
        <v>2480.9926504214923</v>
      </c>
      <c r="O32" s="86">
        <f>O20+O30</f>
        <v>6164969.6240054127</v>
      </c>
      <c r="P32" s="86">
        <f>IFERROR(O32/D32,0)</f>
        <v>2265.0440166557473</v>
      </c>
      <c r="Q32" s="87">
        <f>R32/D32</f>
        <v>2512.0560455112595</v>
      </c>
      <c r="R32" s="88">
        <f>R20+R30</f>
        <v>6837284</v>
      </c>
      <c r="S32" s="88">
        <f>S20+S30</f>
        <v>84547.97599458677</v>
      </c>
      <c r="T32" s="89">
        <f>S32/R32</f>
        <v>1.2365725336930098E-2</v>
      </c>
      <c r="U32" s="88">
        <f>U20+U30</f>
        <v>672314.37599458685</v>
      </c>
      <c r="V32" s="89">
        <f>IFERROR(U32/R32,0)</f>
        <v>9.8330620169439623E-2</v>
      </c>
    </row>
    <row r="33" spans="4:23" x14ac:dyDescent="0.3">
      <c r="L33" s="90"/>
      <c r="N33" s="51"/>
      <c r="O33" s="91"/>
      <c r="P33" s="91"/>
      <c r="Q33" s="91"/>
      <c r="R33" s="91"/>
      <c r="S33" s="91"/>
      <c r="T33" s="91"/>
      <c r="U33" s="91"/>
      <c r="V33" s="91"/>
      <c r="W33" s="51"/>
    </row>
    <row r="34" spans="4:23" x14ac:dyDescent="0.3">
      <c r="L34" s="90"/>
      <c r="N34" s="51"/>
      <c r="O34" s="91"/>
      <c r="P34" s="91"/>
      <c r="Q34" s="99" t="s">
        <v>121</v>
      </c>
      <c r="R34" s="91" t="e">
        <f>R30+#REF!</f>
        <v>#REF!</v>
      </c>
      <c r="S34" s="91"/>
      <c r="T34" s="91"/>
      <c r="U34" s="91"/>
      <c r="V34" s="91"/>
      <c r="W34" s="51"/>
    </row>
    <row r="35" spans="4:23" x14ac:dyDescent="0.3">
      <c r="M35" s="51"/>
      <c r="R35" s="51" t="e">
        <f>R34-'[2]Inventario Precios Altos'!R51</f>
        <v>#REF!</v>
      </c>
      <c r="S35" s="51">
        <f>F32*7%/12</f>
        <v>32858.231811564918</v>
      </c>
      <c r="T35" s="48" t="s">
        <v>122</v>
      </c>
      <c r="U35" s="100"/>
    </row>
    <row r="36" spans="4:23" x14ac:dyDescent="0.3">
      <c r="D36" s="100"/>
      <c r="M36" s="53"/>
      <c r="S36" s="53">
        <f>S35/D32</f>
        <v>12.072296524036743</v>
      </c>
      <c r="T36" s="48" t="s">
        <v>123</v>
      </c>
    </row>
    <row r="37" spans="4:23" x14ac:dyDescent="0.3">
      <c r="S37" s="48">
        <f>42/6*D30</f>
        <v>5285.7</v>
      </c>
      <c r="T37" s="48" t="s">
        <v>124</v>
      </c>
    </row>
    <row r="38" spans="4:23" x14ac:dyDescent="0.3">
      <c r="S38" s="53"/>
    </row>
    <row r="39" spans="4:23" x14ac:dyDescent="0.3">
      <c r="S39" s="53"/>
    </row>
  </sheetData>
  <mergeCells count="1">
    <mergeCell ref="F5:V5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62ED6-4748-410D-86D8-EB46B4AA44BB}">
  <dimension ref="A2:AF29"/>
  <sheetViews>
    <sheetView showGridLines="0" zoomScale="80" zoomScaleNormal="80" workbookViewId="0">
      <selection activeCell="N19" sqref="N19"/>
    </sheetView>
  </sheetViews>
  <sheetFormatPr baseColWidth="10" defaultRowHeight="14.4" outlineLevelCol="1" x14ac:dyDescent="0.3"/>
  <cols>
    <col min="1" max="1" width="11.5546875" style="103"/>
    <col min="2" max="2" width="10.5546875" style="103" customWidth="1"/>
    <col min="3" max="5" width="11.5546875" style="103"/>
    <col min="6" max="6" width="25.6640625" style="103" bestFit="1" customWidth="1"/>
    <col min="7" max="10" width="11.5546875" style="103" hidden="1" customWidth="1" outlineLevel="1"/>
    <col min="11" max="11" width="24.109375" style="103" hidden="1" customWidth="1" outlineLevel="1"/>
    <col min="12" max="12" width="11.5546875" style="103" hidden="1" customWidth="1" outlineLevel="1"/>
    <col min="13" max="13" width="10.88671875" style="103" customWidth="1" collapsed="1"/>
    <col min="14" max="14" width="11.5546875" style="103"/>
    <col min="15" max="15" width="12.21875" style="103" bestFit="1" customWidth="1"/>
    <col min="16" max="16" width="12.21875" style="103" customWidth="1"/>
    <col min="17" max="17" width="9.33203125" style="103" customWidth="1"/>
    <col min="18" max="18" width="12.21875" style="103" bestFit="1" customWidth="1"/>
    <col min="19" max="19" width="12.77734375" style="103" bestFit="1" customWidth="1"/>
    <col min="20" max="25" width="11.5546875" style="103"/>
    <col min="26" max="26" width="12.44140625" style="103" bestFit="1" customWidth="1"/>
    <col min="27" max="27" width="11.5546875" style="103"/>
    <col min="28" max="28" width="8" style="103" customWidth="1"/>
    <col min="29" max="16384" width="11.5546875" style="103"/>
  </cols>
  <sheetData>
    <row r="2" spans="1:32" x14ac:dyDescent="0.3">
      <c r="A2" s="102" t="s">
        <v>128</v>
      </c>
    </row>
    <row r="4" spans="1:32" ht="28.8" x14ac:dyDescent="0.3">
      <c r="A4" s="104" t="s">
        <v>129</v>
      </c>
      <c r="B4" s="104" t="s">
        <v>130</v>
      </c>
      <c r="C4" s="105" t="s">
        <v>131</v>
      </c>
      <c r="D4" s="106" t="s">
        <v>132</v>
      </c>
      <c r="E4" s="107" t="s">
        <v>133</v>
      </c>
      <c r="F4" s="105" t="s">
        <v>106</v>
      </c>
      <c r="G4" s="105" t="s">
        <v>134</v>
      </c>
      <c r="H4" s="105" t="s">
        <v>135</v>
      </c>
      <c r="I4" s="104" t="s">
        <v>136</v>
      </c>
      <c r="J4" s="104" t="s">
        <v>137</v>
      </c>
      <c r="K4" s="104" t="s">
        <v>138</v>
      </c>
      <c r="L4" s="104" t="s">
        <v>139</v>
      </c>
      <c r="M4" s="104" t="s">
        <v>140</v>
      </c>
      <c r="N4" s="107" t="s">
        <v>141</v>
      </c>
      <c r="O4" s="108" t="s">
        <v>142</v>
      </c>
      <c r="P4" s="108" t="s">
        <v>206</v>
      </c>
      <c r="Q4" s="104" t="s">
        <v>108</v>
      </c>
      <c r="R4" s="105" t="s">
        <v>143</v>
      </c>
      <c r="S4" s="105" t="s">
        <v>144</v>
      </c>
      <c r="T4" s="105" t="s">
        <v>145</v>
      </c>
      <c r="U4" s="105" t="s">
        <v>146</v>
      </c>
      <c r="V4" s="105" t="s">
        <v>207</v>
      </c>
      <c r="W4" s="105" t="s">
        <v>147</v>
      </c>
      <c r="X4" s="105" t="s">
        <v>148</v>
      </c>
      <c r="Y4" s="105" t="s">
        <v>149</v>
      </c>
      <c r="Z4" s="105" t="s">
        <v>71</v>
      </c>
      <c r="AA4" s="105" t="s">
        <v>117</v>
      </c>
      <c r="AC4" s="105" t="s">
        <v>150</v>
      </c>
      <c r="AD4" s="105" t="s">
        <v>151</v>
      </c>
      <c r="AE4" s="105" t="s">
        <v>152</v>
      </c>
      <c r="AF4" s="105" t="s">
        <v>153</v>
      </c>
    </row>
    <row r="5" spans="1:32" x14ac:dyDescent="0.3">
      <c r="A5" s="109" t="s">
        <v>154</v>
      </c>
      <c r="B5" s="110" t="s">
        <v>155</v>
      </c>
      <c r="C5" s="128">
        <v>237</v>
      </c>
      <c r="D5" s="128">
        <v>46266</v>
      </c>
      <c r="E5" s="112">
        <v>27</v>
      </c>
      <c r="F5" s="113" t="s">
        <v>97</v>
      </c>
      <c r="G5" s="114" t="s">
        <v>156</v>
      </c>
      <c r="H5" s="114" t="s">
        <v>157</v>
      </c>
      <c r="I5" s="114" t="s">
        <v>158</v>
      </c>
      <c r="J5" s="114" t="s">
        <v>159</v>
      </c>
      <c r="K5" s="115" t="s">
        <v>160</v>
      </c>
      <c r="L5" s="114" t="s">
        <v>161</v>
      </c>
      <c r="M5" s="116" t="s">
        <v>198</v>
      </c>
      <c r="N5" s="116">
        <v>2580</v>
      </c>
      <c r="O5" s="117">
        <f>E5*N5</f>
        <v>69660</v>
      </c>
      <c r="P5" s="117">
        <v>2487</v>
      </c>
      <c r="Q5" s="118">
        <f>'Resumen Inventario'!E12</f>
        <v>1615.1088128332406</v>
      </c>
      <c r="R5" s="118">
        <f>Q5*E5</f>
        <v>43607.937946497492</v>
      </c>
      <c r="S5" s="119">
        <f>O5-R5</f>
        <v>26052.062053502508</v>
      </c>
      <c r="T5" s="120">
        <f>E5*207.84</f>
        <v>5611.68</v>
      </c>
      <c r="U5" s="118">
        <f>U$19/$E$19*$E5</f>
        <v>1645.3041353638228</v>
      </c>
      <c r="V5" s="118">
        <f t="shared" ref="V5:V17" si="0">(O5-P5)*0.03</f>
        <v>2015.1899999999998</v>
      </c>
      <c r="W5" s="119">
        <f t="shared" ref="W5:W17" si="1">S5-T5-U5+V5</f>
        <v>20810.267918138685</v>
      </c>
      <c r="X5" s="118">
        <f>X$19/$E$19*$E5</f>
        <v>4444.6672564186965</v>
      </c>
      <c r="Y5" s="119">
        <f t="shared" ref="Y5:Y17" si="2">W5-X5</f>
        <v>16365.600661719989</v>
      </c>
      <c r="Z5" s="118">
        <f>Z$19/$E$19*$E5</f>
        <v>3237.2891390427135</v>
      </c>
      <c r="AA5" s="119">
        <f t="shared" ref="AA5:AA17" si="3">W5+Z5</f>
        <v>24047.557057181399</v>
      </c>
      <c r="AC5" s="121">
        <f>S5/O5</f>
        <v>0.37398883223517815</v>
      </c>
      <c r="AD5" s="121">
        <f>W5/O5</f>
        <v>0.29874056730029697</v>
      </c>
      <c r="AE5" s="121">
        <f>Y5/O5</f>
        <v>0.23493541001607793</v>
      </c>
      <c r="AF5" s="121">
        <f>AA5/O5</f>
        <v>0.34521327960352283</v>
      </c>
    </row>
    <row r="6" spans="1:32" x14ac:dyDescent="0.3">
      <c r="A6" s="109" t="s">
        <v>154</v>
      </c>
      <c r="B6" s="114" t="s">
        <v>162</v>
      </c>
      <c r="C6" s="128">
        <v>240</v>
      </c>
      <c r="D6" s="128">
        <v>46276</v>
      </c>
      <c r="E6" s="112">
        <v>16.18</v>
      </c>
      <c r="F6" s="113" t="s">
        <v>163</v>
      </c>
      <c r="G6" s="114" t="s">
        <v>164</v>
      </c>
      <c r="H6" s="111" t="s">
        <v>165</v>
      </c>
      <c r="I6" s="114" t="s">
        <v>166</v>
      </c>
      <c r="J6" s="114" t="s">
        <v>167</v>
      </c>
      <c r="K6" s="115" t="s">
        <v>168</v>
      </c>
      <c r="L6" s="114" t="s">
        <v>169</v>
      </c>
      <c r="M6" s="116" t="s">
        <v>198</v>
      </c>
      <c r="N6" s="116">
        <v>1370</v>
      </c>
      <c r="O6" s="117">
        <f>+E6*N6</f>
        <v>22166.6</v>
      </c>
      <c r="P6" s="117">
        <v>2171.4875000000002</v>
      </c>
      <c r="Q6" s="118">
        <f>'Resumen Inventario'!E8</f>
        <v>1522.3482433209631</v>
      </c>
      <c r="R6" s="118">
        <f>Q6*E6</f>
        <v>24631.594576933181</v>
      </c>
      <c r="S6" s="119">
        <f>O6-R6</f>
        <v>-2464.9945769331825</v>
      </c>
      <c r="T6" s="118">
        <f>E6*207.84</f>
        <v>3362.8512000000001</v>
      </c>
      <c r="U6" s="118">
        <f>U$19/$E$19*$E6</f>
        <v>985.96373741432046</v>
      </c>
      <c r="V6" s="118">
        <f t="shared" si="0"/>
        <v>599.85337499999991</v>
      </c>
      <c r="W6" s="119">
        <f t="shared" si="1"/>
        <v>-6213.9561393475033</v>
      </c>
      <c r="X6" s="118">
        <f>X$19/$E$19*$E6</f>
        <v>2663.5080077353523</v>
      </c>
      <c r="Y6" s="119">
        <f t="shared" si="2"/>
        <v>-8877.4641470828556</v>
      </c>
      <c r="Z6" s="118">
        <f>Z$19/$E$19*$E6</f>
        <v>1939.9754914707817</v>
      </c>
      <c r="AA6" s="119">
        <f t="shared" si="3"/>
        <v>-4273.9806478767214</v>
      </c>
      <c r="AC6" s="121">
        <f>S6/O6</f>
        <v>-0.11120309731457159</v>
      </c>
      <c r="AD6" s="121">
        <f>W6/O6</f>
        <v>-0.28032969148843323</v>
      </c>
      <c r="AE6" s="121">
        <f>Y6/O6</f>
        <v>-0.40048830885579456</v>
      </c>
      <c r="AF6" s="121">
        <f>AA6/O6</f>
        <v>-0.19281173693199324</v>
      </c>
    </row>
    <row r="7" spans="1:32" x14ac:dyDescent="0.3">
      <c r="A7" s="109" t="s">
        <v>154</v>
      </c>
      <c r="B7" s="114" t="s">
        <v>162</v>
      </c>
      <c r="C7" s="128">
        <v>240</v>
      </c>
      <c r="D7" s="128">
        <v>46276</v>
      </c>
      <c r="E7" s="112">
        <v>6.32</v>
      </c>
      <c r="F7" s="113" t="s">
        <v>163</v>
      </c>
      <c r="G7" s="114" t="s">
        <v>164</v>
      </c>
      <c r="H7" s="111" t="s">
        <v>170</v>
      </c>
      <c r="I7" s="114" t="s">
        <v>166</v>
      </c>
      <c r="J7" s="114" t="s">
        <v>167</v>
      </c>
      <c r="K7" s="115" t="s">
        <v>168</v>
      </c>
      <c r="L7" s="114" t="s">
        <v>169</v>
      </c>
      <c r="M7" s="116" t="s">
        <v>198</v>
      </c>
      <c r="N7" s="116">
        <v>1370</v>
      </c>
      <c r="O7" s="117">
        <f>+E7*N7</f>
        <v>8658.4</v>
      </c>
      <c r="P7" s="117">
        <v>1146.4375</v>
      </c>
      <c r="Q7" s="118">
        <f>Q6</f>
        <v>1522.3482433209631</v>
      </c>
      <c r="R7" s="118">
        <f>Q7*E7</f>
        <v>9621.2408977884879</v>
      </c>
      <c r="S7" s="119">
        <f>O7-R7</f>
        <v>-962.84089778848829</v>
      </c>
      <c r="T7" s="118">
        <f>E7*207.84</f>
        <v>1313.5488</v>
      </c>
      <c r="U7" s="118">
        <f>U$19/$E$19*$E7</f>
        <v>385.12304205553187</v>
      </c>
      <c r="V7" s="118">
        <f t="shared" si="0"/>
        <v>225.35887499999998</v>
      </c>
      <c r="W7" s="119">
        <f t="shared" si="1"/>
        <v>-2436.1538648440201</v>
      </c>
      <c r="X7" s="118">
        <f>X$19/$E$19*$E7</f>
        <v>1040.3813726135616</v>
      </c>
      <c r="Y7" s="119">
        <f t="shared" si="2"/>
        <v>-3476.5352374575814</v>
      </c>
      <c r="Z7" s="118">
        <f>Z$19/$E$19*$E7</f>
        <v>757.76545773147961</v>
      </c>
      <c r="AA7" s="119">
        <f t="shared" si="3"/>
        <v>-1678.3884071125403</v>
      </c>
      <c r="AC7" s="121">
        <f>S7/O7</f>
        <v>-0.11120309731457179</v>
      </c>
      <c r="AD7" s="121">
        <f>W7/O7</f>
        <v>-0.28136305377945348</v>
      </c>
      <c r="AE7" s="121">
        <f>Y7/O7</f>
        <v>-0.40152167114681481</v>
      </c>
      <c r="AF7" s="121">
        <f>AA7/O7</f>
        <v>-0.19384509922301355</v>
      </c>
    </row>
    <row r="8" spans="1:32" x14ac:dyDescent="0.3">
      <c r="A8" s="109" t="s">
        <v>154</v>
      </c>
      <c r="B8" s="110" t="s">
        <v>179</v>
      </c>
      <c r="C8" s="128">
        <v>46266</v>
      </c>
      <c r="D8" s="128">
        <v>46290</v>
      </c>
      <c r="E8" s="112">
        <v>21.7</v>
      </c>
      <c r="F8" s="113" t="s">
        <v>8</v>
      </c>
      <c r="G8" s="114" t="s">
        <v>180</v>
      </c>
      <c r="H8" s="114"/>
      <c r="I8" s="114" t="s">
        <v>166</v>
      </c>
      <c r="J8" s="114" t="s">
        <v>167</v>
      </c>
      <c r="K8" s="115" t="s">
        <v>181</v>
      </c>
      <c r="L8" s="114" t="s">
        <v>182</v>
      </c>
      <c r="M8" s="116" t="s">
        <v>198</v>
      </c>
      <c r="N8" s="116">
        <v>1800</v>
      </c>
      <c r="O8" s="117">
        <f t="shared" ref="O8:O17" si="4">+E8*N8</f>
        <v>39060</v>
      </c>
      <c r="P8" s="117">
        <v>3237</v>
      </c>
      <c r="Q8" s="118">
        <f>1.22635851472471*1000</f>
        <v>1226.3585147247099</v>
      </c>
      <c r="R8" s="118">
        <f>Q8*E8</f>
        <v>26611.979769526206</v>
      </c>
      <c r="S8" s="119">
        <f>O8-R8</f>
        <v>12448.020230473794</v>
      </c>
      <c r="T8" s="118">
        <f>E8*207.84</f>
        <v>4510.1279999999997</v>
      </c>
      <c r="U8" s="118">
        <f>U$19/$E$19*$E8</f>
        <v>1322.3370273109242</v>
      </c>
      <c r="V8" s="118">
        <f t="shared" si="0"/>
        <v>1074.69</v>
      </c>
      <c r="W8" s="119">
        <f t="shared" si="1"/>
        <v>7690.2452031628709</v>
      </c>
      <c r="X8" s="118">
        <f>X$19/$E$19*$E8</f>
        <v>3572.1955357142856</v>
      </c>
      <c r="Y8" s="119">
        <f t="shared" si="2"/>
        <v>4118.0496674485858</v>
      </c>
      <c r="Z8" s="118">
        <f>Z$19/$E$19*$E8</f>
        <v>2601.8212710084031</v>
      </c>
      <c r="AA8" s="119">
        <f t="shared" si="3"/>
        <v>10292.066474171274</v>
      </c>
      <c r="AC8" s="121">
        <f>S8/O8</f>
        <v>0.31868971404182783</v>
      </c>
      <c r="AD8" s="121">
        <f>W8/O8</f>
        <v>0.19688287770514262</v>
      </c>
      <c r="AE8" s="121">
        <f>Y8/O8</f>
        <v>0.10542881893109539</v>
      </c>
      <c r="AF8" s="121">
        <f>AA8/O8</f>
        <v>0.26349376533976637</v>
      </c>
    </row>
    <row r="9" spans="1:32" x14ac:dyDescent="0.3">
      <c r="A9" s="109" t="s">
        <v>154</v>
      </c>
      <c r="B9" s="110" t="s">
        <v>171</v>
      </c>
      <c r="C9" s="128" t="s">
        <v>188</v>
      </c>
      <c r="D9" s="128">
        <v>46275</v>
      </c>
      <c r="E9" s="112">
        <v>270</v>
      </c>
      <c r="F9" s="113" t="s">
        <v>92</v>
      </c>
      <c r="G9" s="114" t="s">
        <v>172</v>
      </c>
      <c r="H9" s="114" t="s">
        <v>173</v>
      </c>
      <c r="I9" s="114" t="s">
        <v>174</v>
      </c>
      <c r="J9" s="114" t="s">
        <v>175</v>
      </c>
      <c r="K9" s="115" t="s">
        <v>176</v>
      </c>
      <c r="L9" s="114" t="s">
        <v>177</v>
      </c>
      <c r="M9" s="116" t="s">
        <v>178</v>
      </c>
      <c r="N9" s="116">
        <v>1670</v>
      </c>
      <c r="O9" s="117">
        <f t="shared" si="4"/>
        <v>450900</v>
      </c>
      <c r="P9" s="117">
        <v>24370</v>
      </c>
      <c r="Q9" s="118">
        <f>'Resumen Inventario'!E24</f>
        <v>1831.106</v>
      </c>
      <c r="R9" s="118">
        <f>Q9*E9</f>
        <v>494398.62</v>
      </c>
      <c r="S9" s="119">
        <f>O9-R9</f>
        <v>-43498.619999999995</v>
      </c>
      <c r="T9" s="118">
        <f>E9*207.84</f>
        <v>56116.800000000003</v>
      </c>
      <c r="U9" s="118">
        <f>U$19/$E$19*$E9</f>
        <v>16453.041353638229</v>
      </c>
      <c r="V9" s="118">
        <f t="shared" si="0"/>
        <v>12795.9</v>
      </c>
      <c r="W9" s="119">
        <f t="shared" si="1"/>
        <v>-103272.56135363823</v>
      </c>
      <c r="X9" s="118">
        <f>X$19/$E$19*$E9</f>
        <v>44446.672564186963</v>
      </c>
      <c r="Y9" s="119">
        <f t="shared" si="2"/>
        <v>-147719.23391782519</v>
      </c>
      <c r="Z9" s="118">
        <f>Z$19/$E$19*$E9</f>
        <v>32372.891390427136</v>
      </c>
      <c r="AA9" s="119">
        <f t="shared" si="3"/>
        <v>-70899.669963211098</v>
      </c>
      <c r="AC9" s="121">
        <f>S9/O9</f>
        <v>-9.6470658682634713E-2</v>
      </c>
      <c r="AD9" s="121">
        <f>W9/O9</f>
        <v>-0.22903650777032208</v>
      </c>
      <c r="AE9" s="121">
        <f>Y9/O9</f>
        <v>-0.32760974477228916</v>
      </c>
      <c r="AF9" s="121">
        <f>AA9/O9</f>
        <v>-0.157240341457554</v>
      </c>
    </row>
    <row r="10" spans="1:32" x14ac:dyDescent="0.3">
      <c r="A10" s="109" t="s">
        <v>154</v>
      </c>
      <c r="B10" s="114" t="s">
        <v>183</v>
      </c>
      <c r="C10" s="128">
        <v>46276</v>
      </c>
      <c r="D10" s="128">
        <v>46290</v>
      </c>
      <c r="E10" s="112">
        <v>13</v>
      </c>
      <c r="F10" s="113" t="s">
        <v>96</v>
      </c>
      <c r="G10" s="114" t="s">
        <v>127</v>
      </c>
      <c r="H10" s="111" t="s">
        <v>184</v>
      </c>
      <c r="I10" s="114" t="s">
        <v>174</v>
      </c>
      <c r="J10" s="114" t="s">
        <v>189</v>
      </c>
      <c r="K10" s="115" t="s">
        <v>185</v>
      </c>
      <c r="L10" s="114" t="s">
        <v>186</v>
      </c>
      <c r="M10" s="116" t="s">
        <v>178</v>
      </c>
      <c r="N10" s="116">
        <v>2900</v>
      </c>
      <c r="O10" s="117">
        <f t="shared" si="4"/>
        <v>37700</v>
      </c>
      <c r="P10" s="117">
        <v>1251.851851851852</v>
      </c>
      <c r="Q10" s="118">
        <v>1783.9849999999997</v>
      </c>
      <c r="R10" s="118">
        <f>Q10*E10</f>
        <v>23191.804999999997</v>
      </c>
      <c r="S10" s="119">
        <f>O10-R10</f>
        <v>14508.195000000003</v>
      </c>
      <c r="T10" s="118">
        <f>E10*207.84</f>
        <v>2701.92</v>
      </c>
      <c r="U10" s="118">
        <f>U$19/$E$19*$E10</f>
        <v>792.18347258258132</v>
      </c>
      <c r="V10" s="118">
        <f t="shared" si="0"/>
        <v>1093.4444444444443</v>
      </c>
      <c r="W10" s="119">
        <f t="shared" si="1"/>
        <v>12107.535971861867</v>
      </c>
      <c r="X10" s="118">
        <f>X$19/$E$19*$E10</f>
        <v>2140.0249753127059</v>
      </c>
      <c r="Y10" s="119">
        <f t="shared" si="2"/>
        <v>9967.5109965491611</v>
      </c>
      <c r="Z10" s="118">
        <f>Z$19/$E$19*$E10</f>
        <v>1558.6947706501956</v>
      </c>
      <c r="AA10" s="119">
        <f t="shared" si="3"/>
        <v>13666.230742512063</v>
      </c>
      <c r="AC10" s="121">
        <f>S10/O10</f>
        <v>0.38483275862068972</v>
      </c>
      <c r="AD10" s="121">
        <f>W10/O10</f>
        <v>0.32115480031463839</v>
      </c>
      <c r="AE10" s="121">
        <f>Y10/O10</f>
        <v>0.26439021211005731</v>
      </c>
      <c r="AF10" s="121">
        <f>AA10/O10</f>
        <v>0.36249948919130143</v>
      </c>
    </row>
    <row r="11" spans="1:32" x14ac:dyDescent="0.3">
      <c r="A11" s="109" t="s">
        <v>154</v>
      </c>
      <c r="B11" s="114" t="s">
        <v>183</v>
      </c>
      <c r="C11" s="128">
        <v>46276</v>
      </c>
      <c r="D11" s="128">
        <v>46290</v>
      </c>
      <c r="E11" s="112">
        <v>14</v>
      </c>
      <c r="F11" s="113" t="s">
        <v>96</v>
      </c>
      <c r="G11" s="114" t="s">
        <v>127</v>
      </c>
      <c r="H11" s="111" t="s">
        <v>187</v>
      </c>
      <c r="I11" s="114" t="s">
        <v>174</v>
      </c>
      <c r="J11" s="114" t="s">
        <v>189</v>
      </c>
      <c r="K11" s="115" t="s">
        <v>185</v>
      </c>
      <c r="L11" s="114" t="s">
        <v>186</v>
      </c>
      <c r="M11" s="116" t="s">
        <v>178</v>
      </c>
      <c r="N11" s="116">
        <v>2500</v>
      </c>
      <c r="O11" s="117">
        <f t="shared" si="4"/>
        <v>35000</v>
      </c>
      <c r="P11" s="117">
        <v>1348.1481481481483</v>
      </c>
      <c r="Q11" s="118">
        <v>1783.9849999999997</v>
      </c>
      <c r="R11" s="118">
        <f>Q11*E11</f>
        <v>24975.789999999994</v>
      </c>
      <c r="S11" s="119">
        <f>O11-R11</f>
        <v>10024.210000000006</v>
      </c>
      <c r="T11" s="118">
        <f>E11*207.84</f>
        <v>2909.76</v>
      </c>
      <c r="U11" s="118">
        <f>U$19/$E$19*$E11</f>
        <v>853.12066278124144</v>
      </c>
      <c r="V11" s="118">
        <f t="shared" si="0"/>
        <v>1009.5555555555555</v>
      </c>
      <c r="W11" s="119">
        <f t="shared" si="1"/>
        <v>7270.8848927743202</v>
      </c>
      <c r="X11" s="118">
        <f>X$19/$E$19*$E11</f>
        <v>2304.6422811059906</v>
      </c>
      <c r="Y11" s="119">
        <f t="shared" si="2"/>
        <v>4966.2426116683291</v>
      </c>
      <c r="Z11" s="118">
        <f>Z$19/$E$19*$E11</f>
        <v>1678.5943683925182</v>
      </c>
      <c r="AA11" s="119">
        <f t="shared" si="3"/>
        <v>8949.4792611668381</v>
      </c>
      <c r="AC11" s="121">
        <f>S11/O11</f>
        <v>0.28640600000000016</v>
      </c>
      <c r="AD11" s="121">
        <f>W11/O11</f>
        <v>0.20773956836498059</v>
      </c>
      <c r="AE11" s="121">
        <f>Y11/O11</f>
        <v>0.14189264604766655</v>
      </c>
      <c r="AF11" s="121">
        <f>AA11/O11</f>
        <v>0.25569940746190967</v>
      </c>
    </row>
    <row r="12" spans="1:32" x14ac:dyDescent="0.3">
      <c r="A12" s="109" t="s">
        <v>154</v>
      </c>
      <c r="B12" s="110" t="s">
        <v>190</v>
      </c>
      <c r="C12" s="128">
        <v>46276</v>
      </c>
      <c r="D12" s="128">
        <v>46293</v>
      </c>
      <c r="E12" s="112">
        <v>26</v>
      </c>
      <c r="F12" s="113" t="s">
        <v>191</v>
      </c>
      <c r="G12" s="114" t="s">
        <v>192</v>
      </c>
      <c r="H12" s="114"/>
      <c r="I12" s="114" t="s">
        <v>193</v>
      </c>
      <c r="J12" s="114" t="s">
        <v>194</v>
      </c>
      <c r="K12" s="115" t="s">
        <v>195</v>
      </c>
      <c r="L12" s="114" t="s">
        <v>196</v>
      </c>
      <c r="M12" s="116" t="s">
        <v>198</v>
      </c>
      <c r="N12" s="116">
        <v>2300</v>
      </c>
      <c r="O12" s="117">
        <f t="shared" si="4"/>
        <v>59800</v>
      </c>
      <c r="P12" s="117">
        <v>5332</v>
      </c>
      <c r="Q12" s="118">
        <f>'Resumen Inventario'!E10</f>
        <v>1611.8871852137408</v>
      </c>
      <c r="R12" s="118">
        <f>Q12*E12</f>
        <v>41909.066815557264</v>
      </c>
      <c r="S12" s="119">
        <f>O12-R12</f>
        <v>17890.933184442736</v>
      </c>
      <c r="T12" s="118">
        <f>E12*207.84</f>
        <v>5403.84</v>
      </c>
      <c r="U12" s="118">
        <f>U$19/$E$19*$E12</f>
        <v>1584.3669451651626</v>
      </c>
      <c r="V12" s="118">
        <f t="shared" si="0"/>
        <v>1634.04</v>
      </c>
      <c r="W12" s="119">
        <f t="shared" si="1"/>
        <v>12536.766239277575</v>
      </c>
      <c r="X12" s="118">
        <f>X$19/$E$19*$E12</f>
        <v>4280.0499506254118</v>
      </c>
      <c r="Y12" s="119">
        <f t="shared" si="2"/>
        <v>8256.7162886521619</v>
      </c>
      <c r="Z12" s="118">
        <f>Z$19/$E$19*$E12</f>
        <v>3117.3895413003911</v>
      </c>
      <c r="AA12" s="119">
        <f>W12+Z12</f>
        <v>15654.155780577967</v>
      </c>
      <c r="AC12" s="121">
        <f>S12/O12</f>
        <v>0.29917948468967787</v>
      </c>
      <c r="AD12" s="121">
        <f>W12/O12</f>
        <v>0.20964492038925711</v>
      </c>
      <c r="AE12" s="121">
        <f>Y12/O12</f>
        <v>0.13807217874000272</v>
      </c>
      <c r="AF12" s="121">
        <f>AA12/O12</f>
        <v>0.26177518027722352</v>
      </c>
    </row>
    <row r="13" spans="1:32" x14ac:dyDescent="0.3">
      <c r="A13" s="109" t="s">
        <v>154</v>
      </c>
      <c r="B13" s="110" t="s">
        <v>197</v>
      </c>
      <c r="C13" s="128">
        <v>46277</v>
      </c>
      <c r="D13" s="128">
        <v>46293</v>
      </c>
      <c r="E13" s="112">
        <v>26</v>
      </c>
      <c r="F13" s="113" t="s">
        <v>191</v>
      </c>
      <c r="G13" s="114" t="s">
        <v>192</v>
      </c>
      <c r="H13" s="114"/>
      <c r="I13" s="114" t="s">
        <v>193</v>
      </c>
      <c r="J13" s="114" t="s">
        <v>194</v>
      </c>
      <c r="K13" s="115" t="s">
        <v>195</v>
      </c>
      <c r="L13" s="114" t="s">
        <v>196</v>
      </c>
      <c r="M13" s="116" t="s">
        <v>198</v>
      </c>
      <c r="N13" s="116">
        <v>2300</v>
      </c>
      <c r="O13" s="117">
        <f t="shared" si="4"/>
        <v>59800</v>
      </c>
      <c r="P13" s="117">
        <v>5332</v>
      </c>
      <c r="Q13" s="118">
        <f>Q12</f>
        <v>1611.8871852137408</v>
      </c>
      <c r="R13" s="118">
        <f>Q13*E13</f>
        <v>41909.066815557264</v>
      </c>
      <c r="S13" s="119">
        <f>O13-R13</f>
        <v>17890.933184442736</v>
      </c>
      <c r="T13" s="118">
        <f>E13*207.84</f>
        <v>5403.84</v>
      </c>
      <c r="U13" s="118">
        <f>U$19/$E$19*$E13</f>
        <v>1584.3669451651626</v>
      </c>
      <c r="V13" s="118">
        <f t="shared" si="0"/>
        <v>1634.04</v>
      </c>
      <c r="W13" s="119">
        <f t="shared" si="1"/>
        <v>12536.766239277575</v>
      </c>
      <c r="X13" s="118">
        <f>X$19/$E$19*$E13</f>
        <v>4280.0499506254118</v>
      </c>
      <c r="Y13" s="119">
        <f t="shared" si="2"/>
        <v>8256.7162886521619</v>
      </c>
      <c r="Z13" s="118">
        <f>Z$19/$E$19*$E13</f>
        <v>3117.3895413003911</v>
      </c>
      <c r="AA13" s="119">
        <f t="shared" si="3"/>
        <v>15654.155780577967</v>
      </c>
      <c r="AC13" s="121">
        <f>S13/O13</f>
        <v>0.29917948468967787</v>
      </c>
      <c r="AD13" s="121">
        <f>W13/O13</f>
        <v>0.20964492038925711</v>
      </c>
      <c r="AE13" s="121">
        <f>Y13/O13</f>
        <v>0.13807217874000272</v>
      </c>
      <c r="AF13" s="121">
        <f>AA13/O13</f>
        <v>0.26177518027722352</v>
      </c>
    </row>
    <row r="14" spans="1:32" x14ac:dyDescent="0.3">
      <c r="A14" s="109" t="s">
        <v>154</v>
      </c>
      <c r="B14" s="114" t="s">
        <v>203</v>
      </c>
      <c r="C14" s="128"/>
      <c r="D14" s="128"/>
      <c r="E14" s="112">
        <v>270</v>
      </c>
      <c r="F14" s="113" t="s">
        <v>92</v>
      </c>
      <c r="G14" s="114" t="s">
        <v>172</v>
      </c>
      <c r="H14" s="111"/>
      <c r="I14" s="114" t="s">
        <v>174</v>
      </c>
      <c r="J14" s="114"/>
      <c r="K14" s="115" t="s">
        <v>201</v>
      </c>
      <c r="L14" s="114" t="s">
        <v>200</v>
      </c>
      <c r="M14" s="116" t="s">
        <v>178</v>
      </c>
      <c r="N14" s="116">
        <v>1500</v>
      </c>
      <c r="O14" s="117">
        <f t="shared" si="4"/>
        <v>405000</v>
      </c>
      <c r="P14" s="117">
        <v>24370</v>
      </c>
      <c r="Q14" s="118">
        <f>Q9</f>
        <v>1831.106</v>
      </c>
      <c r="R14" s="118">
        <f>Q14*E14</f>
        <v>494398.62</v>
      </c>
      <c r="S14" s="119">
        <f>O14-R14</f>
        <v>-89398.62</v>
      </c>
      <c r="T14" s="118">
        <f>E14*207.84</f>
        <v>56116.800000000003</v>
      </c>
      <c r="U14" s="118">
        <f>U$19/$E$19*$E14</f>
        <v>16453.041353638229</v>
      </c>
      <c r="V14" s="118">
        <f t="shared" si="0"/>
        <v>11418.9</v>
      </c>
      <c r="W14" s="119">
        <f t="shared" si="1"/>
        <v>-150549.56135363822</v>
      </c>
      <c r="X14" s="118">
        <f>X$19/$E$19*$E14</f>
        <v>44446.672564186963</v>
      </c>
      <c r="Y14" s="119">
        <f t="shared" si="2"/>
        <v>-194996.23391782519</v>
      </c>
      <c r="Z14" s="118">
        <f>Z$19/$E$19*$E14</f>
        <v>32372.891390427136</v>
      </c>
      <c r="AA14" s="119">
        <f t="shared" si="3"/>
        <v>-118176.66996321108</v>
      </c>
      <c r="AC14" s="121">
        <f>S14/O14</f>
        <v>-0.22073733333333331</v>
      </c>
      <c r="AD14" s="121">
        <f>W14/O14</f>
        <v>-0.37172731198429187</v>
      </c>
      <c r="AE14" s="121">
        <f>Y14/O14</f>
        <v>-0.48147218251314861</v>
      </c>
      <c r="AF14" s="121">
        <f>AA14/O14</f>
        <v>-0.29179424682274341</v>
      </c>
    </row>
    <row r="15" spans="1:32" x14ac:dyDescent="0.3">
      <c r="A15" s="109" t="s">
        <v>154</v>
      </c>
      <c r="B15" s="114" t="s">
        <v>204</v>
      </c>
      <c r="C15" s="128"/>
      <c r="D15" s="128"/>
      <c r="E15" s="112">
        <v>81</v>
      </c>
      <c r="F15" s="113" t="s">
        <v>96</v>
      </c>
      <c r="G15" s="114" t="s">
        <v>127</v>
      </c>
      <c r="H15" s="111"/>
      <c r="I15" s="114" t="s">
        <v>174</v>
      </c>
      <c r="J15" s="114"/>
      <c r="K15" s="115" t="s">
        <v>201</v>
      </c>
      <c r="L15" s="114" t="s">
        <v>200</v>
      </c>
      <c r="M15" s="116" t="s">
        <v>178</v>
      </c>
      <c r="N15" s="116">
        <v>2300</v>
      </c>
      <c r="O15" s="117">
        <f t="shared" si="4"/>
        <v>186300</v>
      </c>
      <c r="P15" s="117">
        <v>8400</v>
      </c>
      <c r="Q15" s="118">
        <f>Q10</f>
        <v>1783.9849999999997</v>
      </c>
      <c r="R15" s="118">
        <f>Q15*E15</f>
        <v>144502.78499999997</v>
      </c>
      <c r="S15" s="119">
        <f>O15-R15</f>
        <v>41797.215000000026</v>
      </c>
      <c r="T15" s="118">
        <f>E15*207.84</f>
        <v>16835.04</v>
      </c>
      <c r="U15" s="118">
        <f>U$19/$E$19*$E15</f>
        <v>4935.9124060914683</v>
      </c>
      <c r="V15" s="118">
        <f t="shared" si="0"/>
        <v>5337</v>
      </c>
      <c r="W15" s="119">
        <f t="shared" si="1"/>
        <v>25363.262593908556</v>
      </c>
      <c r="X15" s="118">
        <f>X$19/$E$19*$E15</f>
        <v>13334.001769256089</v>
      </c>
      <c r="Y15" s="119">
        <f t="shared" si="2"/>
        <v>12029.260824652467</v>
      </c>
      <c r="Z15" s="118">
        <f>Z$19/$E$19*$E15</f>
        <v>9711.86741712814</v>
      </c>
      <c r="AA15" s="119">
        <f t="shared" si="3"/>
        <v>35075.130011036694</v>
      </c>
      <c r="AC15" s="121">
        <f>S15/O15</f>
        <v>0.2243543478260871</v>
      </c>
      <c r="AD15" s="121">
        <f>W15/O15</f>
        <v>0.13614204290879525</v>
      </c>
      <c r="AE15" s="121">
        <f>Y15/O15</f>
        <v>6.4569301259540884E-2</v>
      </c>
      <c r="AF15" s="121">
        <f>AA15/O15</f>
        <v>0.18827230279676163</v>
      </c>
    </row>
    <row r="16" spans="1:32" x14ac:dyDescent="0.3">
      <c r="A16" s="109" t="s">
        <v>154</v>
      </c>
      <c r="B16" s="110" t="s">
        <v>205</v>
      </c>
      <c r="C16" s="128"/>
      <c r="D16" s="128"/>
      <c r="E16" s="112">
        <v>130.86000000000001</v>
      </c>
      <c r="F16" s="113" t="s">
        <v>62</v>
      </c>
      <c r="G16" s="114" t="s">
        <v>202</v>
      </c>
      <c r="H16" s="114"/>
      <c r="I16" s="114" t="s">
        <v>174</v>
      </c>
      <c r="J16" s="114"/>
      <c r="K16" s="115" t="s">
        <v>201</v>
      </c>
      <c r="L16" s="114" t="s">
        <v>200</v>
      </c>
      <c r="M16" s="116" t="s">
        <v>178</v>
      </c>
      <c r="N16" s="116">
        <v>3300</v>
      </c>
      <c r="O16" s="117">
        <f t="shared" si="4"/>
        <v>431838.00000000006</v>
      </c>
      <c r="P16" s="117">
        <v>13000</v>
      </c>
      <c r="Q16" s="118">
        <f>'Resumen Inventario'!E28</f>
        <v>2574.8230000000003</v>
      </c>
      <c r="R16" s="118">
        <f>Q16*E16</f>
        <v>336941.33778000006</v>
      </c>
      <c r="S16" s="119">
        <f>O16-R16</f>
        <v>94896.662219999998</v>
      </c>
      <c r="T16" s="118">
        <f>E16*207.84</f>
        <v>27197.942400000004</v>
      </c>
      <c r="U16" s="118">
        <f>U$19/$E$19*$E16</f>
        <v>7974.2407093966622</v>
      </c>
      <c r="V16" s="118">
        <f t="shared" si="0"/>
        <v>12565.140000000001</v>
      </c>
      <c r="W16" s="119">
        <f t="shared" si="1"/>
        <v>72289.619110603337</v>
      </c>
      <c r="X16" s="118">
        <f>X$19/$E$19*$E16</f>
        <v>21541.820636109285</v>
      </c>
      <c r="Y16" s="119">
        <f t="shared" si="2"/>
        <v>50747.798474494048</v>
      </c>
      <c r="Z16" s="118">
        <f>Z$19/$E$19*$E16</f>
        <v>15690.061360560354</v>
      </c>
      <c r="AA16" s="119">
        <f t="shared" si="3"/>
        <v>87979.680471163694</v>
      </c>
      <c r="AC16" s="121">
        <f>S16/O16</f>
        <v>0.21975060606060604</v>
      </c>
      <c r="AD16" s="121">
        <f>W16/O16</f>
        <v>0.16739985622062747</v>
      </c>
      <c r="AE16" s="121">
        <f>Y16/O16</f>
        <v>0.11751582416205623</v>
      </c>
      <c r="AF16" s="121">
        <f>AA16/O16</f>
        <v>0.20373306765769497</v>
      </c>
    </row>
    <row r="17" spans="1:32" x14ac:dyDescent="0.3">
      <c r="A17" s="109" t="s">
        <v>154</v>
      </c>
      <c r="B17" s="110" t="s">
        <v>205</v>
      </c>
      <c r="C17" s="128"/>
      <c r="D17" s="128"/>
      <c r="E17" s="112">
        <v>130.86000000000001</v>
      </c>
      <c r="F17" s="113" t="s">
        <v>62</v>
      </c>
      <c r="G17" s="114" t="s">
        <v>202</v>
      </c>
      <c r="H17" s="114"/>
      <c r="I17" s="114" t="s">
        <v>174</v>
      </c>
      <c r="J17" s="114"/>
      <c r="K17" s="115" t="s">
        <v>201</v>
      </c>
      <c r="L17" s="114" t="s">
        <v>200</v>
      </c>
      <c r="M17" s="116" t="s">
        <v>178</v>
      </c>
      <c r="N17" s="116">
        <v>3300</v>
      </c>
      <c r="O17" s="117">
        <f t="shared" si="4"/>
        <v>431838.00000000006</v>
      </c>
      <c r="P17" s="117">
        <v>13000</v>
      </c>
      <c r="Q17" s="118">
        <f>Q16</f>
        <v>2574.8230000000003</v>
      </c>
      <c r="R17" s="118">
        <f>Q17*E17</f>
        <v>336941.33778000006</v>
      </c>
      <c r="S17" s="119">
        <f>O17-R17</f>
        <v>94896.662219999998</v>
      </c>
      <c r="T17" s="118">
        <f>E17*207.84</f>
        <v>27197.942400000004</v>
      </c>
      <c r="U17" s="118">
        <f>U$19/$E$19*$E17</f>
        <v>7974.2407093966622</v>
      </c>
      <c r="V17" s="118">
        <f t="shared" si="0"/>
        <v>12565.140000000001</v>
      </c>
      <c r="W17" s="119">
        <f t="shared" si="1"/>
        <v>72289.619110603337</v>
      </c>
      <c r="X17" s="118">
        <f>X$19/$E$19*$E17</f>
        <v>21541.820636109285</v>
      </c>
      <c r="Y17" s="119">
        <f t="shared" si="2"/>
        <v>50747.798474494048</v>
      </c>
      <c r="Z17" s="118">
        <f>Z$19/$E$19*$E17</f>
        <v>15690.061360560354</v>
      </c>
      <c r="AA17" s="119">
        <f t="shared" si="3"/>
        <v>87979.680471163694</v>
      </c>
      <c r="AC17" s="121">
        <f>S17/O17</f>
        <v>0.21975060606060604</v>
      </c>
      <c r="AD17" s="121">
        <f>W17/O17</f>
        <v>0.16739985622062747</v>
      </c>
      <c r="AE17" s="121">
        <f>Y17/O17</f>
        <v>0.11751582416205623</v>
      </c>
      <c r="AF17" s="121">
        <f>AA17/O17</f>
        <v>0.20373306765769497</v>
      </c>
    </row>
    <row r="19" spans="1:32" x14ac:dyDescent="0.3">
      <c r="A19" s="122"/>
      <c r="B19" s="122"/>
      <c r="C19" s="122"/>
      <c r="D19" s="122" t="s">
        <v>119</v>
      </c>
      <c r="E19" s="123">
        <f>SUBTOTAL(9,E5:E17)</f>
        <v>1032.92</v>
      </c>
      <c r="F19" s="124"/>
      <c r="G19" s="124"/>
      <c r="H19" s="124"/>
      <c r="I19" s="124"/>
      <c r="J19" s="124"/>
      <c r="K19" s="124"/>
      <c r="L19" s="124"/>
      <c r="M19" s="124"/>
      <c r="N19" s="124"/>
      <c r="O19" s="123">
        <f>SUBTOTAL(9,O5:O17)</f>
        <v>2237721</v>
      </c>
      <c r="P19" s="123"/>
      <c r="Q19" s="124"/>
      <c r="R19" s="123">
        <f>SUBTOTAL(9,R5:R17)</f>
        <v>2043641.18238186</v>
      </c>
      <c r="S19" s="123">
        <f>SUBTOTAL(9,S5:S17)</f>
        <v>194079.81761814014</v>
      </c>
      <c r="T19" s="123">
        <f>SUBTOTAL(9,T5:T17)</f>
        <v>214682.09280000001</v>
      </c>
      <c r="U19" s="123">
        <f>Stock!N52</f>
        <v>62943.2425</v>
      </c>
      <c r="V19" s="123">
        <f>SUBTOTAL(9,V5:V17)</f>
        <v>63968.252249999998</v>
      </c>
      <c r="W19" s="123">
        <f>SUBTOTAL(9,W5:W17)</f>
        <v>-19577.265431859822</v>
      </c>
      <c r="X19" s="123">
        <f>Stock!O52</f>
        <v>170036.50750000001</v>
      </c>
      <c r="Y19" s="123">
        <f>SUBTOTAL(9,Y5:Y17)</f>
        <v>-189613.77293185989</v>
      </c>
      <c r="Z19" s="123">
        <f>Stock!P52</f>
        <v>123846.6925</v>
      </c>
      <c r="AA19" s="123">
        <f>SUBTOTAL(9,AA5:AA17)</f>
        <v>104269.42706814015</v>
      </c>
      <c r="AC19" s="125">
        <f>S19/O19</f>
        <v>8.6731016788125129E-2</v>
      </c>
      <c r="AD19" s="125">
        <f t="shared" ref="AD19" si="5">W19/O19</f>
        <v>-8.7487517129525173E-3</v>
      </c>
      <c r="AE19" s="125">
        <f t="shared" ref="AE19" si="6">Y19/O19</f>
        <v>-8.4735216290082585E-2</v>
      </c>
      <c r="AF19" s="125">
        <f t="shared" ref="AF19" si="7">AA19/O19</f>
        <v>4.6596258902758723E-2</v>
      </c>
    </row>
    <row r="22" spans="1:32" x14ac:dyDescent="0.3">
      <c r="X22" s="126"/>
    </row>
    <row r="23" spans="1:32" x14ac:dyDescent="0.3">
      <c r="W23" s="126"/>
    </row>
    <row r="24" spans="1:32" x14ac:dyDescent="0.3">
      <c r="S24" s="127"/>
      <c r="T24" s="127"/>
      <c r="U24" s="127"/>
      <c r="V24" s="127"/>
    </row>
    <row r="28" spans="1:32" x14ac:dyDescent="0.3">
      <c r="S28" s="126"/>
      <c r="T28" s="126"/>
      <c r="U28" s="126"/>
      <c r="V28" s="126"/>
    </row>
    <row r="29" spans="1:32" x14ac:dyDescent="0.3">
      <c r="T29" s="126"/>
      <c r="U29" s="126"/>
      <c r="V29" s="126"/>
    </row>
  </sheetData>
  <autoFilter ref="A4:AA17" xr:uid="{4A4309A9-2FC8-4C70-9FF8-D53179257D1C}"/>
  <conditionalFormatting sqref="AC5:AF17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A48E7-9D31-47E6-9F74-8EB17ECE912C}">
  <dimension ref="B2:K17"/>
  <sheetViews>
    <sheetView zoomScale="90" zoomScaleNormal="90" workbookViewId="0">
      <selection activeCell="H9" sqref="H9"/>
    </sheetView>
  </sheetViews>
  <sheetFormatPr baseColWidth="10" defaultRowHeight="14.4" x14ac:dyDescent="0.3"/>
  <cols>
    <col min="4" max="4" width="25" bestFit="1" customWidth="1"/>
    <col min="5" max="5" width="17.44140625" bestFit="1" customWidth="1"/>
    <col min="6" max="6" width="19.33203125" bestFit="1" customWidth="1"/>
    <col min="7" max="7" width="20.5546875" bestFit="1" customWidth="1"/>
    <col min="8" max="8" width="20.44140625" bestFit="1" customWidth="1"/>
    <col min="9" max="9" width="18.5546875" bestFit="1" customWidth="1"/>
    <col min="10" max="10" width="17" bestFit="1" customWidth="1"/>
    <col min="11" max="11" width="20.77734375" bestFit="1" customWidth="1"/>
  </cols>
  <sheetData>
    <row r="2" spans="2:11" x14ac:dyDescent="0.3">
      <c r="B2" s="44" t="s">
        <v>91</v>
      </c>
    </row>
    <row r="3" spans="2:11" x14ac:dyDescent="0.3">
      <c r="E3" s="42" t="s">
        <v>84</v>
      </c>
      <c r="F3" t="s">
        <v>83</v>
      </c>
      <c r="G3" t="s">
        <v>86</v>
      </c>
      <c r="H3" t="s">
        <v>87</v>
      </c>
      <c r="I3" t="s">
        <v>88</v>
      </c>
      <c r="J3" t="s">
        <v>89</v>
      </c>
      <c r="K3" t="s">
        <v>90</v>
      </c>
    </row>
    <row r="4" spans="2:11" x14ac:dyDescent="0.3">
      <c r="B4" s="45" t="b">
        <f t="shared" ref="B4:B13" si="0">C4=E4</f>
        <v>1</v>
      </c>
      <c r="C4" s="43">
        <v>10005721</v>
      </c>
      <c r="D4" s="46" t="s">
        <v>92</v>
      </c>
      <c r="E4" s="43">
        <v>10005721</v>
      </c>
      <c r="F4" s="3">
        <v>116.14</v>
      </c>
      <c r="G4" s="3">
        <v>191297.79534449108</v>
      </c>
      <c r="H4" s="3">
        <v>27903.796399999996</v>
      </c>
      <c r="I4" s="3">
        <v>3717.0248580100138</v>
      </c>
      <c r="J4" s="3">
        <v>10041.267339328861</v>
      </c>
      <c r="K4" s="3">
        <v>7313.5926323595813</v>
      </c>
    </row>
    <row r="5" spans="2:11" x14ac:dyDescent="0.3">
      <c r="B5" s="45" t="b">
        <f t="shared" si="0"/>
        <v>1</v>
      </c>
      <c r="C5" s="43">
        <v>10005779</v>
      </c>
      <c r="D5" s="47" t="s">
        <v>93</v>
      </c>
      <c r="E5" s="43">
        <v>10005779</v>
      </c>
      <c r="F5" s="3">
        <v>493.02</v>
      </c>
      <c r="G5" s="3">
        <v>750548.13092210121</v>
      </c>
      <c r="H5" s="3">
        <v>118452.98520000001</v>
      </c>
      <c r="I5" s="3">
        <v>15778.952948993432</v>
      </c>
      <c r="J5" s="3">
        <v>42625.672667779523</v>
      </c>
      <c r="K5" s="3">
        <v>31046.559665971414</v>
      </c>
    </row>
    <row r="6" spans="2:11" x14ac:dyDescent="0.3">
      <c r="B6" s="45" t="b">
        <f t="shared" si="0"/>
        <v>1</v>
      </c>
      <c r="C6" s="43">
        <v>10006719</v>
      </c>
      <c r="D6" s="47" t="s">
        <v>94</v>
      </c>
      <c r="E6" s="43">
        <v>10006719</v>
      </c>
      <c r="F6" s="3">
        <v>51.42</v>
      </c>
      <c r="G6" s="3">
        <v>69610.403220185399</v>
      </c>
      <c r="H6" s="3">
        <v>12354.1692</v>
      </c>
      <c r="I6" s="3">
        <v>1645.6812312629149</v>
      </c>
      <c r="J6" s="3">
        <v>4445.6859530591528</v>
      </c>
      <c r="K6" s="3">
        <v>3238.0311103489721</v>
      </c>
    </row>
    <row r="7" spans="2:11" x14ac:dyDescent="0.3">
      <c r="B7" s="45" t="b">
        <f t="shared" si="0"/>
        <v>1</v>
      </c>
      <c r="C7" s="43">
        <v>10007050</v>
      </c>
      <c r="D7" s="47" t="s">
        <v>95</v>
      </c>
      <c r="E7" s="43">
        <v>10007050</v>
      </c>
      <c r="F7" s="3">
        <v>171.82999999999998</v>
      </c>
      <c r="G7" s="3">
        <v>276970.57503527706</v>
      </c>
      <c r="H7" s="3">
        <v>41283.875799999994</v>
      </c>
      <c r="I7" s="3">
        <v>5499.3661215073253</v>
      </c>
      <c r="J7" s="3">
        <v>14856.130247260877</v>
      </c>
      <c r="K7" s="3">
        <v>10820.51508539992</v>
      </c>
    </row>
    <row r="8" spans="2:11" x14ac:dyDescent="0.3">
      <c r="B8" s="45" t="b">
        <f t="shared" si="0"/>
        <v>1</v>
      </c>
      <c r="C8" s="43">
        <v>10007162</v>
      </c>
      <c r="D8" s="47" t="s">
        <v>96</v>
      </c>
      <c r="E8" s="43">
        <v>10007162</v>
      </c>
      <c r="F8" s="3">
        <v>520.24</v>
      </c>
      <c r="G8" s="3">
        <v>858010.60621940892</v>
      </c>
      <c r="H8" s="3">
        <v>124992.86239999998</v>
      </c>
      <c r="I8" s="3">
        <v>16650.120648623473</v>
      </c>
      <c r="J8" s="3">
        <v>44979.067682214969</v>
      </c>
      <c r="K8" s="3">
        <v>32760.663260364632</v>
      </c>
    </row>
    <row r="9" spans="2:11" x14ac:dyDescent="0.3">
      <c r="B9" s="45" t="b">
        <f t="shared" si="0"/>
        <v>1</v>
      </c>
      <c r="C9" s="43">
        <v>10007567</v>
      </c>
      <c r="D9" s="47" t="s">
        <v>97</v>
      </c>
      <c r="E9" s="43">
        <v>10007567</v>
      </c>
      <c r="F9" s="3">
        <v>135.72</v>
      </c>
      <c r="G9" s="3">
        <v>219202.5680777274</v>
      </c>
      <c r="H9" s="3">
        <v>32608.087200000002</v>
      </c>
      <c r="I9" s="3">
        <v>4343.6767154220688</v>
      </c>
      <c r="J9" s="3">
        <v>11734.120916942595</v>
      </c>
      <c r="K9" s="3">
        <v>8546.5885316328768</v>
      </c>
    </row>
    <row r="10" spans="2:11" x14ac:dyDescent="0.3">
      <c r="B10" s="45" t="b">
        <f t="shared" si="0"/>
        <v>1</v>
      </c>
      <c r="C10" s="43">
        <v>10007969</v>
      </c>
      <c r="D10" s="47" t="s">
        <v>8</v>
      </c>
      <c r="E10" s="43">
        <v>10007969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</row>
    <row r="11" spans="2:11" x14ac:dyDescent="0.3">
      <c r="B11" s="45" t="b">
        <f t="shared" si="0"/>
        <v>1</v>
      </c>
      <c r="C11" s="43">
        <v>10009239</v>
      </c>
      <c r="D11" s="47" t="s">
        <v>98</v>
      </c>
      <c r="E11" s="43">
        <v>10009239</v>
      </c>
      <c r="F11" s="3">
        <v>264.45999999999998</v>
      </c>
      <c r="G11" s="3">
        <v>800846.8017954384</v>
      </c>
      <c r="H11" s="3">
        <v>63539.159599999992</v>
      </c>
      <c r="I11" s="3">
        <v>8463.9606849434149</v>
      </c>
      <c r="J11" s="3">
        <v>22864.76287720777</v>
      </c>
      <c r="K11" s="3">
        <v>16653.631027671901</v>
      </c>
    </row>
    <row r="12" spans="2:11" x14ac:dyDescent="0.3">
      <c r="B12" s="45" t="b">
        <f t="shared" si="0"/>
        <v>1</v>
      </c>
      <c r="C12" s="43">
        <v>10009334</v>
      </c>
      <c r="D12" s="47" t="s">
        <v>99</v>
      </c>
      <c r="E12" s="43">
        <v>10009334</v>
      </c>
      <c r="F12" s="3">
        <v>94.717999999999989</v>
      </c>
      <c r="G12" s="3">
        <v>263433.72979141393</v>
      </c>
      <c r="H12" s="3">
        <v>22756.946679999997</v>
      </c>
      <c r="I12" s="3">
        <v>3031.4203590579691</v>
      </c>
      <c r="J12" s="3">
        <v>8189.1575671306273</v>
      </c>
      <c r="K12" s="3">
        <v>5964.6019196817178</v>
      </c>
    </row>
    <row r="13" spans="2:11" x14ac:dyDescent="0.3">
      <c r="B13" s="45" t="b">
        <f t="shared" si="0"/>
        <v>1</v>
      </c>
      <c r="C13" s="43">
        <v>10009386</v>
      </c>
      <c r="D13" s="47" t="s">
        <v>60</v>
      </c>
      <c r="E13" s="43">
        <v>10009386</v>
      </c>
      <c r="F13" s="3">
        <v>24.36</v>
      </c>
      <c r="G13" s="3">
        <v>53193.700075419903</v>
      </c>
      <c r="H13" s="3">
        <v>5852.7335999999996</v>
      </c>
      <c r="I13" s="3">
        <v>779.63428225524319</v>
      </c>
      <c r="J13" s="3">
        <v>2106.1242671435425</v>
      </c>
      <c r="K13" s="3">
        <v>1534.0030697802599</v>
      </c>
    </row>
    <row r="14" spans="2:11" x14ac:dyDescent="0.3">
      <c r="D14" s="47" t="s">
        <v>100</v>
      </c>
      <c r="E14" s="43">
        <v>10010320</v>
      </c>
      <c r="F14" s="3">
        <v>45.46</v>
      </c>
      <c r="G14" s="3">
        <v>61634.573913631844</v>
      </c>
      <c r="H14" s="3">
        <v>10922.2196</v>
      </c>
      <c r="I14" s="3">
        <v>1454.9332705797765</v>
      </c>
      <c r="J14" s="3">
        <v>3930.3944656956255</v>
      </c>
      <c r="K14" s="3">
        <v>2862.7167303863143</v>
      </c>
    </row>
    <row r="15" spans="2:11" x14ac:dyDescent="0.3">
      <c r="D15" s="47" t="s">
        <v>64</v>
      </c>
      <c r="E15" s="43">
        <v>10009649</v>
      </c>
      <c r="F15" s="3">
        <v>49.32</v>
      </c>
      <c r="G15" s="3">
        <v>60966.749430318196</v>
      </c>
      <c r="H15" s="3">
        <v>11849.6232</v>
      </c>
      <c r="I15" s="3">
        <v>1578.4713793443595</v>
      </c>
      <c r="J15" s="3">
        <v>4264.1235162364337</v>
      </c>
      <c r="K15" s="3">
        <v>3105.7894664023979</v>
      </c>
    </row>
    <row r="16" spans="2:11" x14ac:dyDescent="0.3">
      <c r="D16" s="47"/>
      <c r="E16" s="43" t="s">
        <v>126</v>
      </c>
      <c r="F16" s="3"/>
      <c r="G16" s="3"/>
      <c r="H16" s="3"/>
      <c r="I16" s="3"/>
      <c r="J16" s="3"/>
      <c r="K16" s="3"/>
    </row>
    <row r="17" spans="5:11" x14ac:dyDescent="0.3">
      <c r="E17" s="43" t="s">
        <v>85</v>
      </c>
      <c r="F17" s="3">
        <v>1966.6879999999999</v>
      </c>
      <c r="G17" s="3">
        <v>3605715.6338254139</v>
      </c>
      <c r="H17" s="3">
        <v>472516.45887999999</v>
      </c>
      <c r="I17" s="3">
        <v>62943.242499999986</v>
      </c>
      <c r="J17" s="3">
        <v>170036.50749999998</v>
      </c>
      <c r="K17" s="3">
        <v>123846.69249999999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58124-A72F-4962-B676-7A1F22E21FF8}">
  <dimension ref="B2:T64"/>
  <sheetViews>
    <sheetView showGridLines="0" topLeftCell="B34" zoomScale="80" zoomScaleNormal="80" workbookViewId="0">
      <selection activeCell="F66" sqref="F66"/>
    </sheetView>
  </sheetViews>
  <sheetFormatPr baseColWidth="10" defaultRowHeight="14.4" x14ac:dyDescent="0.3"/>
  <cols>
    <col min="3" max="3" width="46.88671875" bestFit="1" customWidth="1"/>
    <col min="4" max="4" width="15" customWidth="1"/>
    <col min="6" max="6" width="18.44140625" customWidth="1"/>
    <col min="7" max="7" width="20" bestFit="1" customWidth="1"/>
    <col min="8" max="8" width="16.77734375" bestFit="1" customWidth="1"/>
    <col min="9" max="9" width="16.77734375" customWidth="1"/>
    <col min="11" max="11" width="12.88671875" bestFit="1" customWidth="1"/>
    <col min="12" max="12" width="15" bestFit="1" customWidth="1"/>
    <col min="13" max="13" width="14.109375" bestFit="1" customWidth="1"/>
    <col min="14" max="14" width="11.77734375" bestFit="1" customWidth="1"/>
    <col min="15" max="15" width="18.5546875" bestFit="1" customWidth="1"/>
    <col min="16" max="16" width="14.6640625" bestFit="1" customWidth="1"/>
    <col min="17" max="17" width="13.77734375" bestFit="1" customWidth="1"/>
    <col min="18" max="18" width="13.44140625" bestFit="1" customWidth="1"/>
    <col min="19" max="19" width="17.33203125" bestFit="1" customWidth="1"/>
    <col min="20" max="20" width="23.33203125" bestFit="1" customWidth="1"/>
  </cols>
  <sheetData>
    <row r="2" spans="2:20" x14ac:dyDescent="0.3">
      <c r="K2" s="41" t="s">
        <v>81</v>
      </c>
    </row>
    <row r="3" spans="2:20" ht="15" thickBot="1" x14ac:dyDescent="0.35">
      <c r="F3" t="s">
        <v>51</v>
      </c>
      <c r="G3" t="s">
        <v>52</v>
      </c>
    </row>
    <row r="4" spans="2:20" ht="15" thickBot="1" x14ac:dyDescent="0.35">
      <c r="B4" s="4" t="s">
        <v>0</v>
      </c>
      <c r="C4" s="4" t="s">
        <v>1</v>
      </c>
      <c r="D4" s="4" t="s">
        <v>5</v>
      </c>
      <c r="F4" s="9" t="s">
        <v>50</v>
      </c>
      <c r="G4" s="9" t="s">
        <v>50</v>
      </c>
      <c r="H4" s="9" t="s">
        <v>54</v>
      </c>
      <c r="I4" s="9"/>
      <c r="J4" s="11" t="s">
        <v>55</v>
      </c>
      <c r="K4" s="20" t="s">
        <v>66</v>
      </c>
      <c r="L4" s="21" t="s">
        <v>67</v>
      </c>
      <c r="M4" s="21" t="s">
        <v>68</v>
      </c>
      <c r="N4" s="21" t="s">
        <v>69</v>
      </c>
      <c r="O4" s="21" t="s">
        <v>70</v>
      </c>
      <c r="P4" s="21" t="s">
        <v>71</v>
      </c>
      <c r="Q4" s="21" t="s">
        <v>72</v>
      </c>
      <c r="R4" s="22" t="s">
        <v>73</v>
      </c>
      <c r="S4" s="23" t="s">
        <v>74</v>
      </c>
      <c r="T4" s="23" t="s">
        <v>75</v>
      </c>
    </row>
    <row r="5" spans="2:20" x14ac:dyDescent="0.3">
      <c r="B5" s="5">
        <v>10009178</v>
      </c>
      <c r="C5" s="5" t="s">
        <v>2</v>
      </c>
      <c r="D5" s="6">
        <v>8920</v>
      </c>
      <c r="F5" s="2">
        <f>IFERROR(VLOOKUP(B5,[3]Hoja1!$I$25:$J$77,2,0),0)</f>
        <v>1748.7075471698113</v>
      </c>
      <c r="G5" s="2">
        <v>1236.14658212324</v>
      </c>
      <c r="H5" s="10">
        <f t="shared" ref="H5:H47" si="0">AVERAGE(F5:G5)</f>
        <v>1492.4270646465257</v>
      </c>
      <c r="I5" s="10" t="s">
        <v>56</v>
      </c>
      <c r="J5" s="12">
        <v>10006719</v>
      </c>
      <c r="K5" s="24">
        <f t="shared" ref="K5:K49" si="1">D5/1000</f>
        <v>8.92</v>
      </c>
      <c r="L5" s="25">
        <f>H5*D5/1000</f>
        <v>13312.44941664701</v>
      </c>
      <c r="M5" s="25">
        <f t="shared" ref="M5:M49" si="2">240.26*D5/1000</f>
        <v>2143.1191999999996</v>
      </c>
      <c r="N5" s="26">
        <f>K5/$K$50*$N$52</f>
        <v>285.4818471969117</v>
      </c>
      <c r="O5" s="26">
        <f>K5/$K$50*$O$52</f>
        <v>771.20806498031186</v>
      </c>
      <c r="P5" s="26">
        <f>K5/$K$50*$P$52</f>
        <v>561.71212571592434</v>
      </c>
      <c r="Q5" s="25">
        <f>0</f>
        <v>0</v>
      </c>
      <c r="R5" s="27"/>
      <c r="S5" s="28">
        <f t="shared" ref="S5:S49" si="3">SUM(L5:O5)</f>
        <v>16512.258528824234</v>
      </c>
      <c r="T5" s="29">
        <f t="shared" ref="T5:T50" si="4">IFERROR(S5/K5,0)</f>
        <v>1851.1500592852281</v>
      </c>
    </row>
    <row r="6" spans="2:20" x14ac:dyDescent="0.3">
      <c r="B6" s="5">
        <v>10006668</v>
      </c>
      <c r="C6" s="5" t="s">
        <v>3</v>
      </c>
      <c r="D6" s="6">
        <v>760</v>
      </c>
      <c r="F6" s="2">
        <f>IFERROR(VLOOKUP(B6,[3]Hoja1!$I$25:$J$77,2,0),0)</f>
        <v>1665.3823529411764</v>
      </c>
      <c r="G6" s="2">
        <v>1236.14658212324</v>
      </c>
      <c r="H6" s="10">
        <f t="shared" si="0"/>
        <v>1450.7644675322081</v>
      </c>
      <c r="I6" s="10" t="s">
        <v>56</v>
      </c>
      <c r="J6" s="12">
        <v>10006719</v>
      </c>
      <c r="K6" s="24">
        <f t="shared" si="1"/>
        <v>0.76</v>
      </c>
      <c r="L6" s="25">
        <f t="shared" ref="L6:L49" si="5">H6*D6/1000</f>
        <v>1102.580995324478</v>
      </c>
      <c r="M6" s="25">
        <f t="shared" si="2"/>
        <v>182.5976</v>
      </c>
      <c r="N6" s="25">
        <f>K6/$K$50*$N$52</f>
        <v>24.323565456239116</v>
      </c>
      <c r="O6" s="25">
        <f>K6/$K$50*$O$52</f>
        <v>65.708310469174563</v>
      </c>
      <c r="P6" s="25">
        <f>K6/$K$50*$P$52</f>
        <v>47.858880666379207</v>
      </c>
      <c r="Q6" s="25">
        <f>0</f>
        <v>0</v>
      </c>
      <c r="R6" s="27"/>
      <c r="S6" s="30">
        <f t="shared" si="3"/>
        <v>1375.2104712498917</v>
      </c>
      <c r="T6" s="29">
        <f t="shared" si="4"/>
        <v>1809.4874621709102</v>
      </c>
    </row>
    <row r="7" spans="2:20" x14ac:dyDescent="0.3">
      <c r="B7" s="5">
        <v>10006719</v>
      </c>
      <c r="C7" s="5" t="s">
        <v>4</v>
      </c>
      <c r="D7" s="6">
        <v>0</v>
      </c>
      <c r="F7" s="2">
        <f>IFERROR(VLOOKUP(B7,[3]Hoja1!$I$25:$J$77,2,0),0)</f>
        <v>1559.625</v>
      </c>
      <c r="G7" s="2">
        <v>1236.14658212324</v>
      </c>
      <c r="H7" s="10">
        <f t="shared" si="0"/>
        <v>1397.88579106162</v>
      </c>
      <c r="I7" s="10" t="s">
        <v>56</v>
      </c>
      <c r="J7" s="12">
        <v>10006719</v>
      </c>
      <c r="K7" s="24">
        <f t="shared" si="1"/>
        <v>0</v>
      </c>
      <c r="L7" s="25">
        <f t="shared" si="5"/>
        <v>0</v>
      </c>
      <c r="M7" s="25">
        <f t="shared" si="2"/>
        <v>0</v>
      </c>
      <c r="N7" s="25">
        <f>K7/$K$50*$N$52</f>
        <v>0</v>
      </c>
      <c r="O7" s="25">
        <f>K7/$K$50*$O$52</f>
        <v>0</v>
      </c>
      <c r="P7" s="25">
        <f>K7/$K$50*$P$52</f>
        <v>0</v>
      </c>
      <c r="Q7" s="25">
        <f>0</f>
        <v>0</v>
      </c>
      <c r="R7" s="27"/>
      <c r="S7" s="30">
        <f t="shared" si="3"/>
        <v>0</v>
      </c>
      <c r="T7" s="29">
        <f t="shared" si="4"/>
        <v>0</v>
      </c>
    </row>
    <row r="8" spans="2:20" x14ac:dyDescent="0.3">
      <c r="B8" s="5">
        <v>10010110</v>
      </c>
      <c r="C8" s="5" t="s">
        <v>6</v>
      </c>
      <c r="D8" s="6">
        <v>0</v>
      </c>
      <c r="F8" s="2">
        <f>IFERROR(VLOOKUP(B8,[3]Hoja1!$I$25:$J$77,2,0),0)</f>
        <v>1647.8181818181815</v>
      </c>
      <c r="G8" s="2">
        <v>1236.14658212324</v>
      </c>
      <c r="H8" s="10">
        <f t="shared" si="0"/>
        <v>1441.9823819707108</v>
      </c>
      <c r="I8" s="10" t="s">
        <v>56</v>
      </c>
      <c r="J8" s="12">
        <v>10006719</v>
      </c>
      <c r="K8" s="24">
        <f t="shared" si="1"/>
        <v>0</v>
      </c>
      <c r="L8" s="25">
        <f t="shared" si="5"/>
        <v>0</v>
      </c>
      <c r="M8" s="25">
        <f t="shared" si="2"/>
        <v>0</v>
      </c>
      <c r="N8" s="25">
        <f>K8/$K$50*$N$52</f>
        <v>0</v>
      </c>
      <c r="O8" s="25">
        <f>K8/$K$50*$O$52</f>
        <v>0</v>
      </c>
      <c r="P8" s="25">
        <f>K8/$K$50*$P$52</f>
        <v>0</v>
      </c>
      <c r="Q8" s="25">
        <f>0</f>
        <v>0</v>
      </c>
      <c r="R8" s="27"/>
      <c r="S8" s="30">
        <f t="shared" si="3"/>
        <v>0</v>
      </c>
      <c r="T8" s="29">
        <f t="shared" si="4"/>
        <v>0</v>
      </c>
    </row>
    <row r="9" spans="2:20" x14ac:dyDescent="0.3">
      <c r="B9" s="5">
        <v>10009207</v>
      </c>
      <c r="C9" s="5" t="s">
        <v>7</v>
      </c>
      <c r="D9" s="6">
        <v>41740</v>
      </c>
      <c r="F9" s="2">
        <f>IFERROR(VLOOKUP(B9,[3]Hoja1!$I$25:$J$77,2,0),0)</f>
        <v>1408.5765998707177</v>
      </c>
      <c r="G9" s="2">
        <v>1236.14658212324</v>
      </c>
      <c r="H9" s="10">
        <f t="shared" si="0"/>
        <v>1322.361590996979</v>
      </c>
      <c r="I9" s="10" t="s">
        <v>56</v>
      </c>
      <c r="J9" s="12">
        <v>10006719</v>
      </c>
      <c r="K9" s="24">
        <f t="shared" si="1"/>
        <v>41.74</v>
      </c>
      <c r="L9" s="25">
        <f t="shared" si="5"/>
        <v>55195.372808213906</v>
      </c>
      <c r="M9" s="25">
        <f t="shared" si="2"/>
        <v>10028.4524</v>
      </c>
      <c r="N9" s="25">
        <f>K9/$K$50*$N$52</f>
        <v>1335.8758186097641</v>
      </c>
      <c r="O9" s="25">
        <f>K9/$K$50*$O$52</f>
        <v>3608.7695776096666</v>
      </c>
      <c r="P9" s="25">
        <f>K9/$K$50*$P$52</f>
        <v>2628.4601039666686</v>
      </c>
      <c r="Q9" s="25">
        <f>0</f>
        <v>0</v>
      </c>
      <c r="R9" s="27"/>
      <c r="S9" s="30">
        <f t="shared" si="3"/>
        <v>70168.470604433343</v>
      </c>
      <c r="T9" s="29">
        <f t="shared" si="4"/>
        <v>1681.0845856356814</v>
      </c>
    </row>
    <row r="10" spans="2:20" x14ac:dyDescent="0.3">
      <c r="B10" s="5">
        <v>10007969</v>
      </c>
      <c r="C10" s="5" t="s">
        <v>8</v>
      </c>
      <c r="D10" s="6">
        <v>0</v>
      </c>
      <c r="F10" s="2">
        <f>IFERROR(VLOOKUP(B10,[3]Hoja1!$I$25:$J$77,2,0),0)</f>
        <v>1226.375</v>
      </c>
      <c r="G10" s="2">
        <v>807.53922388059698</v>
      </c>
      <c r="H10" s="10">
        <f t="shared" si="0"/>
        <v>1016.9571119402985</v>
      </c>
      <c r="I10" s="10" t="s">
        <v>57</v>
      </c>
      <c r="J10" s="5">
        <v>10007969</v>
      </c>
      <c r="K10" s="24">
        <f t="shared" si="1"/>
        <v>0</v>
      </c>
      <c r="L10" s="25">
        <f t="shared" si="5"/>
        <v>0</v>
      </c>
      <c r="M10" s="25">
        <f t="shared" si="2"/>
        <v>0</v>
      </c>
      <c r="N10" s="25">
        <f>K10/$K$50*$N$52</f>
        <v>0</v>
      </c>
      <c r="O10" s="25">
        <f>K10/$K$50*$O$52</f>
        <v>0</v>
      </c>
      <c r="P10" s="25">
        <f>K10/$K$50*$P$52</f>
        <v>0</v>
      </c>
      <c r="Q10" s="25">
        <f>0</f>
        <v>0</v>
      </c>
      <c r="R10" s="27"/>
      <c r="S10" s="30">
        <f t="shared" si="3"/>
        <v>0</v>
      </c>
      <c r="T10" s="29">
        <f t="shared" si="4"/>
        <v>0</v>
      </c>
    </row>
    <row r="11" spans="2:20" x14ac:dyDescent="0.3">
      <c r="B11" s="5">
        <v>10004434</v>
      </c>
      <c r="C11" s="5" t="s">
        <v>9</v>
      </c>
      <c r="D11" s="6">
        <v>1900</v>
      </c>
      <c r="F11" s="2">
        <f>IFERROR(VLOOKUP(B11,[3]Hoja1!$I$25:$J$77,2,0),0)</f>
        <v>2064.636363636364</v>
      </c>
      <c r="G11" s="2">
        <v>1488.5392238806</v>
      </c>
      <c r="H11" s="10">
        <f t="shared" si="0"/>
        <v>1776.5877937584819</v>
      </c>
      <c r="I11" s="10" t="s">
        <v>48</v>
      </c>
      <c r="J11" s="13">
        <v>10005721</v>
      </c>
      <c r="K11" s="24">
        <f t="shared" si="1"/>
        <v>1.9</v>
      </c>
      <c r="L11" s="25">
        <f t="shared" si="5"/>
        <v>3375.5168081411157</v>
      </c>
      <c r="M11" s="25">
        <f t="shared" si="2"/>
        <v>456.49400000000003</v>
      </c>
      <c r="N11" s="25">
        <f>K11/$K$50*$N$52</f>
        <v>60.80891364059778</v>
      </c>
      <c r="O11" s="25">
        <f>K11/$K$50*$O$52</f>
        <v>164.27077617293639</v>
      </c>
      <c r="P11" s="25">
        <f>K11/$K$50*$P$52</f>
        <v>119.647201665948</v>
      </c>
      <c r="Q11" s="25">
        <f>0</f>
        <v>0</v>
      </c>
      <c r="R11" s="27"/>
      <c r="S11" s="30">
        <f t="shared" si="3"/>
        <v>4057.0904979546503</v>
      </c>
      <c r="T11" s="29">
        <f t="shared" si="4"/>
        <v>2135.3107883971843</v>
      </c>
    </row>
    <row r="12" spans="2:20" x14ac:dyDescent="0.3">
      <c r="B12" s="5">
        <v>10004435</v>
      </c>
      <c r="C12" s="5" t="s">
        <v>10</v>
      </c>
      <c r="D12" s="6">
        <v>32180</v>
      </c>
      <c r="F12" s="2">
        <f>IFERROR(VLOOKUP(B12,[3]Hoja1!$I$25:$J$77,2,0),0)</f>
        <v>1758.0257826887662</v>
      </c>
      <c r="G12" s="2">
        <v>1488.5392238806</v>
      </c>
      <c r="H12" s="10">
        <f t="shared" si="0"/>
        <v>1623.2825032846831</v>
      </c>
      <c r="I12" s="10" t="s">
        <v>48</v>
      </c>
      <c r="J12" s="13">
        <v>10005721</v>
      </c>
      <c r="K12" s="24">
        <f t="shared" si="1"/>
        <v>32.18</v>
      </c>
      <c r="L12" s="25">
        <f t="shared" si="5"/>
        <v>52237.230955701103</v>
      </c>
      <c r="M12" s="25">
        <f t="shared" si="2"/>
        <v>7731.5667999999996</v>
      </c>
      <c r="N12" s="25">
        <f>K12/$K$50*$N$52</f>
        <v>1029.9109689233876</v>
      </c>
      <c r="O12" s="25">
        <f>K12/$K$50*$O$52</f>
        <v>2782.228198550049</v>
      </c>
      <c r="P12" s="25">
        <f>K12/$K$50*$P$52</f>
        <v>2026.4457629527406</v>
      </c>
      <c r="Q12" s="25">
        <f>0</f>
        <v>0</v>
      </c>
      <c r="R12" s="27"/>
      <c r="S12" s="30">
        <f t="shared" si="3"/>
        <v>63780.936923174544</v>
      </c>
      <c r="T12" s="29">
        <f t="shared" si="4"/>
        <v>1982.0054979233855</v>
      </c>
    </row>
    <row r="13" spans="2:20" x14ac:dyDescent="0.3">
      <c r="B13" s="5">
        <v>10005708</v>
      </c>
      <c r="C13" s="5" t="s">
        <v>11</v>
      </c>
      <c r="D13" s="6">
        <v>1080</v>
      </c>
      <c r="F13" s="2">
        <f>IFERROR(VLOOKUP(B13,[3]Hoja1!$I$25:$J$77,2,0),0)</f>
        <v>2023.8796296296298</v>
      </c>
      <c r="G13" s="2">
        <v>1488.5392238806</v>
      </c>
      <c r="H13" s="10">
        <f t="shared" si="0"/>
        <v>1756.2094267551149</v>
      </c>
      <c r="I13" s="10" t="s">
        <v>48</v>
      </c>
      <c r="J13" s="13">
        <v>10005721</v>
      </c>
      <c r="K13" s="24">
        <f t="shared" si="1"/>
        <v>1.08</v>
      </c>
      <c r="L13" s="25">
        <f t="shared" si="5"/>
        <v>1896.7061808955241</v>
      </c>
      <c r="M13" s="25">
        <f t="shared" si="2"/>
        <v>259.48079999999999</v>
      </c>
      <c r="N13" s="25">
        <f>K13/$K$50*$N$52</f>
        <v>34.565066700971379</v>
      </c>
      <c r="O13" s="25">
        <f>K13/$K$50*$O$52</f>
        <v>93.374967508827012</v>
      </c>
      <c r="P13" s="25">
        <f>K13/$K$50*$P$52</f>
        <v>68.00998831538098</v>
      </c>
      <c r="Q13" s="25">
        <f>0</f>
        <v>0</v>
      </c>
      <c r="R13" s="27"/>
      <c r="S13" s="30">
        <f t="shared" si="3"/>
        <v>2284.1270151053222</v>
      </c>
      <c r="T13" s="29">
        <f t="shared" si="4"/>
        <v>2114.9324213938166</v>
      </c>
    </row>
    <row r="14" spans="2:20" x14ac:dyDescent="0.3">
      <c r="B14" s="5">
        <v>10005721</v>
      </c>
      <c r="C14" s="5" t="s">
        <v>12</v>
      </c>
      <c r="D14" s="6">
        <v>3100</v>
      </c>
      <c r="F14" s="2">
        <f>IFERROR(VLOOKUP(B14,[3]Hoja1!$I$25:$J$77,2,0),0)</f>
        <v>1959.7102564102565</v>
      </c>
      <c r="G14" s="2">
        <v>1488.5392238806</v>
      </c>
      <c r="H14" s="10">
        <f t="shared" si="0"/>
        <v>1724.1247401454284</v>
      </c>
      <c r="I14" s="10" t="s">
        <v>48</v>
      </c>
      <c r="J14" s="13">
        <v>10005721</v>
      </c>
      <c r="K14" s="24">
        <f t="shared" si="1"/>
        <v>3.1</v>
      </c>
      <c r="L14" s="25">
        <f t="shared" si="5"/>
        <v>5344.7866944508287</v>
      </c>
      <c r="M14" s="25">
        <f t="shared" si="2"/>
        <v>744.80600000000004</v>
      </c>
      <c r="N14" s="25">
        <f>K14/$K$50*$N$52</f>
        <v>99.214543308343764</v>
      </c>
      <c r="O14" s="25">
        <f>K14/$K$50*$O$52</f>
        <v>268.0207400716331</v>
      </c>
      <c r="P14" s="25">
        <f>K14/$K$50*$P$52</f>
        <v>195.21385534970466</v>
      </c>
      <c r="Q14" s="25">
        <f>0</f>
        <v>0</v>
      </c>
      <c r="R14" s="27"/>
      <c r="S14" s="30">
        <f t="shared" si="3"/>
        <v>6456.827977830806</v>
      </c>
      <c r="T14" s="29">
        <f t="shared" si="4"/>
        <v>2082.8477347841308</v>
      </c>
    </row>
    <row r="15" spans="2:20" x14ac:dyDescent="0.3">
      <c r="B15" s="5">
        <v>10010126</v>
      </c>
      <c r="C15" s="5" t="s">
        <v>13</v>
      </c>
      <c r="D15" s="6">
        <v>5280</v>
      </c>
      <c r="F15" s="2">
        <f>IFERROR(VLOOKUP(B15,[3]Hoja1!$I$25:$J$77,2,0),0)</f>
        <v>1787.367424242424</v>
      </c>
      <c r="G15" s="2">
        <v>1488.5392238806</v>
      </c>
      <c r="H15" s="10">
        <f t="shared" si="0"/>
        <v>1637.9533240615119</v>
      </c>
      <c r="I15" s="10" t="s">
        <v>48</v>
      </c>
      <c r="J15" s="13">
        <v>10005721</v>
      </c>
      <c r="K15" s="24">
        <f t="shared" si="1"/>
        <v>5.28</v>
      </c>
      <c r="L15" s="25">
        <f t="shared" si="5"/>
        <v>8648.3935510447827</v>
      </c>
      <c r="M15" s="25">
        <f t="shared" si="2"/>
        <v>1268.5728000000001</v>
      </c>
      <c r="N15" s="25">
        <f>K15/$K$50*$N$52</f>
        <v>168.98477053808227</v>
      </c>
      <c r="O15" s="25">
        <f>K15/$K$50*$O$52</f>
        <v>456.49984115426543</v>
      </c>
      <c r="P15" s="25">
        <f>K15/$K$50*$P$52</f>
        <v>332.49327620852927</v>
      </c>
      <c r="Q15" s="25">
        <f>0</f>
        <v>0</v>
      </c>
      <c r="R15" s="27"/>
      <c r="S15" s="30">
        <f t="shared" si="3"/>
        <v>10542.45096273713</v>
      </c>
      <c r="T15" s="29">
        <f t="shared" si="4"/>
        <v>1996.6763187002139</v>
      </c>
    </row>
    <row r="16" spans="2:20" x14ac:dyDescent="0.3">
      <c r="B16" s="5">
        <v>10005718</v>
      </c>
      <c r="C16" s="5" t="s">
        <v>14</v>
      </c>
      <c r="D16" s="6">
        <v>17700</v>
      </c>
      <c r="F16" s="2">
        <f>IFERROR(VLOOKUP(B16,[3]Hoja1!$I$25:$J$77,2,0),0)</f>
        <v>1904.1872529644268</v>
      </c>
      <c r="G16" s="2">
        <v>1488.5392238806</v>
      </c>
      <c r="H16" s="10">
        <f t="shared" si="0"/>
        <v>1696.3632384225134</v>
      </c>
      <c r="I16" s="10" t="s">
        <v>48</v>
      </c>
      <c r="J16" s="13">
        <v>10005721</v>
      </c>
      <c r="K16" s="24">
        <f t="shared" si="1"/>
        <v>17.7</v>
      </c>
      <c r="L16" s="25">
        <f t="shared" si="5"/>
        <v>30025.629320078489</v>
      </c>
      <c r="M16" s="25">
        <f t="shared" si="2"/>
        <v>4252.6019999999999</v>
      </c>
      <c r="N16" s="25">
        <f>K16/$K$50*$N$52</f>
        <v>566.48303759925307</v>
      </c>
      <c r="O16" s="25">
        <f>K16/$K$50*$O$52</f>
        <v>1530.3119675057758</v>
      </c>
      <c r="P16" s="25">
        <f>K16/$K$50*$P$52</f>
        <v>1114.6081418354104</v>
      </c>
      <c r="Q16" s="25">
        <f>0</f>
        <v>0</v>
      </c>
      <c r="R16" s="27"/>
      <c r="S16" s="30">
        <f t="shared" si="3"/>
        <v>36375.02632518352</v>
      </c>
      <c r="T16" s="29">
        <f t="shared" si="4"/>
        <v>2055.0862330612158</v>
      </c>
    </row>
    <row r="17" spans="2:20" x14ac:dyDescent="0.3">
      <c r="B17" s="5">
        <v>10009972</v>
      </c>
      <c r="C17" s="5" t="s">
        <v>15</v>
      </c>
      <c r="D17" s="6">
        <v>2720</v>
      </c>
      <c r="F17" s="2">
        <f>IFERROR(VLOOKUP(B17,[3]Hoja1!$I$25:$J$77,2,0),0)</f>
        <v>0</v>
      </c>
      <c r="G17" s="2">
        <v>1488.5392238806</v>
      </c>
      <c r="H17" s="101">
        <f>G17</f>
        <v>1488.5392238806</v>
      </c>
      <c r="I17" s="10" t="s">
        <v>48</v>
      </c>
      <c r="J17" s="13">
        <v>10005721</v>
      </c>
      <c r="K17" s="24">
        <f t="shared" si="1"/>
        <v>2.72</v>
      </c>
      <c r="L17" s="25">
        <f t="shared" si="5"/>
        <v>4048.8266889552319</v>
      </c>
      <c r="M17" s="25">
        <f t="shared" si="2"/>
        <v>653.5071999999999</v>
      </c>
      <c r="N17" s="25">
        <f>K17/$K$50*$N$52</f>
        <v>87.052760580224202</v>
      </c>
      <c r="O17" s="25">
        <f>K17/$K$50*$O$52</f>
        <v>235.1665848370458</v>
      </c>
      <c r="P17" s="25">
        <f>K17/$K$50*$P$52</f>
        <v>171.28441501651506</v>
      </c>
      <c r="Q17" s="25">
        <f>0</f>
        <v>0</v>
      </c>
      <c r="R17" s="27"/>
      <c r="S17" s="30">
        <f t="shared" si="3"/>
        <v>5024.5532343725017</v>
      </c>
      <c r="T17" s="29">
        <f t="shared" si="4"/>
        <v>1847.262218519302</v>
      </c>
    </row>
    <row r="18" spans="2:20" x14ac:dyDescent="0.3">
      <c r="B18" s="5">
        <v>10009298</v>
      </c>
      <c r="C18" s="5" t="s">
        <v>16</v>
      </c>
      <c r="D18" s="6">
        <v>27040</v>
      </c>
      <c r="F18" s="2">
        <f>IFERROR(VLOOKUP(B18,[3]Hoja1!$I$25:$J$77,2,0),0)</f>
        <v>2083.8593750000005</v>
      </c>
      <c r="G18" s="2">
        <v>1488.5392238806</v>
      </c>
      <c r="H18" s="10">
        <f t="shared" si="0"/>
        <v>1786.1992994403004</v>
      </c>
      <c r="I18" s="10" t="s">
        <v>48</v>
      </c>
      <c r="J18" s="13">
        <v>10005721</v>
      </c>
      <c r="K18" s="24">
        <f t="shared" si="1"/>
        <v>27.04</v>
      </c>
      <c r="L18" s="25">
        <f t="shared" si="5"/>
        <v>48298.829056865725</v>
      </c>
      <c r="M18" s="25">
        <f t="shared" si="2"/>
        <v>6496.6303999999991</v>
      </c>
      <c r="N18" s="25">
        <f>K18/$K$50*$N$52</f>
        <v>865.40685517987583</v>
      </c>
      <c r="O18" s="25">
        <f>K18/$K$50*$O$52</f>
        <v>2337.8325198506318</v>
      </c>
      <c r="P18" s="25">
        <f>K18/$K$50*$P$52</f>
        <v>1702.7685963406495</v>
      </c>
      <c r="Q18" s="25">
        <f>0</f>
        <v>0</v>
      </c>
      <c r="R18" s="27"/>
      <c r="S18" s="30">
        <f t="shared" si="3"/>
        <v>57998.698831896239</v>
      </c>
      <c r="T18" s="29">
        <f t="shared" si="4"/>
        <v>2144.9222940790032</v>
      </c>
    </row>
    <row r="19" spans="2:20" x14ac:dyDescent="0.3">
      <c r="B19" s="5">
        <v>10009644</v>
      </c>
      <c r="C19" s="5" t="s">
        <v>17</v>
      </c>
      <c r="D19" s="6">
        <v>25140</v>
      </c>
      <c r="F19" s="2">
        <f>IFERROR(VLOOKUP(B19,[3]Hoja1!$I$25:$J$77,2,0),0)</f>
        <v>0</v>
      </c>
      <c r="G19" s="2">
        <v>1488.5392238806</v>
      </c>
      <c r="H19" s="101">
        <f>G19</f>
        <v>1488.5392238806</v>
      </c>
      <c r="I19" s="10" t="s">
        <v>48</v>
      </c>
      <c r="J19" s="13">
        <v>10005721</v>
      </c>
      <c r="K19" s="24">
        <f t="shared" si="1"/>
        <v>25.14</v>
      </c>
      <c r="L19" s="25">
        <f t="shared" si="5"/>
        <v>37421.87608835828</v>
      </c>
      <c r="M19" s="25">
        <f t="shared" si="2"/>
        <v>6040.1363999999994</v>
      </c>
      <c r="N19" s="25">
        <f>K19/$K$50*$N$52</f>
        <v>804.59794153927805</v>
      </c>
      <c r="O19" s="25">
        <f>K19/$K$50*$O$52</f>
        <v>2173.5617436776952</v>
      </c>
      <c r="P19" s="25">
        <f>K19/$K$50*$P$52</f>
        <v>1583.1213946747016</v>
      </c>
      <c r="Q19" s="25">
        <f>0</f>
        <v>0</v>
      </c>
      <c r="R19" s="27"/>
      <c r="S19" s="30">
        <f t="shared" si="3"/>
        <v>46440.172173575251</v>
      </c>
      <c r="T19" s="29">
        <f t="shared" si="4"/>
        <v>1847.262218519302</v>
      </c>
    </row>
    <row r="20" spans="2:20" x14ac:dyDescent="0.3">
      <c r="B20" s="5">
        <v>10010320</v>
      </c>
      <c r="C20" s="5" t="s">
        <v>18</v>
      </c>
      <c r="D20" s="6">
        <v>25440</v>
      </c>
      <c r="F20" s="2">
        <f>IFERROR(VLOOKUP(B20,[3]Hoja1!$I$25:$J$77,2,0),0)</f>
        <v>0</v>
      </c>
      <c r="G20" s="2">
        <v>1355.7979303482589</v>
      </c>
      <c r="H20" s="101">
        <f>G20</f>
        <v>1355.7979303482589</v>
      </c>
      <c r="I20" s="10" t="s">
        <v>58</v>
      </c>
      <c r="J20">
        <v>10010320</v>
      </c>
      <c r="K20" s="24">
        <f t="shared" si="1"/>
        <v>25.44</v>
      </c>
      <c r="L20" s="25">
        <f t="shared" si="5"/>
        <v>34491.499348059704</v>
      </c>
      <c r="M20" s="25">
        <f t="shared" si="2"/>
        <v>6112.2143999999998</v>
      </c>
      <c r="N20" s="25">
        <f>K20/$K$50*$N$52</f>
        <v>814.19934895621464</v>
      </c>
      <c r="O20" s="25">
        <f>K20/$K$50*$O$52</f>
        <v>2199.4992346523695</v>
      </c>
      <c r="P20" s="25">
        <f>K20/$K$50*$P$52</f>
        <v>1602.0130580956409</v>
      </c>
      <c r="Q20" s="25">
        <f>0</f>
        <v>0</v>
      </c>
      <c r="R20" s="27"/>
      <c r="S20" s="30">
        <f t="shared" si="3"/>
        <v>43617.412331668289</v>
      </c>
      <c r="T20" s="29">
        <f t="shared" si="4"/>
        <v>1714.5209249869611</v>
      </c>
    </row>
    <row r="21" spans="2:20" x14ac:dyDescent="0.3">
      <c r="B21" s="5">
        <v>10010347</v>
      </c>
      <c r="C21" s="5" t="s">
        <v>19</v>
      </c>
      <c r="D21" s="6">
        <v>20020</v>
      </c>
      <c r="F21" s="2">
        <f>IFERROR(VLOOKUP(B21,[3]Hoja1!$I$25:$J$77,2,0),0)</f>
        <v>0</v>
      </c>
      <c r="G21" s="2">
        <v>1355.7979303482589</v>
      </c>
      <c r="H21" s="101">
        <f>G21</f>
        <v>1355.7979303482589</v>
      </c>
      <c r="I21" s="10" t="s">
        <v>58</v>
      </c>
      <c r="J21">
        <v>10010320</v>
      </c>
      <c r="K21" s="24">
        <f t="shared" si="1"/>
        <v>20.02</v>
      </c>
      <c r="L21" s="25">
        <f t="shared" si="5"/>
        <v>27143.074565572144</v>
      </c>
      <c r="M21" s="25">
        <f t="shared" si="2"/>
        <v>4810.0052000000005</v>
      </c>
      <c r="N21" s="25">
        <f>K21/$K$50*$N$52</f>
        <v>640.73392162356186</v>
      </c>
      <c r="O21" s="25">
        <f>K21/$K$50*$O$52</f>
        <v>1730.895231043256</v>
      </c>
      <c r="P21" s="25">
        <f>K21/$K$50*$P$52</f>
        <v>1260.7036722906732</v>
      </c>
      <c r="Q21" s="25">
        <f>0</f>
        <v>0</v>
      </c>
      <c r="R21" s="27"/>
      <c r="S21" s="30">
        <f t="shared" si="3"/>
        <v>34324.708918238961</v>
      </c>
      <c r="T21" s="29">
        <f t="shared" si="4"/>
        <v>1714.5209249869611</v>
      </c>
    </row>
    <row r="22" spans="2:20" x14ac:dyDescent="0.3">
      <c r="B22" s="5">
        <v>10009184</v>
      </c>
      <c r="C22" s="5" t="s">
        <v>20</v>
      </c>
      <c r="D22" s="6">
        <v>140860</v>
      </c>
      <c r="F22" s="2">
        <f>IFERROR(VLOOKUP(B22,[3]Hoja1!$I$25:$J$77,2,0),0)</f>
        <v>1856.2375778646965</v>
      </c>
      <c r="G22" s="2">
        <v>1242.7305209165399</v>
      </c>
      <c r="H22" s="10">
        <f t="shared" si="0"/>
        <v>1549.4840493906181</v>
      </c>
      <c r="I22" s="10" t="s">
        <v>59</v>
      </c>
      <c r="J22" s="14">
        <v>10005779</v>
      </c>
      <c r="K22" s="24">
        <f t="shared" si="1"/>
        <v>140.86000000000001</v>
      </c>
      <c r="L22" s="25">
        <f t="shared" si="5"/>
        <v>218260.32319716248</v>
      </c>
      <c r="M22" s="25">
        <f t="shared" si="2"/>
        <v>33843.0236</v>
      </c>
      <c r="N22" s="25">
        <f>K22/$K$50*$N$52</f>
        <v>4508.1808291655816</v>
      </c>
      <c r="O22" s="25">
        <f>K22/$K$50*$O$52</f>
        <v>12178.516595642013</v>
      </c>
      <c r="P22" s="25">
        <f>K22/$K$50*$P$52</f>
        <v>8870.265698244968</v>
      </c>
      <c r="Q22" s="25">
        <f>0</f>
        <v>0</v>
      </c>
      <c r="R22" s="27"/>
      <c r="S22" s="30">
        <f t="shared" si="3"/>
        <v>268790.04422197008</v>
      </c>
      <c r="T22" s="29">
        <f t="shared" si="4"/>
        <v>1908.2070440293203</v>
      </c>
    </row>
    <row r="23" spans="2:20" x14ac:dyDescent="0.3">
      <c r="B23" s="5">
        <v>10009271</v>
      </c>
      <c r="C23" s="5" t="s">
        <v>21</v>
      </c>
      <c r="D23" s="6">
        <v>41820</v>
      </c>
      <c r="F23" s="2">
        <f>IFERROR(VLOOKUP(B23,[3]Hoja1!$I$25:$J$77,2,0),0)</f>
        <v>1837.4357381748684</v>
      </c>
      <c r="G23" s="2">
        <v>1242.7305209165399</v>
      </c>
      <c r="H23" s="10">
        <f t="shared" si="0"/>
        <v>1540.0831295457042</v>
      </c>
      <c r="I23" s="10" t="s">
        <v>59</v>
      </c>
      <c r="J23" s="14">
        <v>10005779</v>
      </c>
      <c r="K23" s="24">
        <f t="shared" si="1"/>
        <v>41.82</v>
      </c>
      <c r="L23" s="25">
        <f t="shared" si="5"/>
        <v>64406.27647760135</v>
      </c>
      <c r="M23" s="25">
        <f t="shared" si="2"/>
        <v>10047.673199999999</v>
      </c>
      <c r="N23" s="25">
        <f>K23/$K$50*$N$52</f>
        <v>1338.4361939209471</v>
      </c>
      <c r="O23" s="25">
        <f>K23/$K$50*$O$52</f>
        <v>3615.6862418695791</v>
      </c>
      <c r="P23" s="25">
        <f>K23/$K$50*$P$52</f>
        <v>2633.4978808789187</v>
      </c>
      <c r="Q23" s="25">
        <f>0</f>
        <v>0</v>
      </c>
      <c r="R23" s="27"/>
      <c r="S23" s="30">
        <f t="shared" si="3"/>
        <v>79408.072113391885</v>
      </c>
      <c r="T23" s="29">
        <f t="shared" si="4"/>
        <v>1898.8061241844066</v>
      </c>
    </row>
    <row r="24" spans="2:20" x14ac:dyDescent="0.3">
      <c r="B24" s="5">
        <v>10009183</v>
      </c>
      <c r="C24" s="5" t="s">
        <v>22</v>
      </c>
      <c r="D24" s="6">
        <v>1040</v>
      </c>
      <c r="F24" s="2">
        <f>IFERROR(VLOOKUP(B24,[3]Hoja1!$I$25:$J$77,2,0),0)</f>
        <v>1837.7307692307691</v>
      </c>
      <c r="G24" s="2">
        <v>1242.7305209165399</v>
      </c>
      <c r="H24" s="10">
        <f t="shared" si="0"/>
        <v>1540.2306450736546</v>
      </c>
      <c r="I24" s="10" t="s">
        <v>59</v>
      </c>
      <c r="J24" s="14">
        <v>10005779</v>
      </c>
      <c r="K24" s="24">
        <f t="shared" si="1"/>
        <v>1.04</v>
      </c>
      <c r="L24" s="25">
        <f t="shared" si="5"/>
        <v>1601.8398708766008</v>
      </c>
      <c r="M24" s="25">
        <f t="shared" si="2"/>
        <v>249.87039999999999</v>
      </c>
      <c r="N24" s="25">
        <f>K24/$K$50*$N$52</f>
        <v>33.284879045379839</v>
      </c>
      <c r="O24" s="25">
        <f>K24/$K$50*$O$52</f>
        <v>89.916635378870453</v>
      </c>
      <c r="P24" s="25">
        <f>K24/$K$50*$P$52</f>
        <v>65.491099859255755</v>
      </c>
      <c r="Q24" s="25">
        <f>0</f>
        <v>0</v>
      </c>
      <c r="R24" s="27"/>
      <c r="S24" s="30">
        <f t="shared" si="3"/>
        <v>1974.9117853008511</v>
      </c>
      <c r="T24" s="29">
        <f t="shared" si="4"/>
        <v>1898.9536397123568</v>
      </c>
    </row>
    <row r="25" spans="2:20" x14ac:dyDescent="0.3">
      <c r="B25" s="5">
        <v>10005779</v>
      </c>
      <c r="C25" s="5" t="s">
        <v>23</v>
      </c>
      <c r="D25" s="6">
        <v>91080</v>
      </c>
      <c r="F25" s="2">
        <f>IFERROR(VLOOKUP(B25,[3]Hoja1!$I$25:$J$77,2,0),0)</f>
        <v>1735.8204057279236</v>
      </c>
      <c r="G25" s="2">
        <v>1242.7305209165399</v>
      </c>
      <c r="H25" s="10">
        <f t="shared" si="0"/>
        <v>1489.2754633222316</v>
      </c>
      <c r="I25" s="10" t="s">
        <v>59</v>
      </c>
      <c r="J25" s="14">
        <v>10005779</v>
      </c>
      <c r="K25" s="24">
        <f t="shared" si="1"/>
        <v>91.08</v>
      </c>
      <c r="L25" s="25">
        <f t="shared" si="5"/>
        <v>135643.20919938886</v>
      </c>
      <c r="M25" s="25">
        <f t="shared" si="2"/>
        <v>21882.880799999999</v>
      </c>
      <c r="N25" s="25">
        <f>K25/$K$50*$N$52</f>
        <v>2914.9872917819189</v>
      </c>
      <c r="O25" s="25">
        <f>K25/$K$50*$O$52</f>
        <v>7874.622259911077</v>
      </c>
      <c r="P25" s="25">
        <f>K25/$K$50*$P$52</f>
        <v>5735.509014597129</v>
      </c>
      <c r="Q25" s="25">
        <f>0</f>
        <v>0</v>
      </c>
      <c r="R25" s="27"/>
      <c r="S25" s="30">
        <f t="shared" si="3"/>
        <v>168315.69955108187</v>
      </c>
      <c r="T25" s="29">
        <f t="shared" si="4"/>
        <v>1847.998457960934</v>
      </c>
    </row>
    <row r="26" spans="2:20" x14ac:dyDescent="0.3">
      <c r="B26" s="5">
        <v>10005776</v>
      </c>
      <c r="C26" s="5" t="s">
        <v>24</v>
      </c>
      <c r="D26" s="6">
        <v>212380</v>
      </c>
      <c r="F26" s="2">
        <f>IFERROR(VLOOKUP(B26,[3]Hoja1!$I$25:$J$77,2,0),0)</f>
        <v>1787.9197545026959</v>
      </c>
      <c r="G26" s="2">
        <v>1242.7305209165399</v>
      </c>
      <c r="H26" s="10">
        <f t="shared" si="0"/>
        <v>1515.325137709618</v>
      </c>
      <c r="I26" s="10" t="s">
        <v>59</v>
      </c>
      <c r="J26" s="14">
        <v>10005779</v>
      </c>
      <c r="K26" s="24">
        <f t="shared" si="1"/>
        <v>212.38</v>
      </c>
      <c r="L26" s="25">
        <f t="shared" si="5"/>
        <v>321824.75274676865</v>
      </c>
      <c r="M26" s="25">
        <f t="shared" si="2"/>
        <v>51026.418799999999</v>
      </c>
      <c r="N26" s="25">
        <f>K26/$K$50*$N$52</f>
        <v>6797.1563573632411</v>
      </c>
      <c r="O26" s="25">
        <f>K26/$K$50*$O$52</f>
        <v>18362.014444004333</v>
      </c>
      <c r="P26" s="25">
        <f>K26/$K$50*$P$52</f>
        <v>13374.038257796863</v>
      </c>
      <c r="Q26" s="25">
        <f>0</f>
        <v>0</v>
      </c>
      <c r="R26" s="27"/>
      <c r="S26" s="30">
        <f t="shared" si="3"/>
        <v>398010.34234813618</v>
      </c>
      <c r="T26" s="29">
        <f t="shared" si="4"/>
        <v>1874.04813234832</v>
      </c>
    </row>
    <row r="27" spans="2:20" x14ac:dyDescent="0.3">
      <c r="B27" s="5">
        <v>10005781</v>
      </c>
      <c r="C27" s="5" t="s">
        <v>25</v>
      </c>
      <c r="D27" s="6">
        <v>5840</v>
      </c>
      <c r="F27" s="2">
        <f>IFERROR(VLOOKUP(B27,[3]Hoja1!$I$25:$J$77,2,0),0)</f>
        <v>1774.9850374064838</v>
      </c>
      <c r="G27" s="2">
        <v>1242.7305209165399</v>
      </c>
      <c r="H27" s="10">
        <f t="shared" si="0"/>
        <v>1508.8577791615119</v>
      </c>
      <c r="I27" s="10" t="s">
        <v>59</v>
      </c>
      <c r="J27" s="14">
        <v>10005779</v>
      </c>
      <c r="K27" s="24">
        <f t="shared" si="1"/>
        <v>5.84</v>
      </c>
      <c r="L27" s="25">
        <f t="shared" si="5"/>
        <v>8811.7294303032286</v>
      </c>
      <c r="M27" s="25">
        <f t="shared" si="2"/>
        <v>1403.1183999999998</v>
      </c>
      <c r="N27" s="25">
        <f>K27/$K$50*$N$52</f>
        <v>186.90739771636373</v>
      </c>
      <c r="O27" s="25">
        <f>K27/$K$50*$O$52</f>
        <v>504.91649097365718</v>
      </c>
      <c r="P27" s="25">
        <f>K27/$K$50*$P$52</f>
        <v>367.75771459428233</v>
      </c>
      <c r="Q27" s="25">
        <f>0</f>
        <v>0</v>
      </c>
      <c r="R27" s="27"/>
      <c r="S27" s="30">
        <f t="shared" si="3"/>
        <v>10906.67171899325</v>
      </c>
      <c r="T27" s="29">
        <f t="shared" si="4"/>
        <v>1867.580773800214</v>
      </c>
    </row>
    <row r="28" spans="2:20" x14ac:dyDescent="0.3">
      <c r="B28" s="5">
        <v>10007567</v>
      </c>
      <c r="C28" s="5" t="s">
        <v>26</v>
      </c>
      <c r="D28" s="6">
        <v>99800</v>
      </c>
      <c r="E28" t="s">
        <v>53</v>
      </c>
      <c r="F28" s="2">
        <f>IFERROR(VLOOKUP(B28,[3]Hoja1!$I$25:$J$77,2,0),0)</f>
        <v>1661.5121916236376</v>
      </c>
      <c r="G28" s="2">
        <v>1541.8894985296599</v>
      </c>
      <c r="H28" s="10">
        <f t="shared" si="0"/>
        <v>1601.7008450766489</v>
      </c>
      <c r="I28" s="10" t="s">
        <v>53</v>
      </c>
      <c r="J28" s="15">
        <v>10007567</v>
      </c>
      <c r="K28" s="24">
        <f t="shared" si="1"/>
        <v>99.8</v>
      </c>
      <c r="L28" s="25">
        <f t="shared" si="5"/>
        <v>159849.74433864956</v>
      </c>
      <c r="M28" s="25">
        <f t="shared" si="2"/>
        <v>23977.948</v>
      </c>
      <c r="N28" s="25">
        <f>K28/$K$50*$N$52</f>
        <v>3194.0682007008731</v>
      </c>
      <c r="O28" s="25">
        <f>K28/$K$50*$O$52</f>
        <v>8628.538664241607</v>
      </c>
      <c r="P28" s="25">
        <f>K28/$K$50*$P$52</f>
        <v>6284.6266980324272</v>
      </c>
      <c r="Q28" s="25">
        <f>0</f>
        <v>0</v>
      </c>
      <c r="R28" s="27"/>
      <c r="S28" s="30">
        <f t="shared" si="3"/>
        <v>195650.29920359206</v>
      </c>
      <c r="T28" s="29">
        <f t="shared" si="4"/>
        <v>1960.4238397153513</v>
      </c>
    </row>
    <row r="29" spans="2:20" x14ac:dyDescent="0.3">
      <c r="B29" s="5">
        <v>10010107</v>
      </c>
      <c r="C29" s="5" t="s">
        <v>27</v>
      </c>
      <c r="D29" s="6">
        <v>35920</v>
      </c>
      <c r="E29" t="s">
        <v>53</v>
      </c>
      <c r="F29" s="2">
        <f>IFERROR(VLOOKUP(B29,[3]Hoja1!$I$25:$J$77,2,0),0)</f>
        <v>1762.8334268087494</v>
      </c>
      <c r="G29" s="2">
        <v>1541.8894985296599</v>
      </c>
      <c r="H29" s="10">
        <f t="shared" si="0"/>
        <v>1652.3614626692047</v>
      </c>
      <c r="I29" s="10" t="s">
        <v>53</v>
      </c>
      <c r="J29" s="15">
        <v>10007567</v>
      </c>
      <c r="K29" s="24">
        <f t="shared" si="1"/>
        <v>35.92</v>
      </c>
      <c r="L29" s="25">
        <f t="shared" si="5"/>
        <v>59352.82373907783</v>
      </c>
      <c r="M29" s="25">
        <f t="shared" si="2"/>
        <v>8630.1391999999996</v>
      </c>
      <c r="N29" s="25">
        <f>K29/$K$50*$N$52</f>
        <v>1149.6085147211961</v>
      </c>
      <c r="O29" s="25">
        <f>K29/$K$50*$O$52</f>
        <v>3105.5822527009873</v>
      </c>
      <c r="P29" s="25">
        <f>K29/$K$50*$P$52</f>
        <v>2261.9618336004492</v>
      </c>
      <c r="Q29" s="25">
        <f>0</f>
        <v>0</v>
      </c>
      <c r="R29" s="27"/>
      <c r="S29" s="30">
        <f t="shared" si="3"/>
        <v>72238.153706500016</v>
      </c>
      <c r="T29" s="29">
        <f t="shared" si="4"/>
        <v>2011.0844573079069</v>
      </c>
    </row>
    <row r="30" spans="2:20" x14ac:dyDescent="0.3">
      <c r="B30" s="5">
        <v>10009186</v>
      </c>
      <c r="C30" s="5" t="s">
        <v>28</v>
      </c>
      <c r="D30" s="6">
        <v>40</v>
      </c>
      <c r="E30" t="s">
        <v>49</v>
      </c>
      <c r="F30" s="2">
        <f>IFERROR(VLOOKUP(B30,[3]Hoja1!$I$25:$J$77,2,0),0)</f>
        <v>1710.9999999999998</v>
      </c>
      <c r="G30" s="2">
        <v>1541.8894985296599</v>
      </c>
      <c r="H30" s="10">
        <f t="shared" si="0"/>
        <v>1626.4447492648299</v>
      </c>
      <c r="I30" s="10" t="s">
        <v>49</v>
      </c>
      <c r="J30" s="15">
        <v>10007162</v>
      </c>
      <c r="K30" s="24">
        <f t="shared" si="1"/>
        <v>0.04</v>
      </c>
      <c r="L30" s="25">
        <f t="shared" si="5"/>
        <v>65.057789970593191</v>
      </c>
      <c r="M30" s="25">
        <f t="shared" si="2"/>
        <v>9.6104000000000003</v>
      </c>
      <c r="N30" s="25">
        <f>K30/$K$50*$N$52</f>
        <v>1.2801876555915324</v>
      </c>
      <c r="O30" s="25">
        <f>K30/$K$50*$O$52</f>
        <v>3.4583321299565557</v>
      </c>
      <c r="P30" s="25">
        <f>K30/$K$50*$P$52</f>
        <v>2.5188884561252212</v>
      </c>
      <c r="Q30" s="25">
        <f>0</f>
        <v>0</v>
      </c>
      <c r="R30" s="27"/>
      <c r="S30" s="30">
        <f t="shared" si="3"/>
        <v>79.406709756141282</v>
      </c>
      <c r="T30" s="29">
        <f t="shared" si="4"/>
        <v>1985.167743903532</v>
      </c>
    </row>
    <row r="31" spans="2:20" x14ac:dyDescent="0.3">
      <c r="B31" s="5">
        <v>10009777</v>
      </c>
      <c r="C31" s="5" t="s">
        <v>29</v>
      </c>
      <c r="D31" s="6">
        <v>640</v>
      </c>
      <c r="E31" t="s">
        <v>49</v>
      </c>
      <c r="F31" s="2">
        <f>IFERROR(VLOOKUP(B31,[3]Hoja1!$I$25:$J$77,2,0),0)</f>
        <v>1504.8592534992224</v>
      </c>
      <c r="G31" s="2">
        <v>1541.8894985296599</v>
      </c>
      <c r="H31" s="10">
        <f t="shared" si="0"/>
        <v>1523.3743760144412</v>
      </c>
      <c r="I31" s="10" t="s">
        <v>49</v>
      </c>
      <c r="J31" s="15">
        <v>10007162</v>
      </c>
      <c r="K31" s="24">
        <f t="shared" si="1"/>
        <v>0.64</v>
      </c>
      <c r="L31" s="25">
        <f t="shared" si="5"/>
        <v>974.95960064924225</v>
      </c>
      <c r="M31" s="25">
        <f t="shared" si="2"/>
        <v>153.7664</v>
      </c>
      <c r="N31" s="25">
        <f>K31/$K$50*$N$52</f>
        <v>20.483002489464518</v>
      </c>
      <c r="O31" s="25">
        <f>K31/$K$50*$O$52</f>
        <v>55.333314079304891</v>
      </c>
      <c r="P31" s="25">
        <f>K31/$K$50*$P$52</f>
        <v>40.302215298003539</v>
      </c>
      <c r="Q31" s="25">
        <f>0</f>
        <v>0</v>
      </c>
      <c r="R31" s="27"/>
      <c r="S31" s="30">
        <f t="shared" si="3"/>
        <v>1204.5423172180117</v>
      </c>
      <c r="T31" s="29">
        <f t="shared" si="4"/>
        <v>1882.0973706531433</v>
      </c>
    </row>
    <row r="32" spans="2:20" x14ac:dyDescent="0.3">
      <c r="B32" s="5">
        <v>10010108</v>
      </c>
      <c r="C32" s="5" t="s">
        <v>30</v>
      </c>
      <c r="D32" s="6">
        <v>182280</v>
      </c>
      <c r="E32" t="s">
        <v>49</v>
      </c>
      <c r="F32" s="2">
        <f>IFERROR(VLOOKUP(B32,[3]Hoja1!$I$25:$J$77,2,0),0)</f>
        <v>1506.5946932814022</v>
      </c>
      <c r="G32" s="2">
        <v>1541.8894985296599</v>
      </c>
      <c r="H32" s="10">
        <f t="shared" si="0"/>
        <v>1524.2420959055312</v>
      </c>
      <c r="I32" s="10" t="s">
        <v>49</v>
      </c>
      <c r="J32" s="15">
        <v>10007162</v>
      </c>
      <c r="K32" s="24">
        <f t="shared" si="1"/>
        <v>182.28</v>
      </c>
      <c r="L32" s="25">
        <f t="shared" si="5"/>
        <v>277838.84924166021</v>
      </c>
      <c r="M32" s="25">
        <f t="shared" si="2"/>
        <v>43794.592799999999</v>
      </c>
      <c r="N32" s="25">
        <f>K32/$K$50*$N$52</f>
        <v>5833.8151465306128</v>
      </c>
      <c r="O32" s="25">
        <f>K32/$K$50*$O$52</f>
        <v>15759.619516212026</v>
      </c>
      <c r="P32" s="25">
        <f>K32/$K$50*$P$52</f>
        <v>11478.574694562634</v>
      </c>
      <c r="Q32" s="25">
        <f>0</f>
        <v>0</v>
      </c>
      <c r="R32" s="27"/>
      <c r="S32" s="30">
        <f t="shared" si="3"/>
        <v>343226.87670440285</v>
      </c>
      <c r="T32" s="29">
        <f t="shared" si="4"/>
        <v>1882.9650905442334</v>
      </c>
    </row>
    <row r="33" spans="2:20" x14ac:dyDescent="0.3">
      <c r="B33" s="5">
        <v>10010321</v>
      </c>
      <c r="C33" s="5" t="s">
        <v>31</v>
      </c>
      <c r="D33" s="6">
        <v>160</v>
      </c>
      <c r="E33" t="s">
        <v>49</v>
      </c>
      <c r="F33" s="2">
        <f>IFERROR(VLOOKUP(B33,[3]Hoja1!$I$25:$J$77,2,0),0)</f>
        <v>0</v>
      </c>
      <c r="G33" s="2">
        <v>1541.8894985296599</v>
      </c>
      <c r="H33" s="101">
        <f>G33</f>
        <v>1541.8894985296599</v>
      </c>
      <c r="I33" s="10" t="s">
        <v>49</v>
      </c>
      <c r="J33" s="15">
        <v>10007162</v>
      </c>
      <c r="K33" s="24">
        <f t="shared" si="1"/>
        <v>0.16</v>
      </c>
      <c r="L33" s="25">
        <f t="shared" si="5"/>
        <v>246.7023197647456</v>
      </c>
      <c r="M33" s="25">
        <f t="shared" si="2"/>
        <v>38.441600000000001</v>
      </c>
      <c r="N33" s="25">
        <f>K33/$K$50*$N$52</f>
        <v>5.1207506223661294</v>
      </c>
      <c r="O33" s="25">
        <f>K33/$K$50*$O$52</f>
        <v>13.833328519826223</v>
      </c>
      <c r="P33" s="25">
        <f>K33/$K$50*$P$52</f>
        <v>10.075553824500885</v>
      </c>
      <c r="Q33" s="25">
        <f>0</f>
        <v>0</v>
      </c>
      <c r="R33" s="27"/>
      <c r="S33" s="30">
        <f t="shared" si="3"/>
        <v>304.09799890693796</v>
      </c>
      <c r="T33" s="29">
        <f t="shared" si="4"/>
        <v>1900.6124931683621</v>
      </c>
    </row>
    <row r="34" spans="2:20" x14ac:dyDescent="0.3">
      <c r="B34" s="5">
        <v>10009187</v>
      </c>
      <c r="C34" s="5" t="s">
        <v>32</v>
      </c>
      <c r="D34" s="6">
        <v>220</v>
      </c>
      <c r="E34" t="s">
        <v>49</v>
      </c>
      <c r="F34" s="2">
        <f>IFERROR(VLOOKUP(B34,[3]Hoja1!$I$25:$J$77,2,0),0)</f>
        <v>2021.9999999999998</v>
      </c>
      <c r="G34" s="2">
        <v>1541.8894985296599</v>
      </c>
      <c r="H34" s="10">
        <f t="shared" si="0"/>
        <v>1781.9447492648299</v>
      </c>
      <c r="I34" s="10" t="s">
        <v>49</v>
      </c>
      <c r="J34" s="15">
        <v>10007162</v>
      </c>
      <c r="K34" s="24">
        <f t="shared" si="1"/>
        <v>0.22</v>
      </c>
      <c r="L34" s="25">
        <f t="shared" si="5"/>
        <v>392.02784483826258</v>
      </c>
      <c r="M34" s="25">
        <f t="shared" si="2"/>
        <v>52.857199999999999</v>
      </c>
      <c r="N34" s="25">
        <f>K34/$K$50*$N$52</f>
        <v>7.0410321057534278</v>
      </c>
      <c r="O34" s="25">
        <f>K34/$K$50*$O$52</f>
        <v>19.020826714761057</v>
      </c>
      <c r="P34" s="25">
        <f>K34/$K$50*$P$52</f>
        <v>13.853886508688717</v>
      </c>
      <c r="Q34" s="25">
        <f>0</f>
        <v>0</v>
      </c>
      <c r="R34" s="27"/>
      <c r="S34" s="30">
        <f t="shared" si="3"/>
        <v>470.94690365877705</v>
      </c>
      <c r="T34" s="29">
        <f t="shared" si="4"/>
        <v>2140.667743903532</v>
      </c>
    </row>
    <row r="35" spans="2:20" x14ac:dyDescent="0.3">
      <c r="B35" s="5">
        <v>10007161</v>
      </c>
      <c r="C35" s="5" t="s">
        <v>33</v>
      </c>
      <c r="D35" s="6">
        <v>4500</v>
      </c>
      <c r="E35" t="s">
        <v>49</v>
      </c>
      <c r="F35" s="2">
        <f>IFERROR(VLOOKUP(B35,[3]Hoja1!$I$25:$J$77,2,0),0)</f>
        <v>1928.2289473684211</v>
      </c>
      <c r="G35" s="2">
        <v>1541.8894985296599</v>
      </c>
      <c r="H35" s="10">
        <f t="shared" si="0"/>
        <v>1735.0592229490405</v>
      </c>
      <c r="I35" s="10" t="s">
        <v>49</v>
      </c>
      <c r="J35" s="15">
        <v>10007162</v>
      </c>
      <c r="K35" s="24">
        <f t="shared" si="1"/>
        <v>4.5</v>
      </c>
      <c r="L35" s="25">
        <f t="shared" si="5"/>
        <v>7807.7665032706818</v>
      </c>
      <c r="M35" s="25">
        <f t="shared" si="2"/>
        <v>1081.17</v>
      </c>
      <c r="N35" s="25">
        <f>K35/$K$50*$N$52</f>
        <v>144.02111125404738</v>
      </c>
      <c r="O35" s="25">
        <f>K35/$K$50*$O$52</f>
        <v>389.06236462011253</v>
      </c>
      <c r="P35" s="25">
        <f>K35/$K$50*$P$52</f>
        <v>283.37495131408741</v>
      </c>
      <c r="Q35" s="25">
        <f>0</f>
        <v>0</v>
      </c>
      <c r="R35" s="27"/>
      <c r="S35" s="30">
        <f t="shared" si="3"/>
        <v>9422.0199791448413</v>
      </c>
      <c r="T35" s="29">
        <f t="shared" si="4"/>
        <v>2093.7822175877427</v>
      </c>
    </row>
    <row r="36" spans="2:20" x14ac:dyDescent="0.3">
      <c r="B36" s="5">
        <v>10009658</v>
      </c>
      <c r="C36" s="5" t="s">
        <v>34</v>
      </c>
      <c r="D36" s="6">
        <v>2680</v>
      </c>
      <c r="E36" t="s">
        <v>49</v>
      </c>
      <c r="F36" s="2">
        <f>IFERROR(VLOOKUP(B36,[3]Hoja1!$I$25:$J$77,2,0),0)</f>
        <v>1849.5051020408164</v>
      </c>
      <c r="G36" s="2">
        <v>1541.8894985296599</v>
      </c>
      <c r="H36" s="10">
        <f t="shared" si="0"/>
        <v>1695.6973002852383</v>
      </c>
      <c r="I36" s="10" t="s">
        <v>49</v>
      </c>
      <c r="J36" s="15">
        <v>10007162</v>
      </c>
      <c r="K36" s="24">
        <f t="shared" si="1"/>
        <v>2.68</v>
      </c>
      <c r="L36" s="25">
        <f t="shared" si="5"/>
        <v>4544.4687647644387</v>
      </c>
      <c r="M36" s="25">
        <f t="shared" si="2"/>
        <v>643.89679999999998</v>
      </c>
      <c r="N36" s="25">
        <f>K36/$K$50*$N$52</f>
        <v>85.772572924632684</v>
      </c>
      <c r="O36" s="25">
        <f>K36/$K$50*$O$52</f>
        <v>231.70825270708929</v>
      </c>
      <c r="P36" s="25">
        <f>K36/$K$50*$P$52</f>
        <v>168.76552656038984</v>
      </c>
      <c r="Q36" s="25">
        <f>0</f>
        <v>0</v>
      </c>
      <c r="R36" s="27"/>
      <c r="S36" s="30">
        <f t="shared" si="3"/>
        <v>5505.846390396162</v>
      </c>
      <c r="T36" s="29">
        <f t="shared" si="4"/>
        <v>2054.4202949239411</v>
      </c>
    </row>
    <row r="37" spans="2:20" x14ac:dyDescent="0.3">
      <c r="B37" s="5">
        <v>10009639</v>
      </c>
      <c r="C37" s="5" t="s">
        <v>35</v>
      </c>
      <c r="D37" s="6">
        <v>37180</v>
      </c>
      <c r="E37" t="s">
        <v>49</v>
      </c>
      <c r="F37" s="2">
        <f>IFERROR(VLOOKUP(B37,[3]Hoja1!$I$25:$J$77,2,0),0)</f>
        <v>1849.3426573426573</v>
      </c>
      <c r="G37" s="2">
        <v>1541.8894985296599</v>
      </c>
      <c r="H37" s="10">
        <f t="shared" si="0"/>
        <v>1695.6160779361585</v>
      </c>
      <c r="I37" s="10" t="s">
        <v>49</v>
      </c>
      <c r="J37" s="15">
        <v>10007162</v>
      </c>
      <c r="K37" s="24">
        <f t="shared" si="1"/>
        <v>37.18</v>
      </c>
      <c r="L37" s="25">
        <f t="shared" si="5"/>
        <v>63043.005777666374</v>
      </c>
      <c r="M37" s="25">
        <f t="shared" si="2"/>
        <v>8932.8667999999998</v>
      </c>
      <c r="N37" s="25">
        <f>K37/$K$50*$N$52</f>
        <v>1189.9344258723293</v>
      </c>
      <c r="O37" s="25">
        <f>K37/$K$50*$O$52</f>
        <v>3214.5197147946187</v>
      </c>
      <c r="P37" s="25">
        <f>K37/$K$50*$P$52</f>
        <v>2341.306819968393</v>
      </c>
      <c r="Q37" s="25">
        <f>0</f>
        <v>0</v>
      </c>
      <c r="R37" s="27"/>
      <c r="S37" s="30">
        <f t="shared" si="3"/>
        <v>76380.326718333323</v>
      </c>
      <c r="T37" s="29">
        <f t="shared" si="4"/>
        <v>2054.3390725748609</v>
      </c>
    </row>
    <row r="38" spans="2:20" x14ac:dyDescent="0.3">
      <c r="B38" s="5">
        <v>10007163</v>
      </c>
      <c r="C38" s="5" t="s">
        <v>36</v>
      </c>
      <c r="D38" s="6">
        <v>2260</v>
      </c>
      <c r="E38" t="s">
        <v>49</v>
      </c>
      <c r="F38" s="2">
        <f>IFERROR(VLOOKUP(B38,[3]Hoja1!$I$25:$J$77,2,0),0)</f>
        <v>0</v>
      </c>
      <c r="G38" s="2">
        <v>1541.8894985296599</v>
      </c>
      <c r="H38" s="101">
        <f>G38</f>
        <v>1541.8894985296599</v>
      </c>
      <c r="I38" s="10" t="s">
        <v>49</v>
      </c>
      <c r="J38" s="15">
        <v>10007162</v>
      </c>
      <c r="K38" s="24">
        <f t="shared" si="1"/>
        <v>2.2599999999999998</v>
      </c>
      <c r="L38" s="25">
        <f t="shared" si="5"/>
        <v>3484.6702666770311</v>
      </c>
      <c r="M38" s="25">
        <f t="shared" si="2"/>
        <v>542.98759999999993</v>
      </c>
      <c r="N38" s="25">
        <f>K38/$K$50*$N$52</f>
        <v>72.330602540921575</v>
      </c>
      <c r="O38" s="25">
        <f>K38/$K$50*$O$52</f>
        <v>195.39576534254539</v>
      </c>
      <c r="P38" s="25">
        <f>K38/$K$50*$P$52</f>
        <v>142.31719777107497</v>
      </c>
      <c r="Q38" s="25">
        <f>0</f>
        <v>0</v>
      </c>
      <c r="R38" s="27"/>
      <c r="S38" s="30">
        <f t="shared" si="3"/>
        <v>4295.384234560498</v>
      </c>
      <c r="T38" s="29">
        <f t="shared" si="4"/>
        <v>1900.6124931683621</v>
      </c>
    </row>
    <row r="39" spans="2:20" x14ac:dyDescent="0.3">
      <c r="B39" s="5">
        <v>10007162</v>
      </c>
      <c r="C39" s="5" t="s">
        <v>37</v>
      </c>
      <c r="D39" s="6">
        <v>290280</v>
      </c>
      <c r="E39" t="s">
        <v>49</v>
      </c>
      <c r="F39" s="2">
        <f>IFERROR(VLOOKUP(B39,[3]Hoja1!$I$25:$J$77,2,0),0)</f>
        <v>1900.3944901030209</v>
      </c>
      <c r="G39" s="2">
        <v>1541.8894985296599</v>
      </c>
      <c r="H39" s="10">
        <f t="shared" si="0"/>
        <v>1721.1419943163405</v>
      </c>
      <c r="I39" s="10" t="s">
        <v>49</v>
      </c>
      <c r="J39" s="15">
        <v>10007162</v>
      </c>
      <c r="K39" s="24">
        <f t="shared" si="1"/>
        <v>290.27999999999997</v>
      </c>
      <c r="L39" s="25">
        <f t="shared" si="5"/>
        <v>499613.09811014729</v>
      </c>
      <c r="M39" s="25">
        <f t="shared" si="2"/>
        <v>69742.6728</v>
      </c>
      <c r="N39" s="25">
        <f>K39/$K$50*$N$52</f>
        <v>9290.3218166277511</v>
      </c>
      <c r="O39" s="25">
        <f>K39/$K$50*$O$52</f>
        <v>25097.116267094727</v>
      </c>
      <c r="P39" s="25">
        <f>K39/$K$50*$P$52</f>
        <v>18279.573526100732</v>
      </c>
      <c r="Q39" s="25">
        <f>0</f>
        <v>0</v>
      </c>
      <c r="R39" s="27"/>
      <c r="S39" s="30">
        <f t="shared" si="3"/>
        <v>603743.20899386983</v>
      </c>
      <c r="T39" s="29">
        <f t="shared" si="4"/>
        <v>2079.8649889550429</v>
      </c>
    </row>
    <row r="40" spans="2:20" x14ac:dyDescent="0.3">
      <c r="B40" s="5">
        <v>10009336</v>
      </c>
      <c r="C40" s="5" t="s">
        <v>38</v>
      </c>
      <c r="D40" s="6">
        <v>24360</v>
      </c>
      <c r="F40" s="2">
        <f>IFERROR(VLOOKUP(B40,[3]Hoja1!$I$25:$J$77,2,0),0)</f>
        <v>3230.8044090056283</v>
      </c>
      <c r="G40" s="2">
        <v>1136.4944477611941</v>
      </c>
      <c r="H40" s="10">
        <f t="shared" si="0"/>
        <v>2183.6494283834113</v>
      </c>
      <c r="I40" s="10" t="s">
        <v>60</v>
      </c>
      <c r="J40" s="16">
        <v>10009386</v>
      </c>
      <c r="K40" s="24">
        <f t="shared" si="1"/>
        <v>24.36</v>
      </c>
      <c r="L40" s="25">
        <f t="shared" si="5"/>
        <v>53193.700075419903</v>
      </c>
      <c r="M40" s="25">
        <f t="shared" si="2"/>
        <v>5852.7335999999996</v>
      </c>
      <c r="N40" s="25">
        <f>K40/$K$50*$N$52</f>
        <v>779.63428225524319</v>
      </c>
      <c r="O40" s="25">
        <f>K40/$K$50*$O$52</f>
        <v>2106.1242671435425</v>
      </c>
      <c r="P40" s="25">
        <f>K40/$K$50*$P$52</f>
        <v>1534.0030697802599</v>
      </c>
      <c r="Q40" s="25">
        <f>0</f>
        <v>0</v>
      </c>
      <c r="R40" s="27"/>
      <c r="S40" s="30">
        <f t="shared" si="3"/>
        <v>61932.192224818682</v>
      </c>
      <c r="T40" s="29">
        <f t="shared" si="4"/>
        <v>2542.3724230221133</v>
      </c>
    </row>
    <row r="41" spans="2:20" x14ac:dyDescent="0.3">
      <c r="B41" s="5">
        <v>10009239</v>
      </c>
      <c r="C41" s="5" t="s">
        <v>39</v>
      </c>
      <c r="D41" s="6">
        <v>257760</v>
      </c>
      <c r="F41" s="2">
        <f>IFERROR(VLOOKUP(B41,[3]Hoja1!$I$25:$J$77,2,0),0)</f>
        <v>3349.7949029126216</v>
      </c>
      <c r="G41" s="2">
        <v>2714.9272835820893</v>
      </c>
      <c r="H41" s="10">
        <f t="shared" si="0"/>
        <v>3032.3610932473557</v>
      </c>
      <c r="I41" s="10" t="s">
        <v>61</v>
      </c>
      <c r="J41" s="17">
        <v>10009239</v>
      </c>
      <c r="K41" s="24">
        <f t="shared" si="1"/>
        <v>257.76</v>
      </c>
      <c r="L41" s="25">
        <f t="shared" si="5"/>
        <v>781621.39539543842</v>
      </c>
      <c r="M41" s="25">
        <f t="shared" si="2"/>
        <v>61929.417599999993</v>
      </c>
      <c r="N41" s="25">
        <f>K41/$K$50*$N$52</f>
        <v>8249.5292526318335</v>
      </c>
      <c r="O41" s="25">
        <f>K41/$K$50*$O$52</f>
        <v>22285.492245440048</v>
      </c>
      <c r="P41" s="25">
        <f>K41/$K$50*$P$52</f>
        <v>16231.717211270927</v>
      </c>
      <c r="Q41" s="25">
        <f>0</f>
        <v>0</v>
      </c>
      <c r="R41" s="27"/>
      <c r="S41" s="30">
        <f t="shared" si="3"/>
        <v>874085.83449351031</v>
      </c>
      <c r="T41" s="29">
        <f t="shared" si="4"/>
        <v>3391.0840878860581</v>
      </c>
    </row>
    <row r="42" spans="2:20" x14ac:dyDescent="0.3">
      <c r="B42" s="5">
        <v>10009251</v>
      </c>
      <c r="C42" s="5" t="s">
        <v>40</v>
      </c>
      <c r="D42" s="6">
        <v>6700</v>
      </c>
      <c r="F42" s="2">
        <f>IFERROR(VLOOKUP(B42,[3]Hoja1!$I$25:$J$77,2,0),0)</f>
        <v>3024</v>
      </c>
      <c r="G42" s="2">
        <v>2714.9272835820893</v>
      </c>
      <c r="H42" s="10">
        <f t="shared" si="0"/>
        <v>2869.4636417910447</v>
      </c>
      <c r="I42" s="10" t="s">
        <v>61</v>
      </c>
      <c r="J42" s="17">
        <v>10009239</v>
      </c>
      <c r="K42" s="24">
        <f t="shared" si="1"/>
        <v>6.7</v>
      </c>
      <c r="L42" s="25">
        <f t="shared" si="5"/>
        <v>19225.4064</v>
      </c>
      <c r="M42" s="25">
        <f t="shared" si="2"/>
        <v>1609.742</v>
      </c>
      <c r="N42" s="25">
        <f>K42/$K$50*$N$52</f>
        <v>214.43143231158166</v>
      </c>
      <c r="O42" s="25">
        <f>K42/$K$50*$O$52</f>
        <v>579.2706317677231</v>
      </c>
      <c r="P42" s="25">
        <f>K42/$K$50*$P$52</f>
        <v>421.91381640097455</v>
      </c>
      <c r="Q42" s="25">
        <f>0</f>
        <v>0</v>
      </c>
      <c r="R42" s="27"/>
      <c r="S42" s="30">
        <f t="shared" si="3"/>
        <v>21628.850464079303</v>
      </c>
      <c r="T42" s="29">
        <f t="shared" si="4"/>
        <v>3228.1866364297466</v>
      </c>
    </row>
    <row r="43" spans="2:20" x14ac:dyDescent="0.3">
      <c r="B43" s="5">
        <v>10009331</v>
      </c>
      <c r="C43" s="5" t="s">
        <v>41</v>
      </c>
      <c r="D43" s="6">
        <v>92520</v>
      </c>
      <c r="F43" s="2">
        <f>IFERROR(VLOOKUP(B43,[3]Hoja1!$I$25:$J$77,2,0),0)</f>
        <v>3197.3762726109294</v>
      </c>
      <c r="G43" s="2">
        <v>2368.3601194029852</v>
      </c>
      <c r="H43" s="10">
        <f t="shared" si="0"/>
        <v>2782.8681960069571</v>
      </c>
      <c r="I43" s="10" t="s">
        <v>62</v>
      </c>
      <c r="J43" s="18">
        <v>10009334</v>
      </c>
      <c r="K43" s="24">
        <f t="shared" si="1"/>
        <v>92.52</v>
      </c>
      <c r="L43" s="25">
        <f t="shared" si="5"/>
        <v>257470.96549456366</v>
      </c>
      <c r="M43" s="25">
        <f t="shared" si="2"/>
        <v>22228.855199999998</v>
      </c>
      <c r="N43" s="25">
        <f>K43/$K$50*$N$52</f>
        <v>2961.0740473832143</v>
      </c>
      <c r="O43" s="25">
        <f>K43/$K$50*$O$52</f>
        <v>7999.1222165895142</v>
      </c>
      <c r="P43" s="25">
        <f>K43/$K$50*$P$52</f>
        <v>5826.1889990176369</v>
      </c>
      <c r="Q43" s="25">
        <f>0</f>
        <v>0</v>
      </c>
      <c r="R43" s="27"/>
      <c r="S43" s="30">
        <f t="shared" si="3"/>
        <v>290660.01695853641</v>
      </c>
      <c r="T43" s="29">
        <f t="shared" si="4"/>
        <v>3141.5911906456595</v>
      </c>
    </row>
    <row r="44" spans="2:20" x14ac:dyDescent="0.3">
      <c r="B44" s="5">
        <v>10009334</v>
      </c>
      <c r="C44" s="5" t="s">
        <v>42</v>
      </c>
      <c r="D44" s="6">
        <v>2198</v>
      </c>
      <c r="F44" s="2">
        <f>IFERROR(VLOOKUP(B44,[3]Hoja1!$I$25:$J$77,2,0),0)</f>
        <v>3057.26708428246</v>
      </c>
      <c r="G44" s="2">
        <v>2368.3601194029852</v>
      </c>
      <c r="H44" s="10">
        <f t="shared" si="0"/>
        <v>2712.8136018427226</v>
      </c>
      <c r="I44" s="10" t="s">
        <v>62</v>
      </c>
      <c r="J44" s="18">
        <v>10009334</v>
      </c>
      <c r="K44" s="24">
        <f t="shared" si="1"/>
        <v>2.198</v>
      </c>
      <c r="L44" s="25">
        <f t="shared" si="5"/>
        <v>5962.7642968503042</v>
      </c>
      <c r="M44" s="25">
        <f t="shared" si="2"/>
        <v>528.09147999999993</v>
      </c>
      <c r="N44" s="25">
        <f>K44/$K$50*$N$52</f>
        <v>70.346311674754702</v>
      </c>
      <c r="O44" s="25">
        <f>K44/$K$50*$O$52</f>
        <v>190.03535054111273</v>
      </c>
      <c r="P44" s="25">
        <f>K44/$K$50*$P$52</f>
        <v>138.4129206640809</v>
      </c>
      <c r="Q44" s="25">
        <f>0</f>
        <v>0</v>
      </c>
      <c r="R44" s="27"/>
      <c r="S44" s="30">
        <f t="shared" si="3"/>
        <v>6751.2374390661716</v>
      </c>
      <c r="T44" s="29">
        <f t="shared" si="4"/>
        <v>3071.536596481425</v>
      </c>
    </row>
    <row r="45" spans="2:20" x14ac:dyDescent="0.3">
      <c r="B45" s="5">
        <v>10010348</v>
      </c>
      <c r="C45" s="5" t="s">
        <v>43</v>
      </c>
      <c r="D45" s="6">
        <v>36390</v>
      </c>
      <c r="F45" s="2">
        <f>IFERROR(VLOOKUP(B45,[3]Hoja1!$I$25:$J$77,2,0),0)</f>
        <v>0</v>
      </c>
      <c r="G45" s="2">
        <v>1026.8427064676616</v>
      </c>
      <c r="H45" s="101">
        <f>G45</f>
        <v>1026.8427064676616</v>
      </c>
      <c r="I45" s="10" t="s">
        <v>63</v>
      </c>
      <c r="J45" s="17">
        <v>10007050</v>
      </c>
      <c r="K45" s="24">
        <f t="shared" si="1"/>
        <v>36.39</v>
      </c>
      <c r="L45" s="25">
        <f t="shared" si="5"/>
        <v>37366.806088358207</v>
      </c>
      <c r="M45" s="25">
        <f t="shared" si="2"/>
        <v>8743.0614000000005</v>
      </c>
      <c r="N45" s="25">
        <f>K45/$K$50*$N$52</f>
        <v>1164.6507196743967</v>
      </c>
      <c r="O45" s="25">
        <f>K45/$K$50*$O$52</f>
        <v>3146.217655227977</v>
      </c>
      <c r="P45" s="25">
        <f>K45/$K$50*$P$52</f>
        <v>2291.5587729599206</v>
      </c>
      <c r="Q45" s="25">
        <f>0</f>
        <v>0</v>
      </c>
      <c r="R45" s="27"/>
      <c r="S45" s="30">
        <f t="shared" si="3"/>
        <v>50420.735863260583</v>
      </c>
      <c r="T45" s="29">
        <f t="shared" si="4"/>
        <v>1385.5657011063638</v>
      </c>
    </row>
    <row r="46" spans="2:20" x14ac:dyDescent="0.3">
      <c r="B46" s="5">
        <v>10009337</v>
      </c>
      <c r="C46" s="5" t="s">
        <v>44</v>
      </c>
      <c r="D46" s="6">
        <v>61740</v>
      </c>
      <c r="F46" s="2">
        <f>IFERROR(VLOOKUP(B46,[3]Hoja1!$I$25:$J$77,2,0),0)</f>
        <v>2586.1533089985714</v>
      </c>
      <c r="G46" s="2">
        <v>1026.8427064676616</v>
      </c>
      <c r="H46" s="10">
        <f t="shared" si="0"/>
        <v>1806.4980077331165</v>
      </c>
      <c r="I46" s="10" t="s">
        <v>63</v>
      </c>
      <c r="J46" s="17">
        <v>10007050</v>
      </c>
      <c r="K46" s="24">
        <f t="shared" si="1"/>
        <v>61.74</v>
      </c>
      <c r="L46" s="25">
        <f t="shared" si="5"/>
        <v>111533.18699744262</v>
      </c>
      <c r="M46" s="25">
        <f t="shared" si="2"/>
        <v>14833.652399999999</v>
      </c>
      <c r="N46" s="25">
        <f>K46/$K$50*$N$52</f>
        <v>1975.9696464055303</v>
      </c>
      <c r="O46" s="25">
        <f>K46/$K$50*$O$52</f>
        <v>5337.935642587945</v>
      </c>
      <c r="P46" s="25">
        <f>K46/$K$50*$P$52</f>
        <v>3887.9043320292794</v>
      </c>
      <c r="Q46" s="25">
        <f>0</f>
        <v>0</v>
      </c>
      <c r="R46" s="27"/>
      <c r="S46" s="30">
        <f t="shared" si="3"/>
        <v>133680.74468643608</v>
      </c>
      <c r="T46" s="29">
        <f t="shared" si="4"/>
        <v>2165.2210023718185</v>
      </c>
    </row>
    <row r="47" spans="2:20" x14ac:dyDescent="0.3">
      <c r="B47" s="5">
        <v>10009332</v>
      </c>
      <c r="C47" s="5" t="s">
        <v>45</v>
      </c>
      <c r="D47" s="6">
        <v>73700</v>
      </c>
      <c r="F47" s="2">
        <f>IFERROR(VLOOKUP(B47,[3]Hoja1!$I$25:$J$77,2,0),0)</f>
        <v>2448.6140628532671</v>
      </c>
      <c r="G47" s="2">
        <v>1026.8427064676616</v>
      </c>
      <c r="H47" s="10">
        <f t="shared" si="0"/>
        <v>1737.7283846604644</v>
      </c>
      <c r="I47" s="10" t="s">
        <v>63</v>
      </c>
      <c r="J47" s="17">
        <v>10007050</v>
      </c>
      <c r="K47" s="24">
        <f t="shared" si="1"/>
        <v>73.7</v>
      </c>
      <c r="L47" s="25">
        <f t="shared" si="5"/>
        <v>128070.58194947623</v>
      </c>
      <c r="M47" s="25">
        <f t="shared" si="2"/>
        <v>17707.162</v>
      </c>
      <c r="N47" s="25">
        <f>K47/$K$50*$N$52</f>
        <v>2358.7457554273983</v>
      </c>
      <c r="O47" s="25">
        <f>K47/$K$50*$O$52</f>
        <v>6371.9769494449547</v>
      </c>
      <c r="P47" s="25">
        <f>K47/$K$50*$P$52</f>
        <v>4641.0519804107207</v>
      </c>
      <c r="Q47" s="25">
        <f>0</f>
        <v>0</v>
      </c>
      <c r="R47" s="27"/>
      <c r="S47" s="30">
        <f t="shared" si="3"/>
        <v>154508.46665434857</v>
      </c>
      <c r="T47" s="29">
        <f t="shared" si="4"/>
        <v>2096.4513792991665</v>
      </c>
    </row>
    <row r="48" spans="2:20" x14ac:dyDescent="0.3">
      <c r="B48" s="5"/>
      <c r="C48" s="5"/>
      <c r="D48" s="6"/>
      <c r="F48" s="2"/>
      <c r="G48" s="2"/>
      <c r="H48" s="10"/>
      <c r="I48" s="10"/>
      <c r="J48" s="17"/>
      <c r="K48" s="24"/>
      <c r="L48" s="25"/>
      <c r="M48" s="25"/>
      <c r="N48" s="25"/>
      <c r="O48" s="25"/>
      <c r="P48" s="25"/>
      <c r="Q48" s="25"/>
      <c r="R48" s="27"/>
      <c r="S48" s="30"/>
      <c r="T48" s="29"/>
    </row>
    <row r="49" spans="2:20" ht="15" thickBot="1" x14ac:dyDescent="0.35">
      <c r="B49" s="5">
        <v>10009649</v>
      </c>
      <c r="C49" s="5" t="s">
        <v>46</v>
      </c>
      <c r="D49" s="6">
        <v>49320</v>
      </c>
      <c r="F49" s="2">
        <f>IFERROR(VLOOKUP(B49,[1]Hoja1!I$25:J$77,2,0),0)</f>
        <v>0</v>
      </c>
      <c r="G49" s="2">
        <v>1236.14658212324</v>
      </c>
      <c r="H49" s="101">
        <f>G49</f>
        <v>1236.14658212324</v>
      </c>
      <c r="I49" s="10" t="s">
        <v>64</v>
      </c>
      <c r="J49" s="5">
        <v>10009649</v>
      </c>
      <c r="K49" s="31">
        <f t="shared" si="1"/>
        <v>49.32</v>
      </c>
      <c r="L49" s="32">
        <f t="shared" si="5"/>
        <v>60966.749430318196</v>
      </c>
      <c r="M49" s="32">
        <f t="shared" si="2"/>
        <v>11849.6232</v>
      </c>
      <c r="N49" s="32">
        <f>K49/$K$50*$N$52</f>
        <v>1578.4713793443595</v>
      </c>
      <c r="O49" s="32">
        <f>K49/$K$50*$O$52</f>
        <v>4264.1235162364337</v>
      </c>
      <c r="P49" s="32">
        <f>K49/$K$50*$P$52</f>
        <v>3105.7894664023979</v>
      </c>
      <c r="Q49" s="32">
        <f>0</f>
        <v>0</v>
      </c>
      <c r="R49" s="33"/>
      <c r="S49" s="34">
        <f t="shared" si="3"/>
        <v>78658.967525898988</v>
      </c>
      <c r="T49" s="35">
        <f t="shared" si="4"/>
        <v>1594.8695767619422</v>
      </c>
    </row>
    <row r="50" spans="2:20" ht="15" thickBot="1" x14ac:dyDescent="0.35">
      <c r="B50" s="5"/>
      <c r="C50" s="7" t="s">
        <v>47</v>
      </c>
      <c r="D50" s="8">
        <f>SUM(D5:D49)</f>
        <v>1966688</v>
      </c>
      <c r="K50" s="36">
        <f>SUM(K5:K49)</f>
        <v>1966.6880000000003</v>
      </c>
      <c r="L50" s="19">
        <f>SUM(L5:L49)</f>
        <v>3605715.6338254143</v>
      </c>
      <c r="M50" s="19">
        <f>SUM(M5:M49)</f>
        <v>472516.45887999999</v>
      </c>
      <c r="N50" s="19">
        <f>SUM(N5:N49)</f>
        <v>62943.242499999986</v>
      </c>
      <c r="O50" s="19">
        <f>SUM(O5:O49)</f>
        <v>170036.50750000001</v>
      </c>
      <c r="P50" s="19">
        <f>SUM(P5:P49)</f>
        <v>123846.69249999999</v>
      </c>
      <c r="Q50" s="19">
        <f>SUM(Q5:Q49)</f>
        <v>0</v>
      </c>
      <c r="R50" s="37"/>
      <c r="S50" s="38">
        <f>SUM(S5:S49)</f>
        <v>4311211.8427054137</v>
      </c>
      <c r="T50" s="38">
        <f t="shared" si="4"/>
        <v>2192.1178360296158</v>
      </c>
    </row>
    <row r="51" spans="2:20" ht="15" thickBot="1" x14ac:dyDescent="0.35"/>
    <row r="52" spans="2:20" ht="15" thickBot="1" x14ac:dyDescent="0.35">
      <c r="M52" s="1" t="s">
        <v>65</v>
      </c>
      <c r="N52" s="19">
        <v>62943.2425</v>
      </c>
      <c r="O52" s="19">
        <v>170036.50750000001</v>
      </c>
      <c r="P52" s="19">
        <v>123846.6925</v>
      </c>
    </row>
    <row r="55" spans="2:20" x14ac:dyDescent="0.3">
      <c r="K55" s="41" t="s">
        <v>82</v>
      </c>
    </row>
    <row r="56" spans="2:20" ht="15" thickBot="1" x14ac:dyDescent="0.35"/>
    <row r="57" spans="2:20" ht="15" thickBot="1" x14ac:dyDescent="0.35">
      <c r="K57" s="20" t="s">
        <v>66</v>
      </c>
      <c r="L57" s="21" t="s">
        <v>67</v>
      </c>
      <c r="M57" s="21" t="s">
        <v>68</v>
      </c>
      <c r="N57" s="21" t="s">
        <v>69</v>
      </c>
      <c r="O57" s="21" t="s">
        <v>70</v>
      </c>
      <c r="P57" s="21" t="s">
        <v>71</v>
      </c>
      <c r="Q57" s="21" t="s">
        <v>72</v>
      </c>
      <c r="R57" s="22" t="s">
        <v>73</v>
      </c>
      <c r="S57" s="23" t="s">
        <v>74</v>
      </c>
      <c r="T57" s="23" t="s">
        <v>75</v>
      </c>
    </row>
    <row r="58" spans="2:20" x14ac:dyDescent="0.3">
      <c r="I58" s="2">
        <v>1.8311059999999999</v>
      </c>
      <c r="J58" t="s">
        <v>77</v>
      </c>
      <c r="K58" s="24">
        <v>27</v>
      </c>
      <c r="L58" s="25">
        <f t="shared" ref="L58:L63" si="6">K58*I58*1000</f>
        <v>49439.862000000001</v>
      </c>
      <c r="M58" s="25">
        <f t="shared" ref="M58:M63" si="7">240.26*K58</f>
        <v>6487.0199999999995</v>
      </c>
      <c r="N58" s="25">
        <f>K58/$K$64*$N$52</f>
        <v>2250.6522943980931</v>
      </c>
      <c r="O58" s="25">
        <f>K58/$K$64*$O$52</f>
        <v>6079.9704707985702</v>
      </c>
      <c r="P58" s="25">
        <f>K58/$K$64*$P$52</f>
        <v>4428.3680274135877</v>
      </c>
      <c r="Q58" s="25"/>
      <c r="R58" s="27"/>
      <c r="S58" s="30"/>
      <c r="T58" s="29">
        <f t="shared" ref="T58:T64" si="8">IFERROR(S58/K58,0)</f>
        <v>0</v>
      </c>
    </row>
    <row r="59" spans="2:20" x14ac:dyDescent="0.3">
      <c r="I59" s="2">
        <v>1.6520360000000001</v>
      </c>
      <c r="J59" t="s">
        <v>78</v>
      </c>
      <c r="K59" s="24">
        <v>54</v>
      </c>
      <c r="L59" s="25">
        <f t="shared" si="6"/>
        <v>89209.944000000003</v>
      </c>
      <c r="M59" s="25">
        <f t="shared" si="7"/>
        <v>12974.039999999999</v>
      </c>
      <c r="N59" s="25">
        <f>K59/$K$64*$N$52</f>
        <v>4501.3045887961862</v>
      </c>
      <c r="O59" s="25">
        <f>K59/$K$64*$O$52</f>
        <v>12159.94094159714</v>
      </c>
      <c r="P59" s="25">
        <f>K59/$K$64*$P$52</f>
        <v>8856.7360548271754</v>
      </c>
      <c r="Q59" s="25"/>
      <c r="R59" s="27"/>
      <c r="S59" s="30"/>
      <c r="T59" s="29">
        <f t="shared" si="8"/>
        <v>0</v>
      </c>
    </row>
    <row r="60" spans="2:20" x14ac:dyDescent="0.3">
      <c r="I60" s="2"/>
      <c r="J60" t="s">
        <v>127</v>
      </c>
      <c r="K60" s="24"/>
      <c r="L60" s="25"/>
      <c r="M60" s="25"/>
      <c r="N60" s="25"/>
      <c r="O60" s="25"/>
      <c r="P60" s="25"/>
      <c r="Q60" s="25"/>
      <c r="R60" s="27"/>
      <c r="S60" s="30"/>
      <c r="T60" s="29"/>
    </row>
    <row r="61" spans="2:20" ht="15.6" x14ac:dyDescent="0.3">
      <c r="I61" s="40">
        <f>2846.957/1000</f>
        <v>2.8469569999999997</v>
      </c>
      <c r="J61" s="39" t="s">
        <v>76</v>
      </c>
      <c r="K61" s="24">
        <v>594</v>
      </c>
      <c r="L61" s="25">
        <f t="shared" si="6"/>
        <v>1691092.4579999999</v>
      </c>
      <c r="M61" s="25">
        <f t="shared" si="7"/>
        <v>142714.44</v>
      </c>
      <c r="N61" s="25">
        <f>K61/$K$64*$N$52</f>
        <v>49514.350476758045</v>
      </c>
      <c r="O61" s="25">
        <f>K61/$K$64*$O$52</f>
        <v>133759.35035756853</v>
      </c>
      <c r="P61" s="25">
        <f>K61/$K$64*$P$52</f>
        <v>97424.096603098922</v>
      </c>
      <c r="Q61" s="25"/>
      <c r="R61" s="27"/>
      <c r="S61" s="30"/>
      <c r="T61" s="29">
        <f t="shared" si="8"/>
        <v>0</v>
      </c>
    </row>
    <row r="62" spans="2:20" x14ac:dyDescent="0.3">
      <c r="I62" s="2">
        <v>2.5748229999999999</v>
      </c>
      <c r="J62" t="s">
        <v>79</v>
      </c>
      <c r="K62" s="24">
        <v>53.1</v>
      </c>
      <c r="L62" s="25">
        <f t="shared" si="6"/>
        <v>136723.10130000001</v>
      </c>
      <c r="M62" s="25">
        <f t="shared" si="7"/>
        <v>12757.806</v>
      </c>
      <c r="N62" s="25">
        <f>K62/$K$64*$N$52</f>
        <v>4426.2828456495827</v>
      </c>
      <c r="O62" s="25">
        <f>K62/$K$64*$O$52</f>
        <v>11957.275259237187</v>
      </c>
      <c r="P62" s="25">
        <f>K62/$K$64*$P$52</f>
        <v>8709.1237872467227</v>
      </c>
      <c r="Q62" s="25"/>
      <c r="R62" s="27"/>
      <c r="S62" s="30"/>
      <c r="T62" s="29">
        <f t="shared" si="8"/>
        <v>0</v>
      </c>
    </row>
    <row r="63" spans="2:20" ht="15" thickBot="1" x14ac:dyDescent="0.35">
      <c r="I63" s="2">
        <v>2.2466200000000001</v>
      </c>
      <c r="J63" t="s">
        <v>80</v>
      </c>
      <c r="K63" s="31">
        <v>27</v>
      </c>
      <c r="L63" s="32">
        <f t="shared" si="6"/>
        <v>60658.740000000005</v>
      </c>
      <c r="M63" s="32">
        <f t="shared" si="7"/>
        <v>6487.0199999999995</v>
      </c>
      <c r="N63" s="32">
        <f>K63/$K$64*$N$52</f>
        <v>2250.6522943980931</v>
      </c>
      <c r="O63" s="32">
        <f>K63/$K$64*$O$52</f>
        <v>6079.9704707985702</v>
      </c>
      <c r="P63" s="32">
        <f>K63/$K$64*$P$52</f>
        <v>4428.3680274135877</v>
      </c>
      <c r="Q63" s="32"/>
      <c r="R63" s="33"/>
      <c r="S63" s="34"/>
      <c r="T63" s="35">
        <f t="shared" si="8"/>
        <v>0</v>
      </c>
    </row>
    <row r="64" spans="2:20" ht="15" thickBot="1" x14ac:dyDescent="0.35">
      <c r="K64" s="36">
        <f>SUM(K58:K63)</f>
        <v>755.1</v>
      </c>
      <c r="L64" s="19">
        <f>SUM(L58:L63)</f>
        <v>2027124.1052999999</v>
      </c>
      <c r="M64" s="19">
        <f>SUM(M58:M63)</f>
        <v>181420.326</v>
      </c>
      <c r="N64" s="19">
        <f>SUM(N58:N63)</f>
        <v>62943.242500000008</v>
      </c>
      <c r="O64" s="19">
        <f>SUM(O58:O63)</f>
        <v>170036.50750000001</v>
      </c>
      <c r="P64" s="19">
        <f>SUM(P58:P63)</f>
        <v>123846.69249999999</v>
      </c>
      <c r="Q64" s="19">
        <f>SUM(Q58:Q63)</f>
        <v>0</v>
      </c>
      <c r="R64" s="37">
        <f>SUM(R58:R63)</f>
        <v>0</v>
      </c>
      <c r="S64" s="38">
        <f>SUM(S58:S63)</f>
        <v>0</v>
      </c>
      <c r="T64" s="38">
        <f t="shared" si="8"/>
        <v>0</v>
      </c>
    </row>
  </sheetData>
  <autoFilter ref="B4:D50" xr:uid="{58858124-A72F-4962-B676-7A1F22E21FF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 Inventario</vt:lpstr>
      <vt:lpstr>Venta Septiembre</vt:lpstr>
      <vt:lpstr>TD</vt:lpstr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Sebastian Martinez Montalvo (PFRO)</dc:creator>
  <cp:lastModifiedBy>Rodrigo Sebastian Martinez Montalvo (PFRO)</cp:lastModifiedBy>
  <dcterms:created xsi:type="dcterms:W3CDTF">2026-09-28T21:54:14Z</dcterms:created>
  <dcterms:modified xsi:type="dcterms:W3CDTF">2026-09-29T02:50:27Z</dcterms:modified>
</cp:coreProperties>
</file>